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X\invoice-image-generator\"/>
    </mc:Choice>
  </mc:AlternateContent>
  <xr:revisionPtr revIDLastSave="0" documentId="13_ncr:1_{71727EB7-A084-4E9C-A9AE-4C6B0551D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22" i="1" l="1"/>
  <c r="G2221" i="1"/>
  <c r="G2220" i="1"/>
  <c r="G2205" i="1"/>
  <c r="G2204" i="1"/>
  <c r="G2203" i="1"/>
  <c r="H2206" i="1" s="1"/>
  <c r="H2207" i="1" s="1"/>
  <c r="G2189" i="1"/>
  <c r="G2188" i="1"/>
  <c r="G2187" i="1"/>
  <c r="G2186" i="1"/>
  <c r="H2190" i="1" s="1"/>
  <c r="H2191" i="1" s="1"/>
  <c r="G2172" i="1"/>
  <c r="G2171" i="1"/>
  <c r="G2170" i="1"/>
  <c r="G2169" i="1"/>
  <c r="H2173" i="1" s="1"/>
  <c r="H2174" i="1" s="1"/>
  <c r="G2155" i="1"/>
  <c r="G2154" i="1"/>
  <c r="G2153" i="1"/>
  <c r="G2152" i="1"/>
  <c r="H2156" i="1" s="1"/>
  <c r="H2157" i="1" s="1"/>
  <c r="G2135" i="1"/>
  <c r="G2134" i="1"/>
  <c r="G2133" i="1"/>
  <c r="G2132" i="1"/>
  <c r="H2136" i="1" s="1"/>
  <c r="H2137" i="1" s="1"/>
  <c r="G2116" i="1"/>
  <c r="G2115" i="1"/>
  <c r="G2114" i="1"/>
  <c r="G2113" i="1"/>
  <c r="H2117" i="1" s="1"/>
  <c r="H2118" i="1" s="1"/>
  <c r="G2098" i="1"/>
  <c r="G2097" i="1"/>
  <c r="G2096" i="1"/>
  <c r="G2095" i="1"/>
  <c r="H2099" i="1" s="1"/>
  <c r="H2100" i="1" s="1"/>
  <c r="G2082" i="1"/>
  <c r="G2081" i="1"/>
  <c r="G2080" i="1"/>
  <c r="G2079" i="1"/>
  <c r="H2083" i="1" s="1"/>
  <c r="H2084" i="1" s="1"/>
  <c r="G2066" i="1"/>
  <c r="G2065" i="1"/>
  <c r="G2064" i="1"/>
  <c r="G2063" i="1"/>
  <c r="H2067" i="1" s="1"/>
  <c r="H2068" i="1" s="1"/>
  <c r="G2051" i="1"/>
  <c r="G2050" i="1"/>
  <c r="G2049" i="1"/>
  <c r="G2048" i="1"/>
  <c r="H2052" i="1" s="1"/>
  <c r="H2053" i="1" s="1"/>
  <c r="G2034" i="1"/>
  <c r="G2033" i="1"/>
  <c r="G2032" i="1"/>
  <c r="G2031" i="1"/>
  <c r="H2035" i="1" s="1"/>
  <c r="H2036" i="1" s="1"/>
  <c r="G2015" i="1"/>
  <c r="G2014" i="1"/>
  <c r="G2013" i="1"/>
  <c r="G2012" i="1"/>
  <c r="H2016" i="1" s="1"/>
  <c r="H2017" i="1" s="1"/>
  <c r="G1998" i="1"/>
  <c r="G1997" i="1"/>
  <c r="G1996" i="1"/>
  <c r="G1995" i="1"/>
  <c r="H1999" i="1" s="1"/>
  <c r="H2000" i="1" s="1"/>
  <c r="G1980" i="1"/>
  <c r="G1979" i="1"/>
  <c r="G1978" i="1"/>
  <c r="G1977" i="1"/>
  <c r="H1981" i="1" s="1"/>
  <c r="H1982" i="1" s="1"/>
  <c r="G1964" i="1"/>
  <c r="G1963" i="1"/>
  <c r="G1962" i="1"/>
  <c r="G1961" i="1"/>
  <c r="H1965" i="1" s="1"/>
  <c r="H1966" i="1" s="1"/>
  <c r="G1948" i="1"/>
  <c r="G1947" i="1"/>
  <c r="G1946" i="1"/>
  <c r="H1949" i="1" s="1"/>
  <c r="H1950" i="1" s="1"/>
  <c r="H1935" i="1"/>
  <c r="G1933" i="1"/>
  <c r="G1932" i="1"/>
  <c r="G1931" i="1"/>
  <c r="H1934" i="1" s="1"/>
  <c r="H1920" i="1"/>
  <c r="H1919" i="1"/>
  <c r="G1918" i="1"/>
  <c r="G1917" i="1"/>
  <c r="G1916" i="1"/>
  <c r="G1902" i="1"/>
  <c r="H1903" i="1" s="1"/>
  <c r="H1904" i="1" s="1"/>
  <c r="G1901" i="1"/>
  <c r="G1900" i="1"/>
  <c r="G1886" i="1"/>
  <c r="G1885" i="1"/>
  <c r="G1884" i="1"/>
  <c r="G1868" i="1"/>
  <c r="G1867" i="1"/>
  <c r="G1866" i="1"/>
  <c r="H1869" i="1" s="1"/>
  <c r="H1870" i="1" s="1"/>
  <c r="G1853" i="1"/>
  <c r="G1852" i="1"/>
  <c r="G1851" i="1"/>
  <c r="H1854" i="1" s="1"/>
  <c r="H1855" i="1" s="1"/>
  <c r="H1838" i="1"/>
  <c r="G1836" i="1"/>
  <c r="G1835" i="1"/>
  <c r="G1834" i="1"/>
  <c r="H1837" i="1" s="1"/>
  <c r="H1822" i="1"/>
  <c r="H1821" i="1"/>
  <c r="G1820" i="1"/>
  <c r="G1819" i="1"/>
  <c r="G1818" i="1"/>
  <c r="G1803" i="1"/>
  <c r="H1804" i="1" s="1"/>
  <c r="H1805" i="1" s="1"/>
  <c r="G1802" i="1"/>
  <c r="G1801" i="1"/>
  <c r="G1787" i="1"/>
  <c r="G1786" i="1"/>
  <c r="G1785" i="1"/>
  <c r="G1769" i="1"/>
  <c r="G1768" i="1"/>
  <c r="G1767" i="1"/>
  <c r="H1770" i="1" s="1"/>
  <c r="H1771" i="1" s="1"/>
  <c r="G1749" i="1"/>
  <c r="G1748" i="1"/>
  <c r="G1747" i="1"/>
  <c r="H1750" i="1" s="1"/>
  <c r="H1751" i="1" s="1"/>
  <c r="G1728" i="1"/>
  <c r="G1727" i="1"/>
  <c r="G1726" i="1"/>
  <c r="H1729" i="1" s="1"/>
  <c r="H1730" i="1" s="1"/>
  <c r="H1713" i="1"/>
  <c r="H1712" i="1"/>
  <c r="G1711" i="1"/>
  <c r="G1710" i="1"/>
  <c r="G1709" i="1"/>
  <c r="G1695" i="1"/>
  <c r="H1696" i="1" s="1"/>
  <c r="H1697" i="1" s="1"/>
  <c r="G1694" i="1"/>
  <c r="G1693" i="1"/>
  <c r="G1680" i="1"/>
  <c r="G1679" i="1"/>
  <c r="G1678" i="1"/>
  <c r="G1666" i="1"/>
  <c r="G1665" i="1"/>
  <c r="G1664" i="1"/>
  <c r="H1667" i="1" s="1"/>
  <c r="H1668" i="1" s="1"/>
  <c r="G1650" i="1"/>
  <c r="G1649" i="1"/>
  <c r="G1648" i="1"/>
  <c r="H1651" i="1" s="1"/>
  <c r="H1652" i="1" s="1"/>
  <c r="H1637" i="1"/>
  <c r="G1635" i="1"/>
  <c r="G1634" i="1"/>
  <c r="G1633" i="1"/>
  <c r="H1636" i="1" s="1"/>
  <c r="H1620" i="1"/>
  <c r="H1619" i="1"/>
  <c r="G1618" i="1"/>
  <c r="G1617" i="1"/>
  <c r="G1616" i="1"/>
  <c r="G1602" i="1"/>
  <c r="H1603" i="1" s="1"/>
  <c r="H1604" i="1" s="1"/>
  <c r="G1601" i="1"/>
  <c r="G1600" i="1"/>
  <c r="G1586" i="1"/>
  <c r="G1585" i="1"/>
  <c r="G1584" i="1"/>
  <c r="G1571" i="1"/>
  <c r="G1570" i="1"/>
  <c r="G1569" i="1"/>
  <c r="H1572" i="1" s="1"/>
  <c r="H1573" i="1" s="1"/>
  <c r="G1550" i="1"/>
  <c r="G1549" i="1"/>
  <c r="G1548" i="1"/>
  <c r="H1551" i="1" s="1"/>
  <c r="H1552" i="1" s="1"/>
  <c r="H1537" i="1"/>
  <c r="G1535" i="1"/>
  <c r="G1534" i="1"/>
  <c r="G1533" i="1"/>
  <c r="H1536" i="1" s="1"/>
  <c r="H1522" i="1"/>
  <c r="H1523" i="1" s="1"/>
  <c r="G1521" i="1"/>
  <c r="G1520" i="1"/>
  <c r="G1519" i="1"/>
  <c r="G1506" i="1"/>
  <c r="H1507" i="1" s="1"/>
  <c r="H1508" i="1" s="1"/>
  <c r="G1505" i="1"/>
  <c r="G1504" i="1"/>
  <c r="G1492" i="1"/>
  <c r="G1491" i="1"/>
  <c r="G1490" i="1"/>
  <c r="G1478" i="1"/>
  <c r="G1477" i="1"/>
  <c r="G1476" i="1"/>
  <c r="H1479" i="1" s="1"/>
  <c r="H1480" i="1" s="1"/>
  <c r="G1464" i="1"/>
  <c r="G1463" i="1"/>
  <c r="G1462" i="1"/>
  <c r="H1465" i="1" s="1"/>
  <c r="H1466" i="1" s="1"/>
  <c r="G1450" i="1"/>
  <c r="G1449" i="1"/>
  <c r="G1448" i="1"/>
  <c r="H1451" i="1" s="1"/>
  <c r="H1452" i="1" s="1"/>
  <c r="H1435" i="1"/>
  <c r="H1434" i="1"/>
  <c r="G1433" i="1"/>
  <c r="G1432" i="1"/>
  <c r="G1431" i="1"/>
  <c r="G1416" i="1"/>
  <c r="H1417" i="1" s="1"/>
  <c r="H1418" i="1" s="1"/>
  <c r="G1415" i="1"/>
  <c r="G1414" i="1"/>
  <c r="G1400" i="1"/>
  <c r="G1399" i="1"/>
  <c r="G1398" i="1"/>
  <c r="G1377" i="1"/>
  <c r="G1376" i="1"/>
  <c r="G1375" i="1"/>
  <c r="G1353" i="1"/>
  <c r="G1352" i="1"/>
  <c r="G1351" i="1"/>
  <c r="H1354" i="1" s="1"/>
  <c r="H1355" i="1" s="1"/>
  <c r="H1336" i="1"/>
  <c r="G1334" i="1"/>
  <c r="G1333" i="1"/>
  <c r="G1332" i="1"/>
  <c r="H1335" i="1" s="1"/>
  <c r="H1318" i="1"/>
  <c r="H1317" i="1"/>
  <c r="G1316" i="1"/>
  <c r="G1315" i="1"/>
  <c r="G1314" i="1"/>
  <c r="G1297" i="1"/>
  <c r="H1298" i="1" s="1"/>
  <c r="H1299" i="1" s="1"/>
  <c r="G1296" i="1"/>
  <c r="G1295" i="1"/>
  <c r="G1276" i="1"/>
  <c r="G1275" i="1"/>
  <c r="G1274" i="1"/>
  <c r="H1277" i="1" s="1"/>
  <c r="H1278" i="1" s="1"/>
  <c r="G1257" i="1"/>
  <c r="G1256" i="1"/>
  <c r="G1255" i="1"/>
  <c r="H1258" i="1" s="1"/>
  <c r="H1259" i="1" s="1"/>
  <c r="G1238" i="1"/>
  <c r="G1237" i="1"/>
  <c r="G1236" i="1"/>
  <c r="H1239" i="1" s="1"/>
  <c r="H1240" i="1" s="1"/>
  <c r="H1220" i="1"/>
  <c r="G1218" i="1"/>
  <c r="G1217" i="1"/>
  <c r="G1216" i="1"/>
  <c r="H1219" i="1" s="1"/>
  <c r="H1201" i="1"/>
  <c r="H1202" i="1" s="1"/>
  <c r="G1200" i="1"/>
  <c r="G1199" i="1"/>
  <c r="G1198" i="1"/>
  <c r="G1183" i="1"/>
  <c r="H1184" i="1" s="1"/>
  <c r="H1185" i="1" s="1"/>
  <c r="G1182" i="1"/>
  <c r="G1181" i="1"/>
  <c r="G1165" i="1"/>
  <c r="G1164" i="1"/>
  <c r="G1163" i="1"/>
  <c r="G1146" i="1"/>
  <c r="G1145" i="1"/>
  <c r="G1144" i="1"/>
  <c r="H1147" i="1" s="1"/>
  <c r="H1148" i="1" s="1"/>
  <c r="G1128" i="1"/>
  <c r="G1127" i="1"/>
  <c r="G1126" i="1"/>
  <c r="H1129" i="1" s="1"/>
  <c r="H1130" i="1" s="1"/>
  <c r="G1111" i="1"/>
  <c r="G1110" i="1"/>
  <c r="G1109" i="1"/>
  <c r="H1112" i="1" s="1"/>
  <c r="H1113" i="1" s="1"/>
  <c r="H1096" i="1"/>
  <c r="H1095" i="1"/>
  <c r="G1094" i="1"/>
  <c r="G1093" i="1"/>
  <c r="G1092" i="1"/>
  <c r="G1077" i="1"/>
  <c r="H1078" i="1" s="1"/>
  <c r="H1079" i="1" s="1"/>
  <c r="G1076" i="1"/>
  <c r="G1075" i="1"/>
  <c r="G1062" i="1"/>
  <c r="G1061" i="1"/>
  <c r="G1060" i="1"/>
  <c r="G1045" i="1"/>
  <c r="G1044" i="1"/>
  <c r="G1043" i="1"/>
  <c r="G1030" i="1"/>
  <c r="G1029" i="1"/>
  <c r="G1028" i="1"/>
  <c r="H1031" i="1" s="1"/>
  <c r="H1032" i="1" s="1"/>
  <c r="H1017" i="1"/>
  <c r="G1015" i="1"/>
  <c r="G1014" i="1"/>
  <c r="G1013" i="1"/>
  <c r="G1012" i="1"/>
  <c r="H1016" i="1" s="1"/>
  <c r="H999" i="1"/>
  <c r="G997" i="1"/>
  <c r="G996" i="1"/>
  <c r="G995" i="1"/>
  <c r="G994" i="1"/>
  <c r="H998" i="1" s="1"/>
  <c r="H979" i="1"/>
  <c r="G977" i="1"/>
  <c r="G976" i="1"/>
  <c r="G975" i="1"/>
  <c r="G974" i="1"/>
  <c r="H978" i="1" s="1"/>
  <c r="H961" i="1"/>
  <c r="G959" i="1"/>
  <c r="G958" i="1"/>
  <c r="G957" i="1"/>
  <c r="G956" i="1"/>
  <c r="H960" i="1" s="1"/>
  <c r="G941" i="1"/>
  <c r="G940" i="1"/>
  <c r="G939" i="1"/>
  <c r="G938" i="1"/>
  <c r="H942" i="1" s="1"/>
  <c r="H943" i="1" s="1"/>
  <c r="G922" i="1"/>
  <c r="G921" i="1"/>
  <c r="G920" i="1"/>
  <c r="G919" i="1"/>
  <c r="H923" i="1" s="1"/>
  <c r="H924" i="1" s="1"/>
  <c r="H908" i="1"/>
  <c r="G906" i="1"/>
  <c r="G905" i="1"/>
  <c r="G904" i="1"/>
  <c r="G903" i="1"/>
  <c r="H907" i="1" s="1"/>
  <c r="H889" i="1"/>
  <c r="G887" i="1"/>
  <c r="G886" i="1"/>
  <c r="G885" i="1"/>
  <c r="G884" i="1"/>
  <c r="H888" i="1" s="1"/>
  <c r="H871" i="1"/>
  <c r="G869" i="1"/>
  <c r="G868" i="1"/>
  <c r="G867" i="1"/>
  <c r="G866" i="1"/>
  <c r="H870" i="1" s="1"/>
  <c r="H852" i="1"/>
  <c r="G850" i="1"/>
  <c r="G849" i="1"/>
  <c r="G848" i="1"/>
  <c r="G847" i="1"/>
  <c r="H851" i="1" s="1"/>
  <c r="G834" i="1"/>
  <c r="G833" i="1"/>
  <c r="G832" i="1"/>
  <c r="G831" i="1"/>
  <c r="H835" i="1" s="1"/>
  <c r="H836" i="1" s="1"/>
  <c r="G814" i="1"/>
  <c r="G813" i="1"/>
  <c r="G812" i="1"/>
  <c r="G811" i="1"/>
  <c r="H815" i="1" s="1"/>
  <c r="H816" i="1" s="1"/>
  <c r="H799" i="1"/>
  <c r="G797" i="1"/>
  <c r="G796" i="1"/>
  <c r="G795" i="1"/>
  <c r="G794" i="1"/>
  <c r="H798" i="1" s="1"/>
  <c r="H777" i="1"/>
  <c r="G775" i="1"/>
  <c r="G774" i="1"/>
  <c r="G773" i="1"/>
  <c r="G772" i="1"/>
  <c r="H776" i="1" s="1"/>
  <c r="H757" i="1"/>
  <c r="G755" i="1"/>
  <c r="G754" i="1"/>
  <c r="G753" i="1"/>
  <c r="G752" i="1"/>
  <c r="H756" i="1" s="1"/>
  <c r="H741" i="1"/>
  <c r="G739" i="1"/>
  <c r="G738" i="1"/>
  <c r="G737" i="1"/>
  <c r="G736" i="1"/>
  <c r="H740" i="1" s="1"/>
  <c r="G722" i="1"/>
  <c r="G721" i="1"/>
  <c r="G720" i="1"/>
  <c r="G719" i="1"/>
  <c r="H723" i="1" s="1"/>
  <c r="H724" i="1" s="1"/>
  <c r="G705" i="1"/>
  <c r="G704" i="1"/>
  <c r="G703" i="1"/>
  <c r="G702" i="1"/>
  <c r="H706" i="1" s="1"/>
  <c r="H707" i="1" s="1"/>
  <c r="H689" i="1"/>
  <c r="G687" i="1"/>
  <c r="G686" i="1"/>
  <c r="G685" i="1"/>
  <c r="G684" i="1"/>
  <c r="H688" i="1" s="1"/>
  <c r="H669" i="1"/>
  <c r="G667" i="1"/>
  <c r="G666" i="1"/>
  <c r="G665" i="1"/>
  <c r="G664" i="1"/>
  <c r="H668" i="1" s="1"/>
  <c r="H652" i="1"/>
  <c r="H651" i="1"/>
  <c r="G650" i="1"/>
  <c r="G649" i="1"/>
  <c r="G648" i="1"/>
  <c r="G647" i="1"/>
  <c r="H631" i="1"/>
  <c r="H630" i="1"/>
  <c r="G629" i="1"/>
  <c r="G628" i="1"/>
  <c r="G627" i="1"/>
  <c r="G626" i="1"/>
  <c r="H613" i="1"/>
  <c r="H612" i="1"/>
  <c r="G611" i="1"/>
  <c r="G610" i="1"/>
  <c r="G609" i="1"/>
  <c r="G608" i="1"/>
  <c r="H596" i="1"/>
  <c r="H595" i="1"/>
  <c r="G594" i="1"/>
  <c r="G593" i="1"/>
  <c r="G592" i="1"/>
  <c r="G591" i="1"/>
  <c r="H579" i="1"/>
  <c r="H578" i="1"/>
  <c r="G577" i="1"/>
  <c r="G576" i="1"/>
  <c r="G575" i="1"/>
  <c r="G574" i="1"/>
  <c r="H562" i="1"/>
  <c r="H561" i="1"/>
  <c r="G560" i="1"/>
  <c r="G559" i="1"/>
  <c r="G558" i="1"/>
  <c r="G557" i="1"/>
  <c r="H543" i="1"/>
  <c r="H542" i="1"/>
  <c r="G541" i="1"/>
  <c r="G540" i="1"/>
  <c r="G539" i="1"/>
  <c r="G538" i="1"/>
  <c r="H524" i="1"/>
  <c r="H523" i="1"/>
  <c r="G522" i="1"/>
  <c r="G521" i="1"/>
  <c r="G520" i="1"/>
  <c r="G519" i="1"/>
  <c r="H504" i="1"/>
  <c r="H503" i="1"/>
  <c r="G502" i="1"/>
  <c r="G501" i="1"/>
  <c r="G500" i="1"/>
  <c r="G499" i="1"/>
  <c r="H487" i="1"/>
  <c r="H486" i="1"/>
  <c r="G485" i="1"/>
  <c r="G484" i="1"/>
  <c r="G483" i="1"/>
  <c r="G482" i="1"/>
  <c r="H467" i="1"/>
  <c r="H466" i="1"/>
  <c r="G465" i="1"/>
  <c r="G464" i="1"/>
  <c r="G463" i="1"/>
  <c r="G462" i="1"/>
  <c r="H446" i="1"/>
  <c r="H445" i="1"/>
  <c r="G444" i="1"/>
  <c r="G443" i="1"/>
  <c r="G442" i="1"/>
  <c r="G441" i="1"/>
  <c r="H427" i="1"/>
  <c r="H426" i="1"/>
  <c r="G425" i="1"/>
  <c r="G424" i="1"/>
  <c r="G423" i="1"/>
  <c r="G422" i="1"/>
  <c r="H404" i="1"/>
  <c r="H403" i="1"/>
  <c r="G402" i="1"/>
  <c r="G401" i="1"/>
  <c r="G400" i="1"/>
  <c r="G399" i="1"/>
  <c r="H382" i="1"/>
  <c r="H381" i="1"/>
  <c r="G380" i="1"/>
  <c r="G379" i="1"/>
  <c r="G378" i="1"/>
  <c r="G377" i="1"/>
  <c r="H365" i="1"/>
  <c r="H364" i="1"/>
  <c r="G363" i="1"/>
  <c r="G362" i="1"/>
  <c r="G361" i="1"/>
  <c r="G360" i="1"/>
  <c r="H346" i="1"/>
  <c r="H345" i="1"/>
  <c r="G344" i="1"/>
  <c r="G343" i="1"/>
  <c r="G342" i="1"/>
  <c r="G341" i="1"/>
  <c r="H324" i="1"/>
  <c r="H323" i="1"/>
  <c r="G322" i="1"/>
  <c r="G321" i="1"/>
  <c r="G320" i="1"/>
  <c r="G319" i="1"/>
  <c r="H303" i="1"/>
  <c r="H302" i="1"/>
  <c r="G301" i="1"/>
  <c r="G300" i="1"/>
  <c r="G299" i="1"/>
  <c r="G298" i="1"/>
  <c r="H286" i="1"/>
  <c r="H285" i="1"/>
  <c r="G284" i="1"/>
  <c r="G283" i="1"/>
  <c r="G282" i="1"/>
  <c r="G281" i="1"/>
  <c r="H269" i="1"/>
  <c r="H268" i="1"/>
  <c r="G267" i="1"/>
  <c r="G266" i="1"/>
  <c r="G265" i="1"/>
  <c r="G264" i="1"/>
  <c r="H248" i="1"/>
  <c r="H247" i="1"/>
  <c r="G246" i="1"/>
  <c r="G245" i="1"/>
  <c r="G244" i="1"/>
  <c r="G243" i="1"/>
  <c r="H228" i="1"/>
  <c r="H227" i="1"/>
  <c r="G226" i="1"/>
  <c r="G225" i="1"/>
  <c r="G224" i="1"/>
  <c r="G223" i="1"/>
  <c r="H207" i="1"/>
  <c r="H206" i="1"/>
  <c r="G205" i="1"/>
  <c r="G204" i="1"/>
  <c r="G203" i="1"/>
  <c r="G202" i="1"/>
  <c r="H186" i="1"/>
  <c r="H185" i="1"/>
  <c r="G184" i="1"/>
  <c r="G183" i="1"/>
  <c r="G182" i="1"/>
  <c r="G181" i="1"/>
  <c r="H165" i="1"/>
  <c r="H164" i="1"/>
  <c r="G163" i="1"/>
  <c r="G162" i="1"/>
  <c r="G161" i="1"/>
  <c r="G160" i="1"/>
  <c r="H140" i="1"/>
  <c r="H139" i="1"/>
  <c r="G138" i="1"/>
  <c r="G137" i="1"/>
  <c r="G136" i="1"/>
  <c r="G135" i="1"/>
  <c r="H118" i="1"/>
  <c r="H119" i="1" s="1"/>
  <c r="G117" i="1"/>
  <c r="G116" i="1"/>
  <c r="G115" i="1"/>
  <c r="G114" i="1"/>
  <c r="H99" i="1"/>
  <c r="H100" i="1" s="1"/>
  <c r="G98" i="1"/>
  <c r="G97" i="1"/>
  <c r="G96" i="1"/>
  <c r="G95" i="1"/>
  <c r="H80" i="1"/>
  <c r="H81" i="1" s="1"/>
  <c r="G79" i="1"/>
  <c r="G78" i="1"/>
  <c r="G77" i="1"/>
  <c r="G76" i="1"/>
  <c r="H62" i="1"/>
  <c r="H63" i="1" s="1"/>
  <c r="G61" i="1"/>
  <c r="G60" i="1"/>
  <c r="G59" i="1"/>
  <c r="G58" i="1"/>
  <c r="H44" i="1"/>
  <c r="H45" i="1" s="1"/>
  <c r="G43" i="1"/>
  <c r="G42" i="1"/>
  <c r="G41" i="1"/>
  <c r="G40" i="1"/>
  <c r="H26" i="1"/>
  <c r="H27" i="1" s="1"/>
  <c r="G25" i="1"/>
  <c r="G24" i="1"/>
  <c r="G23" i="1"/>
  <c r="G22" i="1"/>
  <c r="G7" i="1"/>
  <c r="H8" i="1" s="1"/>
  <c r="H9" i="1" s="1"/>
  <c r="G6" i="1"/>
  <c r="G5" i="1"/>
  <c r="G4" i="1"/>
  <c r="H1587" i="1" l="1"/>
  <c r="H1588" i="1" s="1"/>
  <c r="H1887" i="1"/>
  <c r="H1888" i="1" s="1"/>
  <c r="H2223" i="1"/>
  <c r="H2224" i="1" s="1"/>
  <c r="H1046" i="1"/>
  <c r="H1047" i="1" s="1"/>
  <c r="H1378" i="1"/>
  <c r="H1379" i="1" s="1"/>
  <c r="H1166" i="1"/>
  <c r="H1167" i="1" s="1"/>
  <c r="H1493" i="1"/>
  <c r="H1494" i="1" s="1"/>
  <c r="H1788" i="1"/>
  <c r="H1789" i="1" s="1"/>
  <c r="H1063" i="1"/>
  <c r="H1064" i="1" s="1"/>
  <c r="H1401" i="1"/>
  <c r="H1402" i="1" s="1"/>
  <c r="H1681" i="1"/>
  <c r="H1682" i="1" s="1"/>
</calcChain>
</file>

<file path=xl/sharedStrings.xml><?xml version="1.0" encoding="utf-8"?>
<sst xmlns="http://schemas.openxmlformats.org/spreadsheetml/2006/main" count="4454" uniqueCount="850">
  <si>
    <t>فاکتور فروش پارچه اوت لت</t>
  </si>
  <si>
    <t>کد سبد 00501</t>
  </si>
  <si>
    <t>ردیف</t>
  </si>
  <si>
    <t>نام طرح‌ها</t>
  </si>
  <si>
    <t>کد اوت لت</t>
  </si>
  <si>
    <t>جنس پارچه</t>
  </si>
  <si>
    <t>متراژ (متر)</t>
  </si>
  <si>
    <t>قیمت واحد (تومان)</t>
  </si>
  <si>
    <t>جمع  (تومان)</t>
  </si>
  <si>
    <t>شکوفه ریز شکلاتی 6827</t>
  </si>
  <si>
    <t>بوگاتی</t>
  </si>
  <si>
    <t>پرنده سبز یلدایی ۶۷۶۶</t>
  </si>
  <si>
    <t xml:space="preserve">ژاکارد </t>
  </si>
  <si>
    <t xml:space="preserve"> پاپیون زمینه مشکی ۶۷۱۳</t>
  </si>
  <si>
    <t>هزینه ارسال رایگان</t>
  </si>
  <si>
    <t>جمع کل بدون تخفیف (تومان):</t>
  </si>
  <si>
    <t>سود شما از این فاکتور (تومان):</t>
  </si>
  <si>
    <t>جمع کل با تخفیف (تومان):</t>
  </si>
  <si>
    <t>کد سبد 00502</t>
  </si>
  <si>
    <t>بابونه ابی ریز | کد ۶۷۲۷</t>
  </si>
  <si>
    <t>گل ابی 5006</t>
  </si>
  <si>
    <t>گل 4062</t>
  </si>
  <si>
    <t>کد سبد 00503</t>
  </si>
  <si>
    <t>دیپلمات مشکی سفید 6543</t>
  </si>
  <si>
    <t>بابونه زمینه مشکی 6719</t>
  </si>
  <si>
    <t>گل سرخ ریز 6745</t>
  </si>
  <si>
    <t>کد سبد 00504</t>
  </si>
  <si>
    <t>پاپیون خالدار مشکی 6692</t>
  </si>
  <si>
    <t>017/</t>
  </si>
  <si>
    <t>پروانه شاینی 6525</t>
  </si>
  <si>
    <t>کد سبد 00505</t>
  </si>
  <si>
    <t>پاپیون مشکی خالدار 6692</t>
  </si>
  <si>
    <t>06177/</t>
  </si>
  <si>
    <t>گل 5002</t>
  </si>
  <si>
    <t>040/</t>
  </si>
  <si>
    <t>06314/</t>
  </si>
  <si>
    <t>کد سبد 00506</t>
  </si>
  <si>
    <t>رز بزرگ سفید 6735</t>
  </si>
  <si>
    <t>07658/</t>
  </si>
  <si>
    <t>پاپیون رزی 6759</t>
  </si>
  <si>
    <t>01861/</t>
  </si>
  <si>
    <t>پاپیون درشت 6769</t>
  </si>
  <si>
    <t>07794/</t>
  </si>
  <si>
    <t>کد سبد 00507</t>
  </si>
  <si>
    <t>باغ هزار گل سورمه ای 6836</t>
  </si>
  <si>
    <t>06324/</t>
  </si>
  <si>
    <t>گل 5038</t>
  </si>
  <si>
    <t>03848/</t>
  </si>
  <si>
    <t>شگوفه ریز سورمه ای 6748</t>
  </si>
  <si>
    <t>07627/</t>
  </si>
  <si>
    <t>کد سبد 00508</t>
  </si>
  <si>
    <t>ماه و ستاره 6201</t>
  </si>
  <si>
    <t>04398/</t>
  </si>
  <si>
    <t>پاپیون زمینه مشکی 6713</t>
  </si>
  <si>
    <t>0800/</t>
  </si>
  <si>
    <t>زبرا مشکی  6528</t>
  </si>
  <si>
    <t>07577/</t>
  </si>
  <si>
    <t>کد سبد 00509</t>
  </si>
  <si>
    <t>بابونه زمینه گلبهی 6392</t>
  </si>
  <si>
    <t>07013/</t>
  </si>
  <si>
    <t>یاپیون درشت 6769</t>
  </si>
  <si>
    <t>03029/</t>
  </si>
  <si>
    <t>ژاکارد</t>
  </si>
  <si>
    <t>ماربل رنگی 6682</t>
  </si>
  <si>
    <t>0504/</t>
  </si>
  <si>
    <t>کد سبد 00510</t>
  </si>
  <si>
    <t>گل اسلیمی سرخابی 6823</t>
  </si>
  <si>
    <t>01696/</t>
  </si>
  <si>
    <t>باغ هزار گل 6811</t>
  </si>
  <si>
    <t>0540/</t>
  </si>
  <si>
    <t>کد سبد 00511</t>
  </si>
  <si>
    <t>پاپیون راه راه شیری 6873</t>
  </si>
  <si>
    <t>0530/</t>
  </si>
  <si>
    <t>باغ گل صورتی 6742</t>
  </si>
  <si>
    <t>06326/</t>
  </si>
  <si>
    <t>شکوفه صورتی پودری 6864</t>
  </si>
  <si>
    <t>06724/</t>
  </si>
  <si>
    <t>کد سبد 00512</t>
  </si>
  <si>
    <t>پروانه و شکوفه 6818</t>
  </si>
  <si>
    <t>04204/</t>
  </si>
  <si>
    <t>بابونه ابی ریز 6727</t>
  </si>
  <si>
    <t>0721/</t>
  </si>
  <si>
    <t>کاشی گل ابی 6825</t>
  </si>
  <si>
    <t>07919/</t>
  </si>
  <si>
    <t>کد سبد 00513</t>
  </si>
  <si>
    <t>چهل تیکه سرخ 6817</t>
  </si>
  <si>
    <t>07337/</t>
  </si>
  <si>
    <t>01981/</t>
  </si>
  <si>
    <t>بالرین 1061</t>
  </si>
  <si>
    <t>01257/</t>
  </si>
  <si>
    <t>کد سبد 00514</t>
  </si>
  <si>
    <t>دیور صورتی 6819</t>
  </si>
  <si>
    <t>08291/</t>
  </si>
  <si>
    <t>پاپیون خال خالی 6761</t>
  </si>
  <si>
    <t>04303/</t>
  </si>
  <si>
    <t>01430/</t>
  </si>
  <si>
    <t>کد سبد 00515</t>
  </si>
  <si>
    <t>گل رنگی زرد نارنجی 6733</t>
  </si>
  <si>
    <t>7318/</t>
  </si>
  <si>
    <t>03715/</t>
  </si>
  <si>
    <t>گکرم تک رنگ 6837</t>
  </si>
  <si>
    <t>0523/</t>
  </si>
  <si>
    <t>کد سبد 00516</t>
  </si>
  <si>
    <t>07641/</t>
  </si>
  <si>
    <t>پینترستی سبز 6780</t>
  </si>
  <si>
    <t>02590/</t>
  </si>
  <si>
    <t>بلبل بهاری 6807</t>
  </si>
  <si>
    <t>3754/</t>
  </si>
  <si>
    <t>کد سبد 00517</t>
  </si>
  <si>
    <t>بابونه زمینه گلبهی  6392</t>
  </si>
  <si>
    <t>03740/</t>
  </si>
  <si>
    <t>گل رز صورتی 6714</t>
  </si>
  <si>
    <t>0600/</t>
  </si>
  <si>
    <t>بابونه گل نارنجی 6760</t>
  </si>
  <si>
    <t>01697/</t>
  </si>
  <si>
    <t>کد سبد 00518</t>
  </si>
  <si>
    <t>شکوفه سیب 3068</t>
  </si>
  <si>
    <t>03045/</t>
  </si>
  <si>
    <t>0929/</t>
  </si>
  <si>
    <t>کاشی سنتی 4082</t>
  </si>
  <si>
    <t>06265/</t>
  </si>
  <si>
    <t>کد سبد 00519</t>
  </si>
  <si>
    <t>آناناس زمینه سفید 6717</t>
  </si>
  <si>
    <t>08840/</t>
  </si>
  <si>
    <t>0355/</t>
  </si>
  <si>
    <t>پاپیون و گل 6705</t>
  </si>
  <si>
    <t>0550/</t>
  </si>
  <si>
    <t xml:space="preserve">بوگاتی </t>
  </si>
  <si>
    <t>کد سبد 00520</t>
  </si>
  <si>
    <t>سوفی 2013</t>
  </si>
  <si>
    <t>07297/</t>
  </si>
  <si>
    <t>برون لاین فرندز شکلاتی 5093</t>
  </si>
  <si>
    <t>02953/</t>
  </si>
  <si>
    <t>گربه های رنگی 6404</t>
  </si>
  <si>
    <t>07228/</t>
  </si>
  <si>
    <t>کد سبد 00521</t>
  </si>
  <si>
    <t>اسپایدر من 6831</t>
  </si>
  <si>
    <t>07646/</t>
  </si>
  <si>
    <t>دختر فرفری 6673</t>
  </si>
  <si>
    <t>07950/</t>
  </si>
  <si>
    <t>انیمه 6352</t>
  </si>
  <si>
    <t>08817/</t>
  </si>
  <si>
    <t>کد سبد 00522</t>
  </si>
  <si>
    <t>برون لاین فرندز سفید 6018</t>
  </si>
  <si>
    <t>01985/</t>
  </si>
  <si>
    <t>پاپیون شکلاتی 6833</t>
  </si>
  <si>
    <t>گوچی 6313</t>
  </si>
  <si>
    <t>06222/</t>
  </si>
  <si>
    <t>کد سبد 00523</t>
  </si>
  <si>
    <t>08812/</t>
  </si>
  <si>
    <t>کرم تک رنگ 6837</t>
  </si>
  <si>
    <t>02783/</t>
  </si>
  <si>
    <t>کد سبد 00524</t>
  </si>
  <si>
    <t>پترن چریکی 7002</t>
  </si>
  <si>
    <t>03088/</t>
  </si>
  <si>
    <t>گوچی 6058</t>
  </si>
  <si>
    <t>03641/</t>
  </si>
  <si>
    <t>کد سبد 00525</t>
  </si>
  <si>
    <t>07833/</t>
  </si>
  <si>
    <t>بابونه بهشتی شکلاتی 6813</t>
  </si>
  <si>
    <t>07963/</t>
  </si>
  <si>
    <t>کد سبد 00526</t>
  </si>
  <si>
    <t>04101/</t>
  </si>
  <si>
    <t>بابونه 3058</t>
  </si>
  <si>
    <t>03051/</t>
  </si>
  <si>
    <t>07843/</t>
  </si>
  <si>
    <t>کد سبد 00527</t>
  </si>
  <si>
    <t>پرنده سبز یلدایی 6766</t>
  </si>
  <si>
    <t>رز صورتی 6876</t>
  </si>
  <si>
    <t>08433/</t>
  </si>
  <si>
    <t>دسته گل کرمی 6781</t>
  </si>
  <si>
    <t>1209/</t>
  </si>
  <si>
    <t>کد سبد 00528</t>
  </si>
  <si>
    <t>گل و پرنده یلدایی قرمز 6762</t>
  </si>
  <si>
    <t>08418/</t>
  </si>
  <si>
    <t>پاپیون دانتلی 6809</t>
  </si>
  <si>
    <t>03839/</t>
  </si>
  <si>
    <t>کد سبد 00529</t>
  </si>
  <si>
    <t>07313/</t>
  </si>
  <si>
    <t>0689/</t>
  </si>
  <si>
    <t>07326/</t>
  </si>
  <si>
    <t>کد سبد 00530</t>
  </si>
  <si>
    <t>گل و بته 6810</t>
  </si>
  <si>
    <t>04313/</t>
  </si>
  <si>
    <t>08427/</t>
  </si>
  <si>
    <t>گوچی شکلاتی 6021</t>
  </si>
  <si>
    <t>07594/</t>
  </si>
  <si>
    <t>کد سبد 00531</t>
  </si>
  <si>
    <t>پاپیون راه راه شکلاتی 6871</t>
  </si>
  <si>
    <t>07266/</t>
  </si>
  <si>
    <t>08417/</t>
  </si>
  <si>
    <t>باغ پرنده 6840</t>
  </si>
  <si>
    <t>06136/</t>
  </si>
  <si>
    <t>کد سبد 00532</t>
  </si>
  <si>
    <t>بلبل کرمی 6845</t>
  </si>
  <si>
    <t>06484/</t>
  </si>
  <si>
    <t>0738/</t>
  </si>
  <si>
    <t>فرش چهل نگار 6812</t>
  </si>
  <si>
    <t>07828/</t>
  </si>
  <si>
    <t>کد سبد 00533</t>
  </si>
  <si>
    <t>پروانه مورفو 6743</t>
  </si>
  <si>
    <t>04369/</t>
  </si>
  <si>
    <t>پاپیون ترندی 6744</t>
  </si>
  <si>
    <t>0917/</t>
  </si>
  <si>
    <t>07959/</t>
  </si>
  <si>
    <t>کد سبد 00534</t>
  </si>
  <si>
    <t>پروانه بهاری 6701</t>
  </si>
  <si>
    <t>07582/</t>
  </si>
  <si>
    <t>0682/</t>
  </si>
  <si>
    <t>08873/</t>
  </si>
  <si>
    <t>کد سبد 00535</t>
  </si>
  <si>
    <t>شکوفه و پرنده یلدایی قرمز 6765</t>
  </si>
  <si>
    <t>02931/</t>
  </si>
  <si>
    <t>قلب توخالی 6725</t>
  </si>
  <si>
    <t>06307/</t>
  </si>
  <si>
    <t>بابونه شرابی 6750</t>
  </si>
  <si>
    <t>07307/</t>
  </si>
  <si>
    <t>کد سبد 00536</t>
  </si>
  <si>
    <t>09398/</t>
  </si>
  <si>
    <t>03698/</t>
  </si>
  <si>
    <t>07650/</t>
  </si>
  <si>
    <t>کد سبد 00537</t>
  </si>
  <si>
    <t>گل ابی 5036</t>
  </si>
  <si>
    <t>07631/</t>
  </si>
  <si>
    <t>01820/</t>
  </si>
  <si>
    <t>پروانه و مرغ بهاری 6674</t>
  </si>
  <si>
    <t>کد سبد 00538</t>
  </si>
  <si>
    <t>گل 5006</t>
  </si>
  <si>
    <t>04181/</t>
  </si>
  <si>
    <t>گل و بلبل ابی 6012</t>
  </si>
  <si>
    <t>0569/</t>
  </si>
  <si>
    <t>گل پینترستی ابی 6775</t>
  </si>
  <si>
    <t>04616/</t>
  </si>
  <si>
    <t>کد سبد 00539</t>
  </si>
  <si>
    <t>ونگوک 5096</t>
  </si>
  <si>
    <t>07387/</t>
  </si>
  <si>
    <t>گل و مرغ بهاری 6381</t>
  </si>
  <si>
    <t>05648/</t>
  </si>
  <si>
    <t>07373/</t>
  </si>
  <si>
    <t>کد سبد 00540</t>
  </si>
  <si>
    <t>06181/</t>
  </si>
  <si>
    <t>7321/</t>
  </si>
  <si>
    <t>کد سبد 00541</t>
  </si>
  <si>
    <t>توت فرنگی 1074</t>
  </si>
  <si>
    <t>06337/</t>
  </si>
  <si>
    <t>قلب تو خالی 6725</t>
  </si>
  <si>
    <t>02827/</t>
  </si>
  <si>
    <t>07928/</t>
  </si>
  <si>
    <t>کد سبد 00542</t>
  </si>
  <si>
    <t>قلبی ریز 6857</t>
  </si>
  <si>
    <t>03820/</t>
  </si>
  <si>
    <t>03834/</t>
  </si>
  <si>
    <t>کد سبد 00543</t>
  </si>
  <si>
    <t>پاپیون زمینه سفید 6712</t>
  </si>
  <si>
    <t>7825/</t>
  </si>
  <si>
    <t>0338/</t>
  </si>
  <si>
    <t>03857/</t>
  </si>
  <si>
    <t>کد سبد 00544</t>
  </si>
  <si>
    <t>07907/</t>
  </si>
  <si>
    <t>01722/</t>
  </si>
  <si>
    <t>03735/</t>
  </si>
  <si>
    <t>کد سبد 00545</t>
  </si>
  <si>
    <t>باندانا ابی 6380</t>
  </si>
  <si>
    <t>07580/</t>
  </si>
  <si>
    <t>02806/</t>
  </si>
  <si>
    <t>07827/</t>
  </si>
  <si>
    <t>کد سبد 00546</t>
  </si>
  <si>
    <t>03845/</t>
  </si>
  <si>
    <t>08099/</t>
  </si>
  <si>
    <t>گل بهاری ابی 6721</t>
  </si>
  <si>
    <t>03826/</t>
  </si>
  <si>
    <t>کد سبد 00547</t>
  </si>
  <si>
    <t>03851/</t>
  </si>
  <si>
    <t>04378/</t>
  </si>
  <si>
    <t>کد سبد 00548</t>
  </si>
  <si>
    <t>بابونه بهشتی سبز 6732</t>
  </si>
  <si>
    <t>06732/</t>
  </si>
  <si>
    <t>کاشی پرنده 6686</t>
  </si>
  <si>
    <t>0423/</t>
  </si>
  <si>
    <t>07292/</t>
  </si>
  <si>
    <t>کد سبد 00549</t>
  </si>
  <si>
    <t>01245/</t>
  </si>
  <si>
    <t>051/</t>
  </si>
  <si>
    <t>03835/</t>
  </si>
  <si>
    <t>کد سبد 00550</t>
  </si>
  <si>
    <t>پروانه اطلسی 6536</t>
  </si>
  <si>
    <t>04394/</t>
  </si>
  <si>
    <t>رز بزرگ مشکی 6731</t>
  </si>
  <si>
    <t>0342/</t>
  </si>
  <si>
    <t>08896/</t>
  </si>
  <si>
    <t>کد سبد 00551</t>
  </si>
  <si>
    <t>پروانه طلایی 6768</t>
  </si>
  <si>
    <t>01854/</t>
  </si>
  <si>
    <t>جنگل دیور 6545</t>
  </si>
  <si>
    <t>08859/</t>
  </si>
  <si>
    <t>کد سبد 00552</t>
  </si>
  <si>
    <t>بتمن 6830</t>
  </si>
  <si>
    <t>03803/</t>
  </si>
  <si>
    <t>گل و پرنده زمردی 6843</t>
  </si>
  <si>
    <t>02848/</t>
  </si>
  <si>
    <t>07960/</t>
  </si>
  <si>
    <t>کد سبد 00553</t>
  </si>
  <si>
    <t>07422/</t>
  </si>
  <si>
    <t>گل 5004</t>
  </si>
  <si>
    <t>01129/</t>
  </si>
  <si>
    <t>07268/</t>
  </si>
  <si>
    <t>کد سبد 00554</t>
  </si>
  <si>
    <t>03819/</t>
  </si>
  <si>
    <t>01593/</t>
  </si>
  <si>
    <t>کد سبد 00555</t>
  </si>
  <si>
    <t>قلب شکلاتی 6826</t>
  </si>
  <si>
    <t>07831/</t>
  </si>
  <si>
    <t>08423/</t>
  </si>
  <si>
    <t>کد سبد 00556</t>
  </si>
  <si>
    <t>بابونه منحنی یاسی  6388</t>
  </si>
  <si>
    <t>03456/</t>
  </si>
  <si>
    <t>پرنده لی لی 6693</t>
  </si>
  <si>
    <t>08426/</t>
  </si>
  <si>
    <t>کد سبد 00557</t>
  </si>
  <si>
    <t>01980/</t>
  </si>
  <si>
    <t>گل 3080</t>
  </si>
  <si>
    <t>125/</t>
  </si>
  <si>
    <t>کد سبد 00558</t>
  </si>
  <si>
    <t>06206/</t>
  </si>
  <si>
    <t>زبرا  شکلاتی 6808</t>
  </si>
  <si>
    <t>08067/</t>
  </si>
  <si>
    <t>کد سبد 00559</t>
  </si>
  <si>
    <t>قلب  2076</t>
  </si>
  <si>
    <t>04237/</t>
  </si>
  <si>
    <t>گل پینترستی سبز 6780</t>
  </si>
  <si>
    <t>06529/</t>
  </si>
  <si>
    <t>کد سبد 00560</t>
  </si>
  <si>
    <t>گل راه راه دنیا 6323</t>
  </si>
  <si>
    <t>01974/</t>
  </si>
  <si>
    <t>03265/</t>
  </si>
  <si>
    <t>کد سبد 00561</t>
  </si>
  <si>
    <t>گل و پرنده قرمز یلدایی 6762</t>
  </si>
  <si>
    <t>0936/</t>
  </si>
  <si>
    <t>01258/</t>
  </si>
  <si>
    <t>کد سبد 00562</t>
  </si>
  <si>
    <t>دختر آفریقایی  6213</t>
  </si>
  <si>
    <t>03036/</t>
  </si>
  <si>
    <t>کد سبد 00563</t>
  </si>
  <si>
    <t>04145/</t>
  </si>
  <si>
    <t>فرش قرمز ایرانی 6804</t>
  </si>
  <si>
    <t>02599/</t>
  </si>
  <si>
    <t>کد سبد 00564</t>
  </si>
  <si>
    <t>گل سنبل یاسی 6891</t>
  </si>
  <si>
    <t>06336/</t>
  </si>
  <si>
    <t>02358/</t>
  </si>
  <si>
    <t>کد سبد 00565</t>
  </si>
  <si>
    <t>پاپیون و  گل صورتی 6853</t>
  </si>
  <si>
    <t>03049/</t>
  </si>
  <si>
    <t>کد سبد 00566</t>
  </si>
  <si>
    <t>06172/</t>
  </si>
  <si>
    <t>کد سبد 00567</t>
  </si>
  <si>
    <t>07284/</t>
  </si>
  <si>
    <t>لیمو و طوطی 6859</t>
  </si>
  <si>
    <t>0802/</t>
  </si>
  <si>
    <t>کد سبد 00568</t>
  </si>
  <si>
    <t>گل بهاری آبی 6721</t>
  </si>
  <si>
    <t>01694/</t>
  </si>
  <si>
    <t>کد سبد 00569</t>
  </si>
  <si>
    <t>گیلاس پاپیونی قرمز 6763</t>
  </si>
  <si>
    <t>07333/</t>
  </si>
  <si>
    <t>0481/</t>
  </si>
  <si>
    <t>کد سبد 00570</t>
  </si>
  <si>
    <t>گل کریستالی 6854</t>
  </si>
  <si>
    <t>01006/</t>
  </si>
  <si>
    <t>02368/</t>
  </si>
  <si>
    <t>کد سبد 00571</t>
  </si>
  <si>
    <t>بابونه منحنی یاسی 6388</t>
  </si>
  <si>
    <t>07240/</t>
  </si>
  <si>
    <t>کد سبد 00572</t>
  </si>
  <si>
    <t>06485/</t>
  </si>
  <si>
    <t>پروانه الماسی 6690</t>
  </si>
  <si>
    <t>02601/</t>
  </si>
  <si>
    <t>کد سبد 00573</t>
  </si>
  <si>
    <t>06179/</t>
  </si>
  <si>
    <t>کد سبد 00574</t>
  </si>
  <si>
    <t>08868/</t>
  </si>
  <si>
    <t>کد سبد 00575</t>
  </si>
  <si>
    <t>03824/</t>
  </si>
  <si>
    <t>کد سبد 00576</t>
  </si>
  <si>
    <t>07886/</t>
  </si>
  <si>
    <t>کد سبد 00577</t>
  </si>
  <si>
    <t>03625/</t>
  </si>
  <si>
    <t>01935/</t>
  </si>
  <si>
    <t>کد سبد 00578</t>
  </si>
  <si>
    <t>07299/</t>
  </si>
  <si>
    <t>02991/</t>
  </si>
  <si>
    <t>کد سبد 00579</t>
  </si>
  <si>
    <t>0439/</t>
  </si>
  <si>
    <t>پاپیون گیپور مشکی 6870</t>
  </si>
  <si>
    <t>01881/</t>
  </si>
  <si>
    <t>کد سبد 00580</t>
  </si>
  <si>
    <t>02638/</t>
  </si>
  <si>
    <t>کد سبد 00581</t>
  </si>
  <si>
    <t>گل رز صورتی 6774</t>
  </si>
  <si>
    <t>04160/</t>
  </si>
  <si>
    <t>کد سبد 00582</t>
  </si>
  <si>
    <t>07377/</t>
  </si>
  <si>
    <t>گل وینتیج 6806</t>
  </si>
  <si>
    <t>01046/</t>
  </si>
  <si>
    <t>کد سبد 00583</t>
  </si>
  <si>
    <t>07583/</t>
  </si>
  <si>
    <t>01456/</t>
  </si>
  <si>
    <t>کد سبد 00584</t>
  </si>
  <si>
    <t>07310/</t>
  </si>
  <si>
    <t>08404/</t>
  </si>
  <si>
    <t>کد سبد 00585</t>
  </si>
  <si>
    <t>بابونه بهشتی زرد 6739</t>
  </si>
  <si>
    <t>04395/</t>
  </si>
  <si>
    <t>پرنده یلدایی سبز 6766</t>
  </si>
  <si>
    <t>03808/</t>
  </si>
  <si>
    <t>کد سبد 00586</t>
  </si>
  <si>
    <t>07303/</t>
  </si>
  <si>
    <t>08429/</t>
  </si>
  <si>
    <t>کد سبد 00587</t>
  </si>
  <si>
    <t>07295/</t>
  </si>
  <si>
    <t>کد سبد 00588</t>
  </si>
  <si>
    <t>گل سبز ریز 6785</t>
  </si>
  <si>
    <t>08878/</t>
  </si>
  <si>
    <t>گل ابی ملیح 6776</t>
  </si>
  <si>
    <t>08437/</t>
  </si>
  <si>
    <t>کد سبد 00589</t>
  </si>
  <si>
    <t>03838/</t>
  </si>
  <si>
    <t>0817/</t>
  </si>
  <si>
    <t>کد سبد 00590</t>
  </si>
  <si>
    <t>کت صورتی 6030</t>
  </si>
  <si>
    <t>08845/</t>
  </si>
  <si>
    <t>02589/</t>
  </si>
  <si>
    <t>کد سبد 00591</t>
  </si>
  <si>
    <t>مه گل 6850</t>
  </si>
  <si>
    <t>01975/</t>
  </si>
  <si>
    <t>0601/</t>
  </si>
  <si>
    <t>کد سبد 00592</t>
  </si>
  <si>
    <t>06218/</t>
  </si>
  <si>
    <t>کد سبد 00593</t>
  </si>
  <si>
    <t>زبرا شکلاتی 6808</t>
  </si>
  <si>
    <t>07605/</t>
  </si>
  <si>
    <t>گوچی گلدار 6752</t>
  </si>
  <si>
    <t>084010/</t>
  </si>
  <si>
    <t>کد سبد 00594</t>
  </si>
  <si>
    <t>کد سبد 00595</t>
  </si>
  <si>
    <t>05223/</t>
  </si>
  <si>
    <t>کد سبد 00596</t>
  </si>
  <si>
    <t>02356/</t>
  </si>
  <si>
    <t>کد سبد 00597</t>
  </si>
  <si>
    <t>08867/</t>
  </si>
  <si>
    <t>06525/</t>
  </si>
  <si>
    <t>کد سبد 00598</t>
  </si>
  <si>
    <t>0309/</t>
  </si>
  <si>
    <t>04031/</t>
  </si>
  <si>
    <t>کد سبد 00599</t>
  </si>
  <si>
    <t>03763/</t>
  </si>
  <si>
    <t>02365/</t>
  </si>
  <si>
    <t>کد سبد 00600</t>
  </si>
  <si>
    <t>.</t>
  </si>
  <si>
    <t>گل 4061</t>
  </si>
  <si>
    <t>06479/</t>
  </si>
  <si>
    <t>03000/</t>
  </si>
  <si>
    <t>کد سبد 00601</t>
  </si>
  <si>
    <t>03852/</t>
  </si>
  <si>
    <t>08409/</t>
  </si>
  <si>
    <t>کد سبد 00602</t>
  </si>
  <si>
    <t>08351/</t>
  </si>
  <si>
    <t>07487/</t>
  </si>
  <si>
    <t>کد سبد 00603</t>
  </si>
  <si>
    <t>07609/</t>
  </si>
  <si>
    <t>کد سبد 00604</t>
  </si>
  <si>
    <t>04319/</t>
  </si>
  <si>
    <t>03059/</t>
  </si>
  <si>
    <t>کد سبد 00605</t>
  </si>
  <si>
    <t>07298/</t>
  </si>
  <si>
    <t>08416/</t>
  </si>
  <si>
    <t>کد سبد 00606</t>
  </si>
  <si>
    <t>پروانه مونلا 6863</t>
  </si>
  <si>
    <t>08436/</t>
  </si>
  <si>
    <t>کد سبد 00607</t>
  </si>
  <si>
    <t>06274/</t>
  </si>
  <si>
    <t>03068/</t>
  </si>
  <si>
    <t>کد سبد 00608</t>
  </si>
  <si>
    <t>07425/</t>
  </si>
  <si>
    <t>02554/</t>
  </si>
  <si>
    <t>کد سبد 00609</t>
  </si>
  <si>
    <t>07370/</t>
  </si>
  <si>
    <t>پروانه پاپیونی 6782</t>
  </si>
  <si>
    <t>کد سبد 00610</t>
  </si>
  <si>
    <t>07640/</t>
  </si>
  <si>
    <t>پپاپیون زمینه مشکی 6713</t>
  </si>
  <si>
    <t>پروانه لونا 6858</t>
  </si>
  <si>
    <t>06205/</t>
  </si>
  <si>
    <t>کد سبد 00611</t>
  </si>
  <si>
    <t>07589/</t>
  </si>
  <si>
    <t>02523/</t>
  </si>
  <si>
    <t>کد سبد 00612</t>
  </si>
  <si>
    <t>تک رنگ صورتی پودری 6865</t>
  </si>
  <si>
    <t>0551/</t>
  </si>
  <si>
    <t>0552/</t>
  </si>
  <si>
    <t>کد سبد 00613</t>
  </si>
  <si>
    <t>03832/</t>
  </si>
  <si>
    <t>شکوف ریز سورمه ای 6748</t>
  </si>
  <si>
    <t>0521/</t>
  </si>
  <si>
    <t>کد سبد 00614</t>
  </si>
  <si>
    <t>پرتغال  6011</t>
  </si>
  <si>
    <t>03823/</t>
  </si>
  <si>
    <t>01339/</t>
  </si>
  <si>
    <t>بابونه 4043</t>
  </si>
  <si>
    <t>07430/</t>
  </si>
  <si>
    <t>کد سبد 00615</t>
  </si>
  <si>
    <t>07329/</t>
  </si>
  <si>
    <t>چیریکی 7001</t>
  </si>
  <si>
    <t>08823/</t>
  </si>
  <si>
    <t>کد سبد 00616</t>
  </si>
  <si>
    <t>پاپیون صورتی 6691</t>
  </si>
  <si>
    <t>07861/</t>
  </si>
  <si>
    <t>01819/</t>
  </si>
  <si>
    <t>قلب 4041</t>
  </si>
  <si>
    <t>07565/</t>
  </si>
  <si>
    <t>کد سبد 00617</t>
  </si>
  <si>
    <t>گل و پرنده 6329</t>
  </si>
  <si>
    <t>08872/</t>
  </si>
  <si>
    <t>گل ریز شاخه ای 6789</t>
  </si>
  <si>
    <t>0801/</t>
  </si>
  <si>
    <t>میکی موس و گوچی شکلاتی 5064</t>
  </si>
  <si>
    <t>07763/</t>
  </si>
  <si>
    <t>کد سبد 00618</t>
  </si>
  <si>
    <t>06167/</t>
  </si>
  <si>
    <t>01235/</t>
  </si>
  <si>
    <t>07401/</t>
  </si>
  <si>
    <t>کد سبد 00619</t>
  </si>
  <si>
    <t>07880/</t>
  </si>
  <si>
    <t>02826/</t>
  </si>
  <si>
    <t>پاپیون لند 6855</t>
  </si>
  <si>
    <t>07915/</t>
  </si>
  <si>
    <t>کد سبد 00620</t>
  </si>
  <si>
    <t>04328/</t>
  </si>
  <si>
    <t>01860/</t>
  </si>
  <si>
    <t>07359/</t>
  </si>
  <si>
    <t>کد سبد 00621</t>
  </si>
  <si>
    <t xml:space="preserve">توت فرنگی 3018 زمینه سفید </t>
  </si>
  <si>
    <t>07846/</t>
  </si>
  <si>
    <t>ابری 6550</t>
  </si>
  <si>
    <t>02596/</t>
  </si>
  <si>
    <t>باغ هزار گل سورمه ای  6836</t>
  </si>
  <si>
    <t>02926/</t>
  </si>
  <si>
    <t>کد سبد 00622</t>
  </si>
  <si>
    <t>شکوفه و گنجشک سبز 6839</t>
  </si>
  <si>
    <t>07372/</t>
  </si>
  <si>
    <t>01341/</t>
  </si>
  <si>
    <t>گوچی کرمی 1535</t>
  </si>
  <si>
    <t>07202/</t>
  </si>
  <si>
    <t>کد سبد 00623</t>
  </si>
  <si>
    <t>07845/</t>
  </si>
  <si>
    <t>08402/</t>
  </si>
  <si>
    <t>گیلاسی پاپیونی 6724</t>
  </si>
  <si>
    <t>07654/</t>
  </si>
  <si>
    <t>کد سبد 00624</t>
  </si>
  <si>
    <t>دختر افریقایی 6213</t>
  </si>
  <si>
    <t>02829/</t>
  </si>
  <si>
    <t>کد سبد 00625</t>
  </si>
  <si>
    <t>04255/</t>
  </si>
  <si>
    <t>1852/</t>
  </si>
  <si>
    <t>کد سبد 00801</t>
  </si>
  <si>
    <t>02442/</t>
  </si>
  <si>
    <t>کد سبد 00802</t>
  </si>
  <si>
    <t>01158/</t>
  </si>
  <si>
    <t>کد سبد 00803</t>
  </si>
  <si>
    <t>08464/</t>
  </si>
  <si>
    <t>کد سبد 00804</t>
  </si>
  <si>
    <t>01829/</t>
  </si>
  <si>
    <t>03869/</t>
  </si>
  <si>
    <t>کد سبد 00805</t>
  </si>
  <si>
    <t>0860/</t>
  </si>
  <si>
    <t>02770/</t>
  </si>
  <si>
    <t>کد سبد 00806</t>
  </si>
  <si>
    <t>گل گل صورتی 6847</t>
  </si>
  <si>
    <t>04136/</t>
  </si>
  <si>
    <t>08359/</t>
  </si>
  <si>
    <t>کد سبد 00807</t>
  </si>
  <si>
    <t>08226/</t>
  </si>
  <si>
    <t>03779/</t>
  </si>
  <si>
    <t>کد سبد 00808</t>
  </si>
  <si>
    <t>شکوفه و پرنده قرمز یلدایی 6765</t>
  </si>
  <si>
    <t>07835/</t>
  </si>
  <si>
    <t>03777/</t>
  </si>
  <si>
    <t>کد سبد 00809</t>
  </si>
  <si>
    <t>07524/</t>
  </si>
  <si>
    <t>01090/</t>
  </si>
  <si>
    <t>کد سبد 00810</t>
  </si>
  <si>
    <t>07454/</t>
  </si>
  <si>
    <t>05107/</t>
  </si>
  <si>
    <t>کد سبد 00811</t>
  </si>
  <si>
    <t>02665/</t>
  </si>
  <si>
    <t>کد سبد 00812</t>
  </si>
  <si>
    <t>07270/</t>
  </si>
  <si>
    <t>گل رز سرخ 6787</t>
  </si>
  <si>
    <t>03601/</t>
  </si>
  <si>
    <t>کد سبد 00813</t>
  </si>
  <si>
    <t>01846/</t>
  </si>
  <si>
    <t>06630/</t>
  </si>
  <si>
    <t>کد سبد 00814</t>
  </si>
  <si>
    <t>هلو کیتی 6328</t>
  </si>
  <si>
    <t>0136/</t>
  </si>
  <si>
    <t>03613/</t>
  </si>
  <si>
    <t>کد سبد 00815</t>
  </si>
  <si>
    <t>0671/</t>
  </si>
  <si>
    <t>کد سبد 00816</t>
  </si>
  <si>
    <t>03216/</t>
  </si>
  <si>
    <t>کد سبد 00817</t>
  </si>
  <si>
    <t>06627/</t>
  </si>
  <si>
    <t>کد سبد 00818</t>
  </si>
  <si>
    <t>خارپشت 6668</t>
  </si>
  <si>
    <t>02664/</t>
  </si>
  <si>
    <t>کد سبد 00819</t>
  </si>
  <si>
    <t>06587/</t>
  </si>
  <si>
    <t>کد سبد 00820</t>
  </si>
  <si>
    <t>03684/</t>
  </si>
  <si>
    <t>کد سبد 00821</t>
  </si>
  <si>
    <t>01016/</t>
  </si>
  <si>
    <t>01115/</t>
  </si>
  <si>
    <t>کد سبد 00822</t>
  </si>
  <si>
    <t>01138/</t>
  </si>
  <si>
    <t>کد سبد 00823</t>
  </si>
  <si>
    <t>07518/</t>
  </si>
  <si>
    <t>06594/</t>
  </si>
  <si>
    <t>کد سبد 00824</t>
  </si>
  <si>
    <t>دسته گل کرمی 6871</t>
  </si>
  <si>
    <t>02431/</t>
  </si>
  <si>
    <t>کد سبد 00825</t>
  </si>
  <si>
    <t>03008/</t>
  </si>
  <si>
    <t>02145/</t>
  </si>
  <si>
    <t>کد سبد 00826</t>
  </si>
  <si>
    <t>02300/</t>
  </si>
  <si>
    <t>کد سبد 00827</t>
  </si>
  <si>
    <t>خرگو ش صورتی 6667</t>
  </si>
  <si>
    <t>04182/</t>
  </si>
  <si>
    <t>کد سبد 00828</t>
  </si>
  <si>
    <t>0213/</t>
  </si>
  <si>
    <t>بابونه خالدار آبی 6394</t>
  </si>
  <si>
    <t>08444/</t>
  </si>
  <si>
    <t>کد سبد 00829</t>
  </si>
  <si>
    <t>01680/</t>
  </si>
  <si>
    <t>کد سبد 00830</t>
  </si>
  <si>
    <t>گیلاس مشکی 6715</t>
  </si>
  <si>
    <t>0449/</t>
  </si>
  <si>
    <t>04125/</t>
  </si>
  <si>
    <t>کد سبد 00831</t>
  </si>
  <si>
    <t>گل 5039</t>
  </si>
  <si>
    <t>05575/</t>
  </si>
  <si>
    <t>کد سبد 00832</t>
  </si>
  <si>
    <t>03536/</t>
  </si>
  <si>
    <t>کد سبد 00833</t>
  </si>
  <si>
    <t>02389/</t>
  </si>
  <si>
    <t>کد سبد 00834</t>
  </si>
  <si>
    <t>03659/</t>
  </si>
  <si>
    <t>02661/</t>
  </si>
  <si>
    <t>کد سبد 00835</t>
  </si>
  <si>
    <t>01768/</t>
  </si>
  <si>
    <t>کد سبد 00836</t>
  </si>
  <si>
    <t>انار 6071</t>
  </si>
  <si>
    <t>07502/</t>
  </si>
  <si>
    <t>06631/</t>
  </si>
  <si>
    <t>کد سبد 00837</t>
  </si>
  <si>
    <t>03278/</t>
  </si>
  <si>
    <t>0118/</t>
  </si>
  <si>
    <t>کد سبد 00838</t>
  </si>
  <si>
    <t>0235/</t>
  </si>
  <si>
    <t>کد سبد 00839</t>
  </si>
  <si>
    <t>02438/</t>
  </si>
  <si>
    <t>کد سبد 00840</t>
  </si>
  <si>
    <t>کد سبد 00841</t>
  </si>
  <si>
    <t>03717/</t>
  </si>
  <si>
    <t>04562/</t>
  </si>
  <si>
    <t>کد سبد 00842</t>
  </si>
  <si>
    <t>01150/</t>
  </si>
  <si>
    <t>04358/</t>
  </si>
  <si>
    <t>کد سبد 00843</t>
  </si>
  <si>
    <t>07455/</t>
  </si>
  <si>
    <t>01177/</t>
  </si>
  <si>
    <t>کد سبد 00844</t>
  </si>
  <si>
    <t>02569/</t>
  </si>
  <si>
    <t>کد سبد 00845</t>
  </si>
  <si>
    <t>02984/</t>
  </si>
  <si>
    <t>شکوفه زار صورتی 6844</t>
  </si>
  <si>
    <t>01274/</t>
  </si>
  <si>
    <t>کد سبد 00846</t>
  </si>
  <si>
    <t>01866/</t>
  </si>
  <si>
    <t>08036/</t>
  </si>
  <si>
    <t>کد سبد 00847</t>
  </si>
  <si>
    <t>07450/</t>
  </si>
  <si>
    <t>ساحل 6531</t>
  </si>
  <si>
    <t>01269/</t>
  </si>
  <si>
    <t>کد سبد 00848</t>
  </si>
  <si>
    <t>08238/</t>
  </si>
  <si>
    <t>0535/</t>
  </si>
  <si>
    <t>کد سبد 00849</t>
  </si>
  <si>
    <t>گل و بلبل 6699</t>
  </si>
  <si>
    <t>08237/</t>
  </si>
  <si>
    <t>02929/</t>
  </si>
  <si>
    <t>کد سبد 00850</t>
  </si>
  <si>
    <t>کد سبد 00851</t>
  </si>
  <si>
    <t>رز زرد 6852</t>
  </si>
  <si>
    <t>08239/</t>
  </si>
  <si>
    <t>06148/</t>
  </si>
  <si>
    <t>کد سبد 00852</t>
  </si>
  <si>
    <t>02432/</t>
  </si>
  <si>
    <t>کد سبد 00853</t>
  </si>
  <si>
    <t>03676/</t>
  </si>
  <si>
    <t>/</t>
  </si>
  <si>
    <t>کد سبد 00854</t>
  </si>
  <si>
    <t>پروانه کهکشانی 6846</t>
  </si>
  <si>
    <t>02369/</t>
  </si>
  <si>
    <t>کد سبد 00855</t>
  </si>
  <si>
    <t>08299/</t>
  </si>
  <si>
    <t>05587/</t>
  </si>
  <si>
    <t>کد سبد 00856</t>
  </si>
  <si>
    <t>البالویی زمینه مشکی خالدار قرمز 6177</t>
  </si>
  <si>
    <t>پاپیون مشکی کیوت 6726</t>
  </si>
  <si>
    <t>0741/</t>
  </si>
  <si>
    <t>کد سبد 00857</t>
  </si>
  <si>
    <t>0331/</t>
  </si>
  <si>
    <t>کد سبد 00858</t>
  </si>
  <si>
    <t>هلوکیتی 6328</t>
  </si>
  <si>
    <t>کد سبد 00859</t>
  </si>
  <si>
    <t>08113/</t>
  </si>
  <si>
    <t>02444/</t>
  </si>
  <si>
    <t>کد سبد 00860</t>
  </si>
  <si>
    <t>01838/</t>
  </si>
  <si>
    <t>شکوفه کارامل 6835</t>
  </si>
  <si>
    <t>01566/</t>
  </si>
  <si>
    <t>کد سبد 00861</t>
  </si>
  <si>
    <t>01160/</t>
  </si>
  <si>
    <t>هرمس 3064</t>
  </si>
  <si>
    <t>07360/</t>
  </si>
  <si>
    <t>کد سبد 00862</t>
  </si>
  <si>
    <t>08451/</t>
  </si>
  <si>
    <t>0115/</t>
  </si>
  <si>
    <t>کد سبد 00863</t>
  </si>
  <si>
    <t>چهارخونه قرمز 6832</t>
  </si>
  <si>
    <t>03016/</t>
  </si>
  <si>
    <t>01148/</t>
  </si>
  <si>
    <t>کد سبد 00864</t>
  </si>
  <si>
    <t>04301/</t>
  </si>
  <si>
    <t>02960/</t>
  </si>
  <si>
    <t>کد سبد 00865</t>
  </si>
  <si>
    <t>پاپیون گلی ریز 6862</t>
  </si>
  <si>
    <t>08411/</t>
  </si>
  <si>
    <t>01171/</t>
  </si>
  <si>
    <t>کد سبد 00866</t>
  </si>
  <si>
    <t>07536/</t>
  </si>
  <si>
    <t>چشم ئنظر 2024</t>
  </si>
  <si>
    <t>08064/</t>
  </si>
  <si>
    <t>کد سبد 00867</t>
  </si>
  <si>
    <t>پاپیون خال خالی 6761/</t>
  </si>
  <si>
    <t>0613/</t>
  </si>
  <si>
    <t>کد سبد 00868</t>
  </si>
  <si>
    <t>01458/</t>
  </si>
  <si>
    <t>02653/</t>
  </si>
  <si>
    <t>کد سبد 00869</t>
  </si>
  <si>
    <t>01706/</t>
  </si>
  <si>
    <t>خرگوشی و پاپیون 6791</t>
  </si>
  <si>
    <t>کد سبد 00870</t>
  </si>
  <si>
    <t>0112/</t>
  </si>
  <si>
    <t>پاپیون مرواریدی 6860</t>
  </si>
  <si>
    <t>01030/</t>
  </si>
  <si>
    <t>کد سبد 00871</t>
  </si>
  <si>
    <t>کد سبد 00872</t>
  </si>
  <si>
    <t>02345/</t>
  </si>
  <si>
    <t>کد سبد 00873</t>
  </si>
  <si>
    <t>08469/</t>
  </si>
  <si>
    <t>شکوفه ماچا 6866</t>
  </si>
  <si>
    <t>02689/</t>
  </si>
  <si>
    <t>کد سبد 00874</t>
  </si>
  <si>
    <t>ابری سفید 6757</t>
  </si>
  <si>
    <t>03236/</t>
  </si>
  <si>
    <t>01008/</t>
  </si>
  <si>
    <t>کد سبد 00875</t>
  </si>
  <si>
    <t>03269/</t>
  </si>
  <si>
    <t>کد سبد 00876</t>
  </si>
  <si>
    <t>07467/</t>
  </si>
  <si>
    <t>کد سبد 00877</t>
  </si>
  <si>
    <t>0110/</t>
  </si>
  <si>
    <t>کد سبد 00878</t>
  </si>
  <si>
    <t>06780/</t>
  </si>
  <si>
    <t>08461/</t>
  </si>
  <si>
    <t>کد سبد 00879</t>
  </si>
  <si>
    <t>08328/</t>
  </si>
  <si>
    <t>01707/</t>
  </si>
  <si>
    <t>کد سبد 00880</t>
  </si>
  <si>
    <t>02297/</t>
  </si>
  <si>
    <t>کد سبد 00881</t>
  </si>
  <si>
    <t>03542/</t>
  </si>
  <si>
    <t>02131/</t>
  </si>
  <si>
    <t>کد سبد 00882</t>
  </si>
  <si>
    <t>02584/</t>
  </si>
  <si>
    <t>پاپیون زمنیه مشکی 6713</t>
  </si>
  <si>
    <t>01232/</t>
  </si>
  <si>
    <t>کد سبد 00883</t>
  </si>
  <si>
    <t>0120/</t>
  </si>
  <si>
    <t>01108/</t>
  </si>
  <si>
    <t>کد سبد 00884</t>
  </si>
  <si>
    <t>بابونه راه راه 6702</t>
  </si>
  <si>
    <t>01303/</t>
  </si>
  <si>
    <t>کد سبد 00885</t>
  </si>
  <si>
    <t>4132/</t>
  </si>
  <si>
    <t>کد سبد 00886</t>
  </si>
  <si>
    <t>08458/</t>
  </si>
  <si>
    <t>فندی 4034</t>
  </si>
  <si>
    <t>0116/</t>
  </si>
  <si>
    <t>کد سبد 00887</t>
  </si>
  <si>
    <t>گوچی مشکی 6368</t>
  </si>
  <si>
    <t>08460/</t>
  </si>
  <si>
    <t>کد سبد 00888</t>
  </si>
  <si>
    <t>شکوفه کارمل 6835</t>
  </si>
  <si>
    <t>01003/</t>
  </si>
  <si>
    <t>01142/</t>
  </si>
  <si>
    <t>کد سبد 00889</t>
  </si>
  <si>
    <t>02154/</t>
  </si>
  <si>
    <t>کد سبد 00890</t>
  </si>
  <si>
    <t>01869/</t>
  </si>
  <si>
    <t>02117/</t>
  </si>
  <si>
    <t>کد سبد 00891</t>
  </si>
  <si>
    <t>01737/</t>
  </si>
  <si>
    <t>کد سبد 00892</t>
  </si>
  <si>
    <t>کد سبد 00893</t>
  </si>
  <si>
    <t>03003/</t>
  </si>
  <si>
    <t>02705/</t>
  </si>
  <si>
    <t>کد سبد 00894</t>
  </si>
  <si>
    <t>0113/</t>
  </si>
  <si>
    <t>کد سبد 00895</t>
  </si>
  <si>
    <t>08407/</t>
  </si>
  <si>
    <t>دیور مشکی 6546</t>
  </si>
  <si>
    <t>03575/</t>
  </si>
  <si>
    <t>کد سبد 00896</t>
  </si>
  <si>
    <t>بابونه ریز سورمه ای 6740</t>
  </si>
  <si>
    <t>08341/</t>
  </si>
  <si>
    <t>پروانه مونلا 6763</t>
  </si>
  <si>
    <t>کد سبد 00897</t>
  </si>
  <si>
    <t>02278/</t>
  </si>
  <si>
    <t>01306/</t>
  </si>
  <si>
    <t>کد سبد 00898</t>
  </si>
  <si>
    <t>01868/</t>
  </si>
  <si>
    <t>03654/</t>
  </si>
  <si>
    <t>کد سبد 00899</t>
  </si>
  <si>
    <t>04158/</t>
  </si>
  <si>
    <t>کد سبد 00900</t>
  </si>
  <si>
    <t>02307/</t>
  </si>
  <si>
    <t>03014/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</si>
</sst>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_(* #,##0_);_(* \(#,##0\);_(* &quot;-&quot;??_);_(@_)"/>
  </numFmts>
  <fonts count="10">
    <font>
      <sz val="10"/>
      <color rgb="FF000000"/>
      <name val="Arial"/>
      <scheme val="minor"/>
    </font>
    <font>
      <sz val="20"/>
      <color theme="1"/>
      <name val="Calibri"/>
    </font>
    <font>
      <sz val="10"/>
      <name val="Arial"/>
    </font>
    <font>
      <sz val="11"/>
      <color theme="1"/>
      <name val="Calibri"/>
    </font>
    <font>
      <sz val="14"/>
      <color theme="1"/>
      <name val="Calibri"/>
    </font>
    <font>
      <sz val="12"/>
      <color theme="1"/>
      <name val="Calibri"/>
    </font>
    <font>
      <sz val="12"/>
      <color rgb="FF000000"/>
      <name val="Arial"/>
    </font>
    <font>
      <sz val="11"/>
      <color rgb="FF000000"/>
      <name val="Arial"/>
    </font>
    <font>
      <sz val="11"/>
      <color rgb="FF000000"/>
      <name val="Pina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3D6D6"/>
        <bgColor rgb="FFF3D6D6"/>
      </patternFill>
    </fill>
    <fill>
      <patternFill patternType="solid">
        <fgColor rgb="FFCFE0F4"/>
        <bgColor rgb="FFCFE0F4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9E7F6"/>
        <bgColor rgb="FFD9E7F6"/>
      </patternFill>
    </fill>
    <fill>
      <patternFill patternType="solid">
        <fgColor rgb="FFB7E1A1"/>
        <bgColor rgb="FFB7E1A1"/>
      </patternFill>
    </fill>
  </fills>
  <borders count="6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1" fillId="0" borderId="4" xfId="0" applyFont="1" applyBorder="1" applyAlignment="1">
      <alignment horizontal="center"/>
    </xf>
    <xf numFmtId="0" fontId="3" fillId="4" borderId="0" xfId="0" applyFont="1" applyFill="1" applyAlignment="1">
      <alignment horizontal="right"/>
    </xf>
    <xf numFmtId="164" fontId="3" fillId="4" borderId="0" xfId="0" applyNumberFormat="1" applyFont="1" applyFill="1"/>
    <xf numFmtId="165" fontId="4" fillId="0" borderId="5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6" fillId="4" borderId="0" xfId="0" applyFont="1" applyFill="1"/>
    <xf numFmtId="164" fontId="3" fillId="5" borderId="0" xfId="0" applyNumberFormat="1" applyFont="1" applyFill="1"/>
    <xf numFmtId="0" fontId="3" fillId="5" borderId="0" xfId="0" applyFont="1" applyFill="1" applyAlignment="1">
      <alignment horizontal="right"/>
    </xf>
    <xf numFmtId="165" fontId="4" fillId="0" borderId="4" xfId="0" applyNumberFormat="1" applyFont="1" applyBorder="1" applyAlignment="1">
      <alignment horizontal="right"/>
    </xf>
    <xf numFmtId="0" fontId="7" fillId="4" borderId="0" xfId="0" applyFont="1" applyFill="1"/>
    <xf numFmtId="0" fontId="3" fillId="4" borderId="0" xfId="0" applyFont="1" applyFill="1"/>
    <xf numFmtId="0" fontId="4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3" fontId="1" fillId="7" borderId="4" xfId="0" applyNumberFormat="1" applyFont="1" applyFill="1" applyBorder="1" applyAlignment="1">
      <alignment horizontal="center"/>
    </xf>
    <xf numFmtId="0" fontId="8" fillId="4" borderId="0" xfId="0" applyFont="1" applyFill="1"/>
    <xf numFmtId="0" fontId="9" fillId="0" borderId="0" xfId="0" applyFont="1"/>
    <xf numFmtId="0" fontId="1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3" fontId="1" fillId="4" borderId="0" xfId="0" applyNumberFormat="1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450"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</dxfs>
  <tableStyles count="225">
    <tableStyle name="Sheet1-style" pivot="0" count="2" xr9:uid="{00000000-0011-0000-FFFF-FFFF00000000}">
      <tableStyleElement type="firstRowStripe" dxfId="449"/>
      <tableStyleElement type="secondRowStripe" dxfId="448"/>
    </tableStyle>
    <tableStyle name="Sheet1-style 2" pivot="0" count="2" xr9:uid="{00000000-0011-0000-FFFF-FFFF01000000}">
      <tableStyleElement type="firstRowStripe" dxfId="447"/>
      <tableStyleElement type="secondRowStripe" dxfId="446"/>
    </tableStyle>
    <tableStyle name="Sheet1-style 3" pivot="0" count="2" xr9:uid="{00000000-0011-0000-FFFF-FFFF02000000}">
      <tableStyleElement type="firstRowStripe" dxfId="445"/>
      <tableStyleElement type="secondRowStripe" dxfId="444"/>
    </tableStyle>
    <tableStyle name="Sheet1-style 4" pivot="0" count="2" xr9:uid="{00000000-0011-0000-FFFF-FFFF03000000}">
      <tableStyleElement type="firstRowStripe" dxfId="443"/>
      <tableStyleElement type="secondRowStripe" dxfId="442"/>
    </tableStyle>
    <tableStyle name="Sheet1-style 5" pivot="0" count="2" xr9:uid="{00000000-0011-0000-FFFF-FFFF04000000}">
      <tableStyleElement type="firstRowStripe" dxfId="441"/>
      <tableStyleElement type="secondRowStripe" dxfId="440"/>
    </tableStyle>
    <tableStyle name="Sheet1-style 6" pivot="0" count="2" xr9:uid="{00000000-0011-0000-FFFF-FFFF05000000}">
      <tableStyleElement type="firstRowStripe" dxfId="439"/>
      <tableStyleElement type="secondRowStripe" dxfId="438"/>
    </tableStyle>
    <tableStyle name="Sheet1-style 7" pivot="0" count="2" xr9:uid="{00000000-0011-0000-FFFF-FFFF06000000}">
      <tableStyleElement type="firstRowStripe" dxfId="437"/>
      <tableStyleElement type="secondRowStripe" dxfId="436"/>
    </tableStyle>
    <tableStyle name="Sheet1-style 8" pivot="0" count="2" xr9:uid="{00000000-0011-0000-FFFF-FFFF07000000}">
      <tableStyleElement type="firstRowStripe" dxfId="435"/>
      <tableStyleElement type="secondRowStripe" dxfId="434"/>
    </tableStyle>
    <tableStyle name="Sheet1-style 9" pivot="0" count="2" xr9:uid="{00000000-0011-0000-FFFF-FFFF08000000}">
      <tableStyleElement type="firstRowStripe" dxfId="433"/>
      <tableStyleElement type="secondRowStripe" dxfId="432"/>
    </tableStyle>
    <tableStyle name="Sheet1-style 10" pivot="0" count="2" xr9:uid="{00000000-0011-0000-FFFF-FFFF09000000}">
      <tableStyleElement type="firstRowStripe" dxfId="431"/>
      <tableStyleElement type="secondRowStripe" dxfId="430"/>
    </tableStyle>
    <tableStyle name="Sheet1-style 11" pivot="0" count="2" xr9:uid="{00000000-0011-0000-FFFF-FFFF0A000000}">
      <tableStyleElement type="firstRowStripe" dxfId="429"/>
      <tableStyleElement type="secondRowStripe" dxfId="428"/>
    </tableStyle>
    <tableStyle name="Sheet1-style 12" pivot="0" count="2" xr9:uid="{00000000-0011-0000-FFFF-FFFF0B000000}">
      <tableStyleElement type="firstRowStripe" dxfId="427"/>
      <tableStyleElement type="secondRowStripe" dxfId="426"/>
    </tableStyle>
    <tableStyle name="Sheet1-style 13" pivot="0" count="2" xr9:uid="{00000000-0011-0000-FFFF-FFFF0C000000}">
      <tableStyleElement type="firstRowStripe" dxfId="425"/>
      <tableStyleElement type="secondRowStripe" dxfId="424"/>
    </tableStyle>
    <tableStyle name="Sheet1-style 14" pivot="0" count="2" xr9:uid="{00000000-0011-0000-FFFF-FFFF0D000000}">
      <tableStyleElement type="firstRowStripe" dxfId="423"/>
      <tableStyleElement type="secondRowStripe" dxfId="422"/>
    </tableStyle>
    <tableStyle name="Sheet1-style 15" pivot="0" count="2" xr9:uid="{00000000-0011-0000-FFFF-FFFF0E000000}">
      <tableStyleElement type="firstRowStripe" dxfId="421"/>
      <tableStyleElement type="secondRowStripe" dxfId="420"/>
    </tableStyle>
    <tableStyle name="Sheet1-style 16" pivot="0" count="2" xr9:uid="{00000000-0011-0000-FFFF-FFFF0F000000}">
      <tableStyleElement type="firstRowStripe" dxfId="419"/>
      <tableStyleElement type="secondRowStripe" dxfId="418"/>
    </tableStyle>
    <tableStyle name="Sheet1-style 17" pivot="0" count="2" xr9:uid="{00000000-0011-0000-FFFF-FFFF10000000}">
      <tableStyleElement type="firstRowStripe" dxfId="417"/>
      <tableStyleElement type="secondRowStripe" dxfId="416"/>
    </tableStyle>
    <tableStyle name="Sheet1-style 18" pivot="0" count="2" xr9:uid="{00000000-0011-0000-FFFF-FFFF11000000}">
      <tableStyleElement type="firstRowStripe" dxfId="415"/>
      <tableStyleElement type="secondRowStripe" dxfId="414"/>
    </tableStyle>
    <tableStyle name="Sheet1-style 19" pivot="0" count="2" xr9:uid="{00000000-0011-0000-FFFF-FFFF12000000}">
      <tableStyleElement type="firstRowStripe" dxfId="413"/>
      <tableStyleElement type="secondRowStripe" dxfId="412"/>
    </tableStyle>
    <tableStyle name="Sheet1-style 20" pivot="0" count="2" xr9:uid="{00000000-0011-0000-FFFF-FFFF13000000}">
      <tableStyleElement type="firstRowStripe" dxfId="411"/>
      <tableStyleElement type="secondRowStripe" dxfId="410"/>
    </tableStyle>
    <tableStyle name="Sheet1-style 21" pivot="0" count="2" xr9:uid="{00000000-0011-0000-FFFF-FFFF14000000}">
      <tableStyleElement type="firstRowStripe" dxfId="409"/>
      <tableStyleElement type="secondRowStripe" dxfId="408"/>
    </tableStyle>
    <tableStyle name="Sheet1-style 22" pivot="0" count="2" xr9:uid="{00000000-0011-0000-FFFF-FFFF15000000}">
      <tableStyleElement type="firstRowStripe" dxfId="407"/>
      <tableStyleElement type="secondRowStripe" dxfId="406"/>
    </tableStyle>
    <tableStyle name="Sheet1-style 23" pivot="0" count="2" xr9:uid="{00000000-0011-0000-FFFF-FFFF16000000}">
      <tableStyleElement type="firstRowStripe" dxfId="405"/>
      <tableStyleElement type="secondRowStripe" dxfId="404"/>
    </tableStyle>
    <tableStyle name="Sheet1-style 24" pivot="0" count="2" xr9:uid="{00000000-0011-0000-FFFF-FFFF17000000}">
      <tableStyleElement type="firstRowStripe" dxfId="403"/>
      <tableStyleElement type="secondRowStripe" dxfId="402"/>
    </tableStyle>
    <tableStyle name="Sheet1-style 25" pivot="0" count="2" xr9:uid="{00000000-0011-0000-FFFF-FFFF18000000}">
      <tableStyleElement type="firstRowStripe" dxfId="401"/>
      <tableStyleElement type="secondRowStripe" dxfId="400"/>
    </tableStyle>
    <tableStyle name="Sheet1-style 26" pivot="0" count="2" xr9:uid="{00000000-0011-0000-FFFF-FFFF19000000}">
      <tableStyleElement type="firstRowStripe" dxfId="399"/>
      <tableStyleElement type="secondRowStripe" dxfId="398"/>
    </tableStyle>
    <tableStyle name="Sheet1-style 27" pivot="0" count="2" xr9:uid="{00000000-0011-0000-FFFF-FFFF1A000000}">
      <tableStyleElement type="firstRowStripe" dxfId="397"/>
      <tableStyleElement type="secondRowStripe" dxfId="396"/>
    </tableStyle>
    <tableStyle name="Sheet1-style 28" pivot="0" count="2" xr9:uid="{00000000-0011-0000-FFFF-FFFF1B000000}">
      <tableStyleElement type="firstRowStripe" dxfId="395"/>
      <tableStyleElement type="secondRowStripe" dxfId="394"/>
    </tableStyle>
    <tableStyle name="Sheet1-style 29" pivot="0" count="2" xr9:uid="{00000000-0011-0000-FFFF-FFFF1C000000}">
      <tableStyleElement type="firstRowStripe" dxfId="393"/>
      <tableStyleElement type="secondRowStripe" dxfId="392"/>
    </tableStyle>
    <tableStyle name="Sheet1-style 30" pivot="0" count="2" xr9:uid="{00000000-0011-0000-FFFF-FFFF1D000000}">
      <tableStyleElement type="firstRowStripe" dxfId="391"/>
      <tableStyleElement type="secondRowStripe" dxfId="390"/>
    </tableStyle>
    <tableStyle name="Sheet1-style 31" pivot="0" count="2" xr9:uid="{00000000-0011-0000-FFFF-FFFF1E000000}">
      <tableStyleElement type="firstRowStripe" dxfId="389"/>
      <tableStyleElement type="secondRowStripe" dxfId="388"/>
    </tableStyle>
    <tableStyle name="Sheet1-style 32" pivot="0" count="2" xr9:uid="{00000000-0011-0000-FFFF-FFFF1F000000}">
      <tableStyleElement type="firstRowStripe" dxfId="387"/>
      <tableStyleElement type="secondRowStripe" dxfId="386"/>
    </tableStyle>
    <tableStyle name="Sheet1-style 33" pivot="0" count="2" xr9:uid="{00000000-0011-0000-FFFF-FFFF20000000}">
      <tableStyleElement type="firstRowStripe" dxfId="385"/>
      <tableStyleElement type="secondRowStripe" dxfId="384"/>
    </tableStyle>
    <tableStyle name="Sheet1-style 34" pivot="0" count="2" xr9:uid="{00000000-0011-0000-FFFF-FFFF21000000}">
      <tableStyleElement type="firstRowStripe" dxfId="383"/>
      <tableStyleElement type="secondRowStripe" dxfId="382"/>
    </tableStyle>
    <tableStyle name="Sheet1-style 35" pivot="0" count="2" xr9:uid="{00000000-0011-0000-FFFF-FFFF22000000}">
      <tableStyleElement type="firstRowStripe" dxfId="381"/>
      <tableStyleElement type="secondRowStripe" dxfId="380"/>
    </tableStyle>
    <tableStyle name="Sheet1-style 36" pivot="0" count="2" xr9:uid="{00000000-0011-0000-FFFF-FFFF23000000}">
      <tableStyleElement type="firstRowStripe" dxfId="379"/>
      <tableStyleElement type="secondRowStripe" dxfId="378"/>
    </tableStyle>
    <tableStyle name="Sheet1-style 37" pivot="0" count="2" xr9:uid="{00000000-0011-0000-FFFF-FFFF24000000}">
      <tableStyleElement type="firstRowStripe" dxfId="377"/>
      <tableStyleElement type="secondRowStripe" dxfId="376"/>
    </tableStyle>
    <tableStyle name="Sheet1-style 38" pivot="0" count="2" xr9:uid="{00000000-0011-0000-FFFF-FFFF25000000}">
      <tableStyleElement type="firstRowStripe" dxfId="375"/>
      <tableStyleElement type="secondRowStripe" dxfId="374"/>
    </tableStyle>
    <tableStyle name="Sheet1-style 39" pivot="0" count="2" xr9:uid="{00000000-0011-0000-FFFF-FFFF26000000}">
      <tableStyleElement type="firstRowStripe" dxfId="373"/>
      <tableStyleElement type="secondRowStripe" dxfId="372"/>
    </tableStyle>
    <tableStyle name="Sheet1-style 40" pivot="0" count="2" xr9:uid="{00000000-0011-0000-FFFF-FFFF27000000}">
      <tableStyleElement type="firstRowStripe" dxfId="371"/>
      <tableStyleElement type="secondRowStripe" dxfId="370"/>
    </tableStyle>
    <tableStyle name="Sheet1-style 41" pivot="0" count="2" xr9:uid="{00000000-0011-0000-FFFF-FFFF28000000}">
      <tableStyleElement type="firstRowStripe" dxfId="369"/>
      <tableStyleElement type="secondRowStripe" dxfId="368"/>
    </tableStyle>
    <tableStyle name="Sheet1-style 42" pivot="0" count="2" xr9:uid="{00000000-0011-0000-FFFF-FFFF29000000}">
      <tableStyleElement type="firstRowStripe" dxfId="367"/>
      <tableStyleElement type="secondRowStripe" dxfId="366"/>
    </tableStyle>
    <tableStyle name="Sheet1-style 43" pivot="0" count="2" xr9:uid="{00000000-0011-0000-FFFF-FFFF2A000000}">
      <tableStyleElement type="firstRowStripe" dxfId="365"/>
      <tableStyleElement type="secondRowStripe" dxfId="364"/>
    </tableStyle>
    <tableStyle name="Sheet1-style 44" pivot="0" count="2" xr9:uid="{00000000-0011-0000-FFFF-FFFF2B000000}">
      <tableStyleElement type="firstRowStripe" dxfId="363"/>
      <tableStyleElement type="secondRowStripe" dxfId="362"/>
    </tableStyle>
    <tableStyle name="Sheet1-style 45" pivot="0" count="2" xr9:uid="{00000000-0011-0000-FFFF-FFFF2C000000}">
      <tableStyleElement type="firstRowStripe" dxfId="361"/>
      <tableStyleElement type="secondRowStripe" dxfId="360"/>
    </tableStyle>
    <tableStyle name="Sheet1-style 46" pivot="0" count="2" xr9:uid="{00000000-0011-0000-FFFF-FFFF2D000000}">
      <tableStyleElement type="firstRowStripe" dxfId="359"/>
      <tableStyleElement type="secondRowStripe" dxfId="358"/>
    </tableStyle>
    <tableStyle name="Sheet1-style 47" pivot="0" count="2" xr9:uid="{00000000-0011-0000-FFFF-FFFF2E000000}">
      <tableStyleElement type="firstRowStripe" dxfId="357"/>
      <tableStyleElement type="secondRowStripe" dxfId="356"/>
    </tableStyle>
    <tableStyle name="Sheet1-style 48" pivot="0" count="2" xr9:uid="{00000000-0011-0000-FFFF-FFFF2F000000}">
      <tableStyleElement type="firstRowStripe" dxfId="355"/>
      <tableStyleElement type="secondRowStripe" dxfId="354"/>
    </tableStyle>
    <tableStyle name="Sheet1-style 49" pivot="0" count="2" xr9:uid="{00000000-0011-0000-FFFF-FFFF30000000}">
      <tableStyleElement type="firstRowStripe" dxfId="353"/>
      <tableStyleElement type="secondRowStripe" dxfId="352"/>
    </tableStyle>
    <tableStyle name="Sheet1-style 50" pivot="0" count="2" xr9:uid="{00000000-0011-0000-FFFF-FFFF31000000}">
      <tableStyleElement type="firstRowStripe" dxfId="351"/>
      <tableStyleElement type="secondRowStripe" dxfId="350"/>
    </tableStyle>
    <tableStyle name="Sheet1-style 51" pivot="0" count="2" xr9:uid="{00000000-0011-0000-FFFF-FFFF32000000}">
      <tableStyleElement type="firstRowStripe" dxfId="349"/>
      <tableStyleElement type="secondRowStripe" dxfId="348"/>
    </tableStyle>
    <tableStyle name="Sheet1-style 52" pivot="0" count="2" xr9:uid="{00000000-0011-0000-FFFF-FFFF33000000}">
      <tableStyleElement type="firstRowStripe" dxfId="347"/>
      <tableStyleElement type="secondRowStripe" dxfId="346"/>
    </tableStyle>
    <tableStyle name="Sheet1-style 53" pivot="0" count="2" xr9:uid="{00000000-0011-0000-FFFF-FFFF34000000}">
      <tableStyleElement type="firstRowStripe" dxfId="345"/>
      <tableStyleElement type="secondRowStripe" dxfId="344"/>
    </tableStyle>
    <tableStyle name="Sheet1-style 54" pivot="0" count="2" xr9:uid="{00000000-0011-0000-FFFF-FFFF35000000}">
      <tableStyleElement type="firstRowStripe" dxfId="343"/>
      <tableStyleElement type="secondRowStripe" dxfId="342"/>
    </tableStyle>
    <tableStyle name="Sheet1-style 55" pivot="0" count="2" xr9:uid="{00000000-0011-0000-FFFF-FFFF36000000}">
      <tableStyleElement type="firstRowStripe" dxfId="341"/>
      <tableStyleElement type="secondRowStripe" dxfId="340"/>
    </tableStyle>
    <tableStyle name="Sheet1-style 56" pivot="0" count="2" xr9:uid="{00000000-0011-0000-FFFF-FFFF37000000}">
      <tableStyleElement type="firstRowStripe" dxfId="339"/>
      <tableStyleElement type="secondRowStripe" dxfId="338"/>
    </tableStyle>
    <tableStyle name="Sheet1-style 57" pivot="0" count="2" xr9:uid="{00000000-0011-0000-FFFF-FFFF38000000}">
      <tableStyleElement type="firstRowStripe" dxfId="337"/>
      <tableStyleElement type="secondRowStripe" dxfId="336"/>
    </tableStyle>
    <tableStyle name="Sheet1-style 58" pivot="0" count="2" xr9:uid="{00000000-0011-0000-FFFF-FFFF39000000}">
      <tableStyleElement type="firstRowStripe" dxfId="335"/>
      <tableStyleElement type="secondRowStripe" dxfId="334"/>
    </tableStyle>
    <tableStyle name="Sheet1-style 59" pivot="0" count="2" xr9:uid="{00000000-0011-0000-FFFF-FFFF3A000000}">
      <tableStyleElement type="firstRowStripe" dxfId="333"/>
      <tableStyleElement type="secondRowStripe" dxfId="332"/>
    </tableStyle>
    <tableStyle name="Sheet1-style 60" pivot="0" count="2" xr9:uid="{00000000-0011-0000-FFFF-FFFF3B000000}">
      <tableStyleElement type="firstRowStripe" dxfId="331"/>
      <tableStyleElement type="secondRowStripe" dxfId="330"/>
    </tableStyle>
    <tableStyle name="Sheet1-style 61" pivot="0" count="2" xr9:uid="{00000000-0011-0000-FFFF-FFFF3C000000}">
      <tableStyleElement type="firstRowStripe" dxfId="329"/>
      <tableStyleElement type="secondRowStripe" dxfId="328"/>
    </tableStyle>
    <tableStyle name="Sheet1-style 62" pivot="0" count="2" xr9:uid="{00000000-0011-0000-FFFF-FFFF3D000000}">
      <tableStyleElement type="firstRowStripe" dxfId="327"/>
      <tableStyleElement type="secondRowStripe" dxfId="326"/>
    </tableStyle>
    <tableStyle name="Sheet1-style 63" pivot="0" count="2" xr9:uid="{00000000-0011-0000-FFFF-FFFF3E000000}">
      <tableStyleElement type="firstRowStripe" dxfId="325"/>
      <tableStyleElement type="secondRowStripe" dxfId="324"/>
    </tableStyle>
    <tableStyle name="Sheet1-style 64" pivot="0" count="2" xr9:uid="{00000000-0011-0000-FFFF-FFFF3F000000}">
      <tableStyleElement type="firstRowStripe" dxfId="323"/>
      <tableStyleElement type="secondRowStripe" dxfId="322"/>
    </tableStyle>
    <tableStyle name="Sheet1-style 65" pivot="0" count="2" xr9:uid="{00000000-0011-0000-FFFF-FFFF40000000}">
      <tableStyleElement type="firstRowStripe" dxfId="321"/>
      <tableStyleElement type="secondRowStripe" dxfId="320"/>
    </tableStyle>
    <tableStyle name="Sheet1-style 66" pivot="0" count="2" xr9:uid="{00000000-0011-0000-FFFF-FFFF41000000}">
      <tableStyleElement type="firstRowStripe" dxfId="319"/>
      <tableStyleElement type="secondRowStripe" dxfId="318"/>
    </tableStyle>
    <tableStyle name="Sheet1-style 67" pivot="0" count="2" xr9:uid="{00000000-0011-0000-FFFF-FFFF42000000}">
      <tableStyleElement type="firstRowStripe" dxfId="317"/>
      <tableStyleElement type="secondRowStripe" dxfId="316"/>
    </tableStyle>
    <tableStyle name="Sheet1-style 68" pivot="0" count="2" xr9:uid="{00000000-0011-0000-FFFF-FFFF43000000}">
      <tableStyleElement type="firstRowStripe" dxfId="315"/>
      <tableStyleElement type="secondRowStripe" dxfId="314"/>
    </tableStyle>
    <tableStyle name="Sheet1-style 69" pivot="0" count="2" xr9:uid="{00000000-0011-0000-FFFF-FFFF44000000}">
      <tableStyleElement type="firstRowStripe" dxfId="313"/>
      <tableStyleElement type="secondRowStripe" dxfId="312"/>
    </tableStyle>
    <tableStyle name="Sheet1-style 70" pivot="0" count="2" xr9:uid="{00000000-0011-0000-FFFF-FFFF45000000}">
      <tableStyleElement type="firstRowStripe" dxfId="311"/>
      <tableStyleElement type="secondRowStripe" dxfId="310"/>
    </tableStyle>
    <tableStyle name="Sheet1-style 71" pivot="0" count="2" xr9:uid="{00000000-0011-0000-FFFF-FFFF46000000}">
      <tableStyleElement type="firstRowStripe" dxfId="309"/>
      <tableStyleElement type="secondRowStripe" dxfId="308"/>
    </tableStyle>
    <tableStyle name="Sheet1-style 72" pivot="0" count="2" xr9:uid="{00000000-0011-0000-FFFF-FFFF47000000}">
      <tableStyleElement type="firstRowStripe" dxfId="307"/>
      <tableStyleElement type="secondRowStripe" dxfId="306"/>
    </tableStyle>
    <tableStyle name="Sheet1-style 73" pivot="0" count="2" xr9:uid="{00000000-0011-0000-FFFF-FFFF48000000}">
      <tableStyleElement type="firstRowStripe" dxfId="305"/>
      <tableStyleElement type="secondRowStripe" dxfId="304"/>
    </tableStyle>
    <tableStyle name="Sheet1-style 74" pivot="0" count="2" xr9:uid="{00000000-0011-0000-FFFF-FFFF49000000}">
      <tableStyleElement type="firstRowStripe" dxfId="303"/>
      <tableStyleElement type="secondRowStripe" dxfId="302"/>
    </tableStyle>
    <tableStyle name="Sheet1-style 75" pivot="0" count="2" xr9:uid="{00000000-0011-0000-FFFF-FFFF4A000000}">
      <tableStyleElement type="firstRowStripe" dxfId="301"/>
      <tableStyleElement type="secondRowStripe" dxfId="300"/>
    </tableStyle>
    <tableStyle name="Sheet1-style 76" pivot="0" count="2" xr9:uid="{00000000-0011-0000-FFFF-FFFF4B000000}">
      <tableStyleElement type="firstRowStripe" dxfId="299"/>
      <tableStyleElement type="secondRowStripe" dxfId="298"/>
    </tableStyle>
    <tableStyle name="Sheet1-style 77" pivot="0" count="2" xr9:uid="{00000000-0011-0000-FFFF-FFFF4C000000}">
      <tableStyleElement type="firstRowStripe" dxfId="297"/>
      <tableStyleElement type="secondRowStripe" dxfId="296"/>
    </tableStyle>
    <tableStyle name="Sheet1-style 78" pivot="0" count="2" xr9:uid="{00000000-0011-0000-FFFF-FFFF4D000000}">
      <tableStyleElement type="firstRowStripe" dxfId="295"/>
      <tableStyleElement type="secondRowStripe" dxfId="294"/>
    </tableStyle>
    <tableStyle name="Sheet1-style 79" pivot="0" count="2" xr9:uid="{00000000-0011-0000-FFFF-FFFF4E000000}">
      <tableStyleElement type="firstRowStripe" dxfId="293"/>
      <tableStyleElement type="secondRowStripe" dxfId="292"/>
    </tableStyle>
    <tableStyle name="Sheet1-style 80" pivot="0" count="2" xr9:uid="{00000000-0011-0000-FFFF-FFFF4F000000}">
      <tableStyleElement type="firstRowStripe" dxfId="291"/>
      <tableStyleElement type="secondRowStripe" dxfId="290"/>
    </tableStyle>
    <tableStyle name="Sheet1-style 81" pivot="0" count="2" xr9:uid="{00000000-0011-0000-FFFF-FFFF50000000}">
      <tableStyleElement type="firstRowStripe" dxfId="289"/>
      <tableStyleElement type="secondRowStripe" dxfId="288"/>
    </tableStyle>
    <tableStyle name="Sheet1-style 82" pivot="0" count="2" xr9:uid="{00000000-0011-0000-FFFF-FFFF51000000}">
      <tableStyleElement type="firstRowStripe" dxfId="287"/>
      <tableStyleElement type="secondRowStripe" dxfId="286"/>
    </tableStyle>
    <tableStyle name="Sheet1-style 83" pivot="0" count="2" xr9:uid="{00000000-0011-0000-FFFF-FFFF52000000}">
      <tableStyleElement type="firstRowStripe" dxfId="285"/>
      <tableStyleElement type="secondRowStripe" dxfId="284"/>
    </tableStyle>
    <tableStyle name="Sheet1-style 84" pivot="0" count="2" xr9:uid="{00000000-0011-0000-FFFF-FFFF53000000}">
      <tableStyleElement type="firstRowStripe" dxfId="283"/>
      <tableStyleElement type="secondRowStripe" dxfId="282"/>
    </tableStyle>
    <tableStyle name="Sheet1-style 85" pivot="0" count="2" xr9:uid="{00000000-0011-0000-FFFF-FFFF54000000}">
      <tableStyleElement type="firstRowStripe" dxfId="281"/>
      <tableStyleElement type="secondRowStripe" dxfId="280"/>
    </tableStyle>
    <tableStyle name="Sheet1-style 86" pivot="0" count="2" xr9:uid="{00000000-0011-0000-FFFF-FFFF55000000}">
      <tableStyleElement type="firstRowStripe" dxfId="279"/>
      <tableStyleElement type="secondRowStripe" dxfId="278"/>
    </tableStyle>
    <tableStyle name="Sheet1-style 87" pivot="0" count="2" xr9:uid="{00000000-0011-0000-FFFF-FFFF56000000}">
      <tableStyleElement type="firstRowStripe" dxfId="277"/>
      <tableStyleElement type="secondRowStripe" dxfId="276"/>
    </tableStyle>
    <tableStyle name="Sheet1-style 88" pivot="0" count="2" xr9:uid="{00000000-0011-0000-FFFF-FFFF57000000}">
      <tableStyleElement type="firstRowStripe" dxfId="275"/>
      <tableStyleElement type="secondRowStripe" dxfId="274"/>
    </tableStyle>
    <tableStyle name="Sheet1-style 89" pivot="0" count="2" xr9:uid="{00000000-0011-0000-FFFF-FFFF58000000}">
      <tableStyleElement type="firstRowStripe" dxfId="273"/>
      <tableStyleElement type="secondRowStripe" dxfId="272"/>
    </tableStyle>
    <tableStyle name="Sheet1-style 90" pivot="0" count="2" xr9:uid="{00000000-0011-0000-FFFF-FFFF59000000}">
      <tableStyleElement type="firstRowStripe" dxfId="271"/>
      <tableStyleElement type="secondRowStripe" dxfId="270"/>
    </tableStyle>
    <tableStyle name="Sheet1-style 91" pivot="0" count="2" xr9:uid="{00000000-0011-0000-FFFF-FFFF5A000000}">
      <tableStyleElement type="firstRowStripe" dxfId="269"/>
      <tableStyleElement type="secondRowStripe" dxfId="268"/>
    </tableStyle>
    <tableStyle name="Sheet1-style 92" pivot="0" count="2" xr9:uid="{00000000-0011-0000-FFFF-FFFF5B000000}">
      <tableStyleElement type="firstRowStripe" dxfId="267"/>
      <tableStyleElement type="secondRowStripe" dxfId="266"/>
    </tableStyle>
    <tableStyle name="Sheet1-style 93" pivot="0" count="2" xr9:uid="{00000000-0011-0000-FFFF-FFFF5C000000}">
      <tableStyleElement type="firstRowStripe" dxfId="265"/>
      <tableStyleElement type="secondRowStripe" dxfId="264"/>
    </tableStyle>
    <tableStyle name="Sheet1-style 94" pivot="0" count="2" xr9:uid="{00000000-0011-0000-FFFF-FFFF5D000000}">
      <tableStyleElement type="firstRowStripe" dxfId="263"/>
      <tableStyleElement type="secondRowStripe" dxfId="262"/>
    </tableStyle>
    <tableStyle name="Sheet1-style 95" pivot="0" count="2" xr9:uid="{00000000-0011-0000-FFFF-FFFF5E000000}">
      <tableStyleElement type="firstRowStripe" dxfId="261"/>
      <tableStyleElement type="secondRowStripe" dxfId="260"/>
    </tableStyle>
    <tableStyle name="Sheet1-style 96" pivot="0" count="2" xr9:uid="{00000000-0011-0000-FFFF-FFFF5F000000}">
      <tableStyleElement type="firstRowStripe" dxfId="259"/>
      <tableStyleElement type="secondRowStripe" dxfId="258"/>
    </tableStyle>
    <tableStyle name="Sheet1-style 97" pivot="0" count="2" xr9:uid="{00000000-0011-0000-FFFF-FFFF60000000}">
      <tableStyleElement type="firstRowStripe" dxfId="257"/>
      <tableStyleElement type="secondRowStripe" dxfId="256"/>
    </tableStyle>
    <tableStyle name="Sheet1-style 98" pivot="0" count="2" xr9:uid="{00000000-0011-0000-FFFF-FFFF61000000}">
      <tableStyleElement type="firstRowStripe" dxfId="255"/>
      <tableStyleElement type="secondRowStripe" dxfId="254"/>
    </tableStyle>
    <tableStyle name="Sheet1-style 99" pivot="0" count="2" xr9:uid="{00000000-0011-0000-FFFF-FFFF62000000}">
      <tableStyleElement type="firstRowStripe" dxfId="253"/>
      <tableStyleElement type="secondRowStripe" dxfId="252"/>
    </tableStyle>
    <tableStyle name="Sheet1-style 100" pivot="0" count="2" xr9:uid="{00000000-0011-0000-FFFF-FFFF63000000}">
      <tableStyleElement type="firstRowStripe" dxfId="251"/>
      <tableStyleElement type="secondRowStripe" dxfId="250"/>
    </tableStyle>
    <tableStyle name="Sheet1-style 101" pivot="0" count="2" xr9:uid="{00000000-0011-0000-FFFF-FFFF64000000}">
      <tableStyleElement type="firstRowStripe" dxfId="249"/>
      <tableStyleElement type="secondRowStripe" dxfId="248"/>
    </tableStyle>
    <tableStyle name="Sheet1-style 102" pivot="0" count="2" xr9:uid="{00000000-0011-0000-FFFF-FFFF65000000}">
      <tableStyleElement type="firstRowStripe" dxfId="247"/>
      <tableStyleElement type="secondRowStripe" dxfId="246"/>
    </tableStyle>
    <tableStyle name="Sheet1-style 103" pivot="0" count="2" xr9:uid="{00000000-0011-0000-FFFF-FFFF66000000}">
      <tableStyleElement type="firstRowStripe" dxfId="245"/>
      <tableStyleElement type="secondRowStripe" dxfId="244"/>
    </tableStyle>
    <tableStyle name="Sheet1-style 104" pivot="0" count="2" xr9:uid="{00000000-0011-0000-FFFF-FFFF67000000}">
      <tableStyleElement type="firstRowStripe" dxfId="243"/>
      <tableStyleElement type="secondRowStripe" dxfId="242"/>
    </tableStyle>
    <tableStyle name="Sheet1-style 105" pivot="0" count="2" xr9:uid="{00000000-0011-0000-FFFF-FFFF68000000}">
      <tableStyleElement type="firstRowStripe" dxfId="241"/>
      <tableStyleElement type="secondRowStripe" dxfId="240"/>
    </tableStyle>
    <tableStyle name="Sheet1-style 106" pivot="0" count="2" xr9:uid="{00000000-0011-0000-FFFF-FFFF69000000}">
      <tableStyleElement type="firstRowStripe" dxfId="239"/>
      <tableStyleElement type="secondRowStripe" dxfId="238"/>
    </tableStyle>
    <tableStyle name="Sheet1-style 107" pivot="0" count="2" xr9:uid="{00000000-0011-0000-FFFF-FFFF6A000000}">
      <tableStyleElement type="firstRowStripe" dxfId="237"/>
      <tableStyleElement type="secondRowStripe" dxfId="236"/>
    </tableStyle>
    <tableStyle name="Sheet1-style 108" pivot="0" count="2" xr9:uid="{00000000-0011-0000-FFFF-FFFF6B000000}">
      <tableStyleElement type="firstRowStripe" dxfId="235"/>
      <tableStyleElement type="secondRowStripe" dxfId="234"/>
    </tableStyle>
    <tableStyle name="Sheet1-style 109" pivot="0" count="2" xr9:uid="{00000000-0011-0000-FFFF-FFFF6C000000}">
      <tableStyleElement type="firstRowStripe" dxfId="233"/>
      <tableStyleElement type="secondRowStripe" dxfId="232"/>
    </tableStyle>
    <tableStyle name="Sheet1-style 110" pivot="0" count="2" xr9:uid="{00000000-0011-0000-FFFF-FFFF6D000000}">
      <tableStyleElement type="firstRowStripe" dxfId="231"/>
      <tableStyleElement type="secondRowStripe" dxfId="230"/>
    </tableStyle>
    <tableStyle name="Sheet1-style 111" pivot="0" count="2" xr9:uid="{00000000-0011-0000-FFFF-FFFF6E000000}">
      <tableStyleElement type="firstRowStripe" dxfId="229"/>
      <tableStyleElement type="secondRowStripe" dxfId="228"/>
    </tableStyle>
    <tableStyle name="Sheet1-style 112" pivot="0" count="2" xr9:uid="{00000000-0011-0000-FFFF-FFFF6F000000}">
      <tableStyleElement type="firstRowStripe" dxfId="227"/>
      <tableStyleElement type="secondRowStripe" dxfId="226"/>
    </tableStyle>
    <tableStyle name="Sheet1-style 113" pivot="0" count="2" xr9:uid="{00000000-0011-0000-FFFF-FFFF70000000}">
      <tableStyleElement type="firstRowStripe" dxfId="225"/>
      <tableStyleElement type="secondRowStripe" dxfId="224"/>
    </tableStyle>
    <tableStyle name="Sheet1-style 114" pivot="0" count="2" xr9:uid="{00000000-0011-0000-FFFF-FFFF71000000}">
      <tableStyleElement type="firstRowStripe" dxfId="223"/>
      <tableStyleElement type="secondRowStripe" dxfId="222"/>
    </tableStyle>
    <tableStyle name="Sheet1-style 115" pivot="0" count="2" xr9:uid="{00000000-0011-0000-FFFF-FFFF72000000}">
      <tableStyleElement type="firstRowStripe" dxfId="221"/>
      <tableStyleElement type="secondRowStripe" dxfId="220"/>
    </tableStyle>
    <tableStyle name="Sheet1-style 116" pivot="0" count="2" xr9:uid="{00000000-0011-0000-FFFF-FFFF73000000}">
      <tableStyleElement type="firstRowStripe" dxfId="219"/>
      <tableStyleElement type="secondRowStripe" dxfId="218"/>
    </tableStyle>
    <tableStyle name="Sheet1-style 117" pivot="0" count="2" xr9:uid="{00000000-0011-0000-FFFF-FFFF74000000}">
      <tableStyleElement type="firstRowStripe" dxfId="217"/>
      <tableStyleElement type="secondRowStripe" dxfId="216"/>
    </tableStyle>
    <tableStyle name="Sheet1-style 118" pivot="0" count="2" xr9:uid="{00000000-0011-0000-FFFF-FFFF75000000}">
      <tableStyleElement type="firstRowStripe" dxfId="215"/>
      <tableStyleElement type="secondRowStripe" dxfId="214"/>
    </tableStyle>
    <tableStyle name="Sheet1-style 119" pivot="0" count="2" xr9:uid="{00000000-0011-0000-FFFF-FFFF76000000}">
      <tableStyleElement type="firstRowStripe" dxfId="213"/>
      <tableStyleElement type="secondRowStripe" dxfId="212"/>
    </tableStyle>
    <tableStyle name="Sheet1-style 120" pivot="0" count="2" xr9:uid="{00000000-0011-0000-FFFF-FFFF77000000}">
      <tableStyleElement type="firstRowStripe" dxfId="211"/>
      <tableStyleElement type="secondRowStripe" dxfId="210"/>
    </tableStyle>
    <tableStyle name="Sheet1-style 121" pivot="0" count="2" xr9:uid="{00000000-0011-0000-FFFF-FFFF78000000}">
      <tableStyleElement type="firstRowStripe" dxfId="209"/>
      <tableStyleElement type="secondRowStripe" dxfId="208"/>
    </tableStyle>
    <tableStyle name="Sheet1-style 122" pivot="0" count="2" xr9:uid="{00000000-0011-0000-FFFF-FFFF79000000}">
      <tableStyleElement type="firstRowStripe" dxfId="207"/>
      <tableStyleElement type="secondRowStripe" dxfId="206"/>
    </tableStyle>
    <tableStyle name="Sheet1-style 123" pivot="0" count="2" xr9:uid="{00000000-0011-0000-FFFF-FFFF7A000000}">
      <tableStyleElement type="firstRowStripe" dxfId="205"/>
      <tableStyleElement type="secondRowStripe" dxfId="204"/>
    </tableStyle>
    <tableStyle name="Sheet1-style 124" pivot="0" count="2" xr9:uid="{00000000-0011-0000-FFFF-FFFF7B000000}">
      <tableStyleElement type="firstRowStripe" dxfId="203"/>
      <tableStyleElement type="secondRowStripe" dxfId="202"/>
    </tableStyle>
    <tableStyle name="Sheet1-style 125" pivot="0" count="2" xr9:uid="{00000000-0011-0000-FFFF-FFFF7C000000}">
      <tableStyleElement type="firstRowStripe" dxfId="201"/>
      <tableStyleElement type="secondRowStripe" dxfId="200"/>
    </tableStyle>
    <tableStyle name="Sheet2-style" pivot="0" count="2" xr9:uid="{00000000-0011-0000-FFFF-FFFF7D000000}">
      <tableStyleElement type="firstRowStripe" dxfId="199"/>
      <tableStyleElement type="secondRowStripe" dxfId="198"/>
    </tableStyle>
    <tableStyle name="Sheet2-style 2" pivot="0" count="2" xr9:uid="{00000000-0011-0000-FFFF-FFFF7E000000}">
      <tableStyleElement type="firstRowStripe" dxfId="197"/>
      <tableStyleElement type="secondRowStripe" dxfId="196"/>
    </tableStyle>
    <tableStyle name="Sheet2-style 3" pivot="0" count="2" xr9:uid="{00000000-0011-0000-FFFF-FFFF7F000000}">
      <tableStyleElement type="firstRowStripe" dxfId="195"/>
      <tableStyleElement type="secondRowStripe" dxfId="194"/>
    </tableStyle>
    <tableStyle name="Sheet2-style 4" pivot="0" count="2" xr9:uid="{00000000-0011-0000-FFFF-FFFF80000000}">
      <tableStyleElement type="firstRowStripe" dxfId="193"/>
      <tableStyleElement type="secondRowStripe" dxfId="192"/>
    </tableStyle>
    <tableStyle name="Sheet2-style 5" pivot="0" count="2" xr9:uid="{00000000-0011-0000-FFFF-FFFF81000000}">
      <tableStyleElement type="firstRowStripe" dxfId="191"/>
      <tableStyleElement type="secondRowStripe" dxfId="190"/>
    </tableStyle>
    <tableStyle name="Sheet2-style 6" pivot="0" count="2" xr9:uid="{00000000-0011-0000-FFFF-FFFF82000000}">
      <tableStyleElement type="firstRowStripe" dxfId="189"/>
      <tableStyleElement type="secondRowStripe" dxfId="188"/>
    </tableStyle>
    <tableStyle name="Sheet2-style 7" pivot="0" count="2" xr9:uid="{00000000-0011-0000-FFFF-FFFF83000000}">
      <tableStyleElement type="firstRowStripe" dxfId="187"/>
      <tableStyleElement type="secondRowStripe" dxfId="186"/>
    </tableStyle>
    <tableStyle name="Sheet2-style 8" pivot="0" count="2" xr9:uid="{00000000-0011-0000-FFFF-FFFF84000000}">
      <tableStyleElement type="firstRowStripe" dxfId="185"/>
      <tableStyleElement type="secondRowStripe" dxfId="184"/>
    </tableStyle>
    <tableStyle name="Sheet2-style 9" pivot="0" count="2" xr9:uid="{00000000-0011-0000-FFFF-FFFF85000000}">
      <tableStyleElement type="firstRowStripe" dxfId="183"/>
      <tableStyleElement type="secondRowStripe" dxfId="182"/>
    </tableStyle>
    <tableStyle name="Sheet2-style 10" pivot="0" count="2" xr9:uid="{00000000-0011-0000-FFFF-FFFF86000000}">
      <tableStyleElement type="firstRowStripe" dxfId="181"/>
      <tableStyleElement type="secondRowStripe" dxfId="180"/>
    </tableStyle>
    <tableStyle name="Sheet2-style 11" pivot="0" count="2" xr9:uid="{00000000-0011-0000-FFFF-FFFF87000000}">
      <tableStyleElement type="firstRowStripe" dxfId="179"/>
      <tableStyleElement type="secondRowStripe" dxfId="178"/>
    </tableStyle>
    <tableStyle name="Sheet2-style 12" pivot="0" count="2" xr9:uid="{00000000-0011-0000-FFFF-FFFF88000000}">
      <tableStyleElement type="firstRowStripe" dxfId="177"/>
      <tableStyleElement type="secondRowStripe" dxfId="176"/>
    </tableStyle>
    <tableStyle name="Sheet2-style 13" pivot="0" count="2" xr9:uid="{00000000-0011-0000-FFFF-FFFF89000000}">
      <tableStyleElement type="firstRowStripe" dxfId="175"/>
      <tableStyleElement type="secondRowStripe" dxfId="174"/>
    </tableStyle>
    <tableStyle name="Sheet2-style 14" pivot="0" count="2" xr9:uid="{00000000-0011-0000-FFFF-FFFF8A000000}">
      <tableStyleElement type="firstRowStripe" dxfId="173"/>
      <tableStyleElement type="secondRowStripe" dxfId="172"/>
    </tableStyle>
    <tableStyle name="Sheet2-style 15" pivot="0" count="2" xr9:uid="{00000000-0011-0000-FFFF-FFFF8B000000}">
      <tableStyleElement type="firstRowStripe" dxfId="171"/>
      <tableStyleElement type="secondRowStripe" dxfId="170"/>
    </tableStyle>
    <tableStyle name="Sheet2-style 16" pivot="0" count="2" xr9:uid="{00000000-0011-0000-FFFF-FFFF8C000000}">
      <tableStyleElement type="firstRowStripe" dxfId="169"/>
      <tableStyleElement type="secondRowStripe" dxfId="168"/>
    </tableStyle>
    <tableStyle name="Sheet2-style 17" pivot="0" count="2" xr9:uid="{00000000-0011-0000-FFFF-FFFF8D000000}">
      <tableStyleElement type="firstRowStripe" dxfId="167"/>
      <tableStyleElement type="secondRowStripe" dxfId="166"/>
    </tableStyle>
    <tableStyle name="Sheet2-style 18" pivot="0" count="2" xr9:uid="{00000000-0011-0000-FFFF-FFFF8E000000}">
      <tableStyleElement type="firstRowStripe" dxfId="165"/>
      <tableStyleElement type="secondRowStripe" dxfId="164"/>
    </tableStyle>
    <tableStyle name="Sheet2-style 19" pivot="0" count="2" xr9:uid="{00000000-0011-0000-FFFF-FFFF8F000000}">
      <tableStyleElement type="firstRowStripe" dxfId="163"/>
      <tableStyleElement type="secondRowStripe" dxfId="162"/>
    </tableStyle>
    <tableStyle name="Sheet2-style 20" pivot="0" count="2" xr9:uid="{00000000-0011-0000-FFFF-FFFF90000000}">
      <tableStyleElement type="firstRowStripe" dxfId="161"/>
      <tableStyleElement type="secondRowStripe" dxfId="160"/>
    </tableStyle>
    <tableStyle name="Sheet2-style 21" pivot="0" count="2" xr9:uid="{00000000-0011-0000-FFFF-FFFF91000000}">
      <tableStyleElement type="firstRowStripe" dxfId="159"/>
      <tableStyleElement type="secondRowStripe" dxfId="158"/>
    </tableStyle>
    <tableStyle name="Sheet2-style 22" pivot="0" count="2" xr9:uid="{00000000-0011-0000-FFFF-FFFF92000000}">
      <tableStyleElement type="firstRowStripe" dxfId="157"/>
      <tableStyleElement type="secondRowStripe" dxfId="156"/>
    </tableStyle>
    <tableStyle name="Sheet2-style 23" pivot="0" count="2" xr9:uid="{00000000-0011-0000-FFFF-FFFF93000000}">
      <tableStyleElement type="firstRowStripe" dxfId="155"/>
      <tableStyleElement type="secondRowStripe" dxfId="154"/>
    </tableStyle>
    <tableStyle name="Sheet2-style 24" pivot="0" count="2" xr9:uid="{00000000-0011-0000-FFFF-FFFF94000000}">
      <tableStyleElement type="firstRowStripe" dxfId="153"/>
      <tableStyleElement type="secondRowStripe" dxfId="152"/>
    </tableStyle>
    <tableStyle name="Sheet2-style 25" pivot="0" count="2" xr9:uid="{00000000-0011-0000-FFFF-FFFF95000000}">
      <tableStyleElement type="firstRowStripe" dxfId="151"/>
      <tableStyleElement type="secondRowStripe" dxfId="150"/>
    </tableStyle>
    <tableStyle name="Sheet2-style 26" pivot="0" count="2" xr9:uid="{00000000-0011-0000-FFFF-FFFF96000000}">
      <tableStyleElement type="firstRowStripe" dxfId="149"/>
      <tableStyleElement type="secondRowStripe" dxfId="148"/>
    </tableStyle>
    <tableStyle name="Sheet2-style 27" pivot="0" count="2" xr9:uid="{00000000-0011-0000-FFFF-FFFF97000000}">
      <tableStyleElement type="firstRowStripe" dxfId="147"/>
      <tableStyleElement type="secondRowStripe" dxfId="146"/>
    </tableStyle>
    <tableStyle name="Sheet2-style 28" pivot="0" count="2" xr9:uid="{00000000-0011-0000-FFFF-FFFF98000000}">
      <tableStyleElement type="firstRowStripe" dxfId="145"/>
      <tableStyleElement type="secondRowStripe" dxfId="144"/>
    </tableStyle>
    <tableStyle name="Sheet2-style 29" pivot="0" count="2" xr9:uid="{00000000-0011-0000-FFFF-FFFF99000000}">
      <tableStyleElement type="firstRowStripe" dxfId="143"/>
      <tableStyleElement type="secondRowStripe" dxfId="142"/>
    </tableStyle>
    <tableStyle name="Sheet2-style 30" pivot="0" count="2" xr9:uid="{00000000-0011-0000-FFFF-FFFF9A000000}">
      <tableStyleElement type="firstRowStripe" dxfId="141"/>
      <tableStyleElement type="secondRowStripe" dxfId="140"/>
    </tableStyle>
    <tableStyle name="Sheet2-style 31" pivot="0" count="2" xr9:uid="{00000000-0011-0000-FFFF-FFFF9B000000}">
      <tableStyleElement type="firstRowStripe" dxfId="139"/>
      <tableStyleElement type="secondRowStripe" dxfId="138"/>
    </tableStyle>
    <tableStyle name="Sheet2-style 32" pivot="0" count="2" xr9:uid="{00000000-0011-0000-FFFF-FFFF9C000000}">
      <tableStyleElement type="firstRowStripe" dxfId="137"/>
      <tableStyleElement type="secondRowStripe" dxfId="136"/>
    </tableStyle>
    <tableStyle name="Sheet2-style 33" pivot="0" count="2" xr9:uid="{00000000-0011-0000-FFFF-FFFF9D000000}">
      <tableStyleElement type="firstRowStripe" dxfId="135"/>
      <tableStyleElement type="secondRowStripe" dxfId="134"/>
    </tableStyle>
    <tableStyle name="Sheet2-style 34" pivot="0" count="2" xr9:uid="{00000000-0011-0000-FFFF-FFFF9E000000}">
      <tableStyleElement type="firstRowStripe" dxfId="133"/>
      <tableStyleElement type="secondRowStripe" dxfId="132"/>
    </tableStyle>
    <tableStyle name="Sheet2-style 35" pivot="0" count="2" xr9:uid="{00000000-0011-0000-FFFF-FFFF9F000000}">
      <tableStyleElement type="firstRowStripe" dxfId="131"/>
      <tableStyleElement type="secondRowStripe" dxfId="130"/>
    </tableStyle>
    <tableStyle name="Sheet2-style 36" pivot="0" count="2" xr9:uid="{00000000-0011-0000-FFFF-FFFFA0000000}">
      <tableStyleElement type="firstRowStripe" dxfId="129"/>
      <tableStyleElement type="secondRowStripe" dxfId="128"/>
    </tableStyle>
    <tableStyle name="Sheet2-style 37" pivot="0" count="2" xr9:uid="{00000000-0011-0000-FFFF-FFFFA1000000}">
      <tableStyleElement type="firstRowStripe" dxfId="127"/>
      <tableStyleElement type="secondRowStripe" dxfId="126"/>
    </tableStyle>
    <tableStyle name="Sheet2-style 38" pivot="0" count="2" xr9:uid="{00000000-0011-0000-FFFF-FFFFA2000000}">
      <tableStyleElement type="firstRowStripe" dxfId="125"/>
      <tableStyleElement type="secondRowStripe" dxfId="124"/>
    </tableStyle>
    <tableStyle name="Sheet2-style 39" pivot="0" count="2" xr9:uid="{00000000-0011-0000-FFFF-FFFFA3000000}">
      <tableStyleElement type="firstRowStripe" dxfId="123"/>
      <tableStyleElement type="secondRowStripe" dxfId="122"/>
    </tableStyle>
    <tableStyle name="Sheet2-style 40" pivot="0" count="2" xr9:uid="{00000000-0011-0000-FFFF-FFFFA4000000}">
      <tableStyleElement type="firstRowStripe" dxfId="121"/>
      <tableStyleElement type="secondRowStripe" dxfId="120"/>
    </tableStyle>
    <tableStyle name="Sheet2-style 41" pivot="0" count="2" xr9:uid="{00000000-0011-0000-FFFF-FFFFA5000000}">
      <tableStyleElement type="firstRowStripe" dxfId="119"/>
      <tableStyleElement type="secondRowStripe" dxfId="118"/>
    </tableStyle>
    <tableStyle name="Sheet2-style 42" pivot="0" count="2" xr9:uid="{00000000-0011-0000-FFFF-FFFFA6000000}">
      <tableStyleElement type="firstRowStripe" dxfId="117"/>
      <tableStyleElement type="secondRowStripe" dxfId="116"/>
    </tableStyle>
    <tableStyle name="Sheet2-style 43" pivot="0" count="2" xr9:uid="{00000000-0011-0000-FFFF-FFFFA7000000}">
      <tableStyleElement type="firstRowStripe" dxfId="115"/>
      <tableStyleElement type="secondRowStripe" dxfId="114"/>
    </tableStyle>
    <tableStyle name="Sheet2-style 44" pivot="0" count="2" xr9:uid="{00000000-0011-0000-FFFF-FFFFA8000000}">
      <tableStyleElement type="firstRowStripe" dxfId="113"/>
      <tableStyleElement type="secondRowStripe" dxfId="112"/>
    </tableStyle>
    <tableStyle name="Sheet2-style 45" pivot="0" count="2" xr9:uid="{00000000-0011-0000-FFFF-FFFFA9000000}">
      <tableStyleElement type="firstRowStripe" dxfId="111"/>
      <tableStyleElement type="secondRowStripe" dxfId="110"/>
    </tableStyle>
    <tableStyle name="Sheet2-style 46" pivot="0" count="2" xr9:uid="{00000000-0011-0000-FFFF-FFFFAA000000}">
      <tableStyleElement type="firstRowStripe" dxfId="109"/>
      <tableStyleElement type="secondRowStripe" dxfId="108"/>
    </tableStyle>
    <tableStyle name="Sheet2-style 47" pivot="0" count="2" xr9:uid="{00000000-0011-0000-FFFF-FFFFAB000000}">
      <tableStyleElement type="firstRowStripe" dxfId="107"/>
      <tableStyleElement type="secondRowStripe" dxfId="106"/>
    </tableStyle>
    <tableStyle name="Sheet2-style 48" pivot="0" count="2" xr9:uid="{00000000-0011-0000-FFFF-FFFFAC000000}">
      <tableStyleElement type="firstRowStripe" dxfId="105"/>
      <tableStyleElement type="secondRowStripe" dxfId="104"/>
    </tableStyle>
    <tableStyle name="Sheet2-style 49" pivot="0" count="2" xr9:uid="{00000000-0011-0000-FFFF-FFFFAD000000}">
      <tableStyleElement type="firstRowStripe" dxfId="103"/>
      <tableStyleElement type="secondRowStripe" dxfId="102"/>
    </tableStyle>
    <tableStyle name="Sheet2-style 50" pivot="0" count="2" xr9:uid="{00000000-0011-0000-FFFF-FFFFAE000000}">
      <tableStyleElement type="firstRowStripe" dxfId="101"/>
      <tableStyleElement type="secondRowStripe" dxfId="100"/>
    </tableStyle>
    <tableStyle name="Sheet2-style 51" pivot="0" count="2" xr9:uid="{00000000-0011-0000-FFFF-FFFFAF000000}">
      <tableStyleElement type="firstRowStripe" dxfId="99"/>
      <tableStyleElement type="secondRowStripe" dxfId="98"/>
    </tableStyle>
    <tableStyle name="Sheet2-style 52" pivot="0" count="2" xr9:uid="{00000000-0011-0000-FFFF-FFFFB0000000}">
      <tableStyleElement type="firstRowStripe" dxfId="97"/>
      <tableStyleElement type="secondRowStripe" dxfId="96"/>
    </tableStyle>
    <tableStyle name="Sheet2-style 53" pivot="0" count="2" xr9:uid="{00000000-0011-0000-FFFF-FFFFB1000000}">
      <tableStyleElement type="firstRowStripe" dxfId="95"/>
      <tableStyleElement type="secondRowStripe" dxfId="94"/>
    </tableStyle>
    <tableStyle name="Sheet2-style 54" pivot="0" count="2" xr9:uid="{00000000-0011-0000-FFFF-FFFFB2000000}">
      <tableStyleElement type="firstRowStripe" dxfId="93"/>
      <tableStyleElement type="secondRowStripe" dxfId="92"/>
    </tableStyle>
    <tableStyle name="Sheet2-style 55" pivot="0" count="2" xr9:uid="{00000000-0011-0000-FFFF-FFFFB3000000}">
      <tableStyleElement type="firstRowStripe" dxfId="91"/>
      <tableStyleElement type="secondRowStripe" dxfId="90"/>
    </tableStyle>
    <tableStyle name="Sheet2-style 56" pivot="0" count="2" xr9:uid="{00000000-0011-0000-FFFF-FFFFB4000000}">
      <tableStyleElement type="firstRowStripe" dxfId="89"/>
      <tableStyleElement type="secondRowStripe" dxfId="88"/>
    </tableStyle>
    <tableStyle name="Sheet2-style 57" pivot="0" count="2" xr9:uid="{00000000-0011-0000-FFFF-FFFFB5000000}">
      <tableStyleElement type="firstRowStripe" dxfId="87"/>
      <tableStyleElement type="secondRowStripe" dxfId="86"/>
    </tableStyle>
    <tableStyle name="Sheet2-style 58" pivot="0" count="2" xr9:uid="{00000000-0011-0000-FFFF-FFFFB6000000}">
      <tableStyleElement type="firstRowStripe" dxfId="85"/>
      <tableStyleElement type="secondRowStripe" dxfId="84"/>
    </tableStyle>
    <tableStyle name="Sheet2-style 59" pivot="0" count="2" xr9:uid="{00000000-0011-0000-FFFF-FFFFB7000000}">
      <tableStyleElement type="firstRowStripe" dxfId="83"/>
      <tableStyleElement type="secondRowStripe" dxfId="82"/>
    </tableStyle>
    <tableStyle name="Sheet2-style 60" pivot="0" count="2" xr9:uid="{00000000-0011-0000-FFFF-FFFFB8000000}">
      <tableStyleElement type="firstRowStripe" dxfId="81"/>
      <tableStyleElement type="secondRowStripe" dxfId="80"/>
    </tableStyle>
    <tableStyle name="Sheet2-style 61" pivot="0" count="2" xr9:uid="{00000000-0011-0000-FFFF-FFFFB9000000}">
      <tableStyleElement type="firstRowStripe" dxfId="79"/>
      <tableStyleElement type="secondRowStripe" dxfId="78"/>
    </tableStyle>
    <tableStyle name="Sheet2-style 62" pivot="0" count="2" xr9:uid="{00000000-0011-0000-FFFF-FFFFBA000000}">
      <tableStyleElement type="firstRowStripe" dxfId="77"/>
      <tableStyleElement type="secondRowStripe" dxfId="76"/>
    </tableStyle>
    <tableStyle name="Sheet2-style 63" pivot="0" count="2" xr9:uid="{00000000-0011-0000-FFFF-FFFFBB000000}">
      <tableStyleElement type="firstRowStripe" dxfId="75"/>
      <tableStyleElement type="secondRowStripe" dxfId="74"/>
    </tableStyle>
    <tableStyle name="Sheet2-style 64" pivot="0" count="2" xr9:uid="{00000000-0011-0000-FFFF-FFFFBC000000}">
      <tableStyleElement type="firstRowStripe" dxfId="73"/>
      <tableStyleElement type="secondRowStripe" dxfId="72"/>
    </tableStyle>
    <tableStyle name="Sheet2-style 65" pivot="0" count="2" xr9:uid="{00000000-0011-0000-FFFF-FFFFBD000000}">
      <tableStyleElement type="firstRowStripe" dxfId="71"/>
      <tableStyleElement type="secondRowStripe" dxfId="70"/>
    </tableStyle>
    <tableStyle name="Sheet2-style 66" pivot="0" count="2" xr9:uid="{00000000-0011-0000-FFFF-FFFFBE000000}">
      <tableStyleElement type="firstRowStripe" dxfId="69"/>
      <tableStyleElement type="secondRowStripe" dxfId="68"/>
    </tableStyle>
    <tableStyle name="Sheet2-style 67" pivot="0" count="2" xr9:uid="{00000000-0011-0000-FFFF-FFFFBF000000}">
      <tableStyleElement type="firstRowStripe" dxfId="67"/>
      <tableStyleElement type="secondRowStripe" dxfId="66"/>
    </tableStyle>
    <tableStyle name="Sheet2-style 68" pivot="0" count="2" xr9:uid="{00000000-0011-0000-FFFF-FFFFC0000000}">
      <tableStyleElement type="firstRowStripe" dxfId="65"/>
      <tableStyleElement type="secondRowStripe" dxfId="64"/>
    </tableStyle>
    <tableStyle name="Sheet2-style 69" pivot="0" count="2" xr9:uid="{00000000-0011-0000-FFFF-FFFFC1000000}">
      <tableStyleElement type="firstRowStripe" dxfId="63"/>
      <tableStyleElement type="secondRowStripe" dxfId="62"/>
    </tableStyle>
    <tableStyle name="Sheet2-style 70" pivot="0" count="2" xr9:uid="{00000000-0011-0000-FFFF-FFFFC2000000}">
      <tableStyleElement type="firstRowStripe" dxfId="61"/>
      <tableStyleElement type="secondRowStripe" dxfId="60"/>
    </tableStyle>
    <tableStyle name="Sheet2-style 71" pivot="0" count="2" xr9:uid="{00000000-0011-0000-FFFF-FFFFC3000000}">
      <tableStyleElement type="firstRowStripe" dxfId="59"/>
      <tableStyleElement type="secondRowStripe" dxfId="58"/>
    </tableStyle>
    <tableStyle name="Sheet2-style 72" pivot="0" count="2" xr9:uid="{00000000-0011-0000-FFFF-FFFFC4000000}">
      <tableStyleElement type="firstRowStripe" dxfId="57"/>
      <tableStyleElement type="secondRowStripe" dxfId="56"/>
    </tableStyle>
    <tableStyle name="Sheet2-style 73" pivot="0" count="2" xr9:uid="{00000000-0011-0000-FFFF-FFFFC5000000}">
      <tableStyleElement type="firstRowStripe" dxfId="55"/>
      <tableStyleElement type="secondRowStripe" dxfId="54"/>
    </tableStyle>
    <tableStyle name="Sheet2-style 74" pivot="0" count="2" xr9:uid="{00000000-0011-0000-FFFF-FFFFC6000000}">
      <tableStyleElement type="firstRowStripe" dxfId="53"/>
      <tableStyleElement type="secondRowStripe" dxfId="52"/>
    </tableStyle>
    <tableStyle name="Sheet2-style 75" pivot="0" count="2" xr9:uid="{00000000-0011-0000-FFFF-FFFFC7000000}">
      <tableStyleElement type="firstRowStripe" dxfId="51"/>
      <tableStyleElement type="secondRowStripe" dxfId="50"/>
    </tableStyle>
    <tableStyle name="Sheet2-style 76" pivot="0" count="2" xr9:uid="{00000000-0011-0000-FFFF-FFFFC8000000}">
      <tableStyleElement type="firstRowStripe" dxfId="49"/>
      <tableStyleElement type="secondRowStripe" dxfId="48"/>
    </tableStyle>
    <tableStyle name="Sheet2-style 77" pivot="0" count="2" xr9:uid="{00000000-0011-0000-FFFF-FFFFC9000000}">
      <tableStyleElement type="firstRowStripe" dxfId="47"/>
      <tableStyleElement type="secondRowStripe" dxfId="46"/>
    </tableStyle>
    <tableStyle name="Sheet2-style 78" pivot="0" count="2" xr9:uid="{00000000-0011-0000-FFFF-FFFFCA000000}">
      <tableStyleElement type="firstRowStripe" dxfId="45"/>
      <tableStyleElement type="secondRowStripe" dxfId="44"/>
    </tableStyle>
    <tableStyle name="Sheet2-style 79" pivot="0" count="2" xr9:uid="{00000000-0011-0000-FFFF-FFFFCB000000}">
      <tableStyleElement type="firstRowStripe" dxfId="43"/>
      <tableStyleElement type="secondRowStripe" dxfId="42"/>
    </tableStyle>
    <tableStyle name="Sheet2-style 80" pivot="0" count="2" xr9:uid="{00000000-0011-0000-FFFF-FFFFCC000000}">
      <tableStyleElement type="firstRowStripe" dxfId="41"/>
      <tableStyleElement type="secondRowStripe" dxfId="40"/>
    </tableStyle>
    <tableStyle name="Sheet2-style 81" pivot="0" count="2" xr9:uid="{00000000-0011-0000-FFFF-FFFFCD000000}">
      <tableStyleElement type="firstRowStripe" dxfId="39"/>
      <tableStyleElement type="secondRowStripe" dxfId="38"/>
    </tableStyle>
    <tableStyle name="Sheet2-style 82" pivot="0" count="2" xr9:uid="{00000000-0011-0000-FFFF-FFFFCE000000}">
      <tableStyleElement type="firstRowStripe" dxfId="37"/>
      <tableStyleElement type="secondRowStripe" dxfId="36"/>
    </tableStyle>
    <tableStyle name="Sheet2-style 83" pivot="0" count="2" xr9:uid="{00000000-0011-0000-FFFF-FFFFCF000000}">
      <tableStyleElement type="firstRowStripe" dxfId="35"/>
      <tableStyleElement type="secondRowStripe" dxfId="34"/>
    </tableStyle>
    <tableStyle name="Sheet2-style 84" pivot="0" count="2" xr9:uid="{00000000-0011-0000-FFFF-FFFFD0000000}">
      <tableStyleElement type="firstRowStripe" dxfId="33"/>
      <tableStyleElement type="secondRowStripe" dxfId="32"/>
    </tableStyle>
    <tableStyle name="Sheet2-style 85" pivot="0" count="2" xr9:uid="{00000000-0011-0000-FFFF-FFFFD1000000}">
      <tableStyleElement type="firstRowStripe" dxfId="31"/>
      <tableStyleElement type="secondRowStripe" dxfId="30"/>
    </tableStyle>
    <tableStyle name="Sheet2-style 86" pivot="0" count="2" xr9:uid="{00000000-0011-0000-FFFF-FFFFD2000000}">
      <tableStyleElement type="firstRowStripe" dxfId="29"/>
      <tableStyleElement type="secondRowStripe" dxfId="28"/>
    </tableStyle>
    <tableStyle name="Sheet2-style 87" pivot="0" count="2" xr9:uid="{00000000-0011-0000-FFFF-FFFFD3000000}">
      <tableStyleElement type="firstRowStripe" dxfId="27"/>
      <tableStyleElement type="secondRowStripe" dxfId="26"/>
    </tableStyle>
    <tableStyle name="Sheet2-style 88" pivot="0" count="2" xr9:uid="{00000000-0011-0000-FFFF-FFFFD4000000}">
      <tableStyleElement type="firstRowStripe" dxfId="25"/>
      <tableStyleElement type="secondRowStripe" dxfId="24"/>
    </tableStyle>
    <tableStyle name="Sheet2-style 89" pivot="0" count="2" xr9:uid="{00000000-0011-0000-FFFF-FFFFD5000000}">
      <tableStyleElement type="firstRowStripe" dxfId="23"/>
      <tableStyleElement type="secondRowStripe" dxfId="22"/>
    </tableStyle>
    <tableStyle name="Sheet2-style 90" pivot="0" count="2" xr9:uid="{00000000-0011-0000-FFFF-FFFFD6000000}">
      <tableStyleElement type="firstRowStripe" dxfId="21"/>
      <tableStyleElement type="secondRowStripe" dxfId="20"/>
    </tableStyle>
    <tableStyle name="Sheet2-style 91" pivot="0" count="2" xr9:uid="{00000000-0011-0000-FFFF-FFFFD7000000}">
      <tableStyleElement type="firstRowStripe" dxfId="19"/>
      <tableStyleElement type="secondRowStripe" dxfId="18"/>
    </tableStyle>
    <tableStyle name="Sheet2-style 92" pivot="0" count="2" xr9:uid="{00000000-0011-0000-FFFF-FFFFD8000000}">
      <tableStyleElement type="firstRowStripe" dxfId="17"/>
      <tableStyleElement type="secondRowStripe" dxfId="16"/>
    </tableStyle>
    <tableStyle name="Sheet2-style 93" pivot="0" count="2" xr9:uid="{00000000-0011-0000-FFFF-FFFFD9000000}">
      <tableStyleElement type="firstRowStripe" dxfId="15"/>
      <tableStyleElement type="secondRowStripe" dxfId="14"/>
    </tableStyle>
    <tableStyle name="Sheet2-style 94" pivot="0" count="2" xr9:uid="{00000000-0011-0000-FFFF-FFFFDA000000}">
      <tableStyleElement type="firstRowStripe" dxfId="13"/>
      <tableStyleElement type="secondRowStripe" dxfId="12"/>
    </tableStyle>
    <tableStyle name="Sheet2-style 95" pivot="0" count="2" xr9:uid="{00000000-0011-0000-FFFF-FFFFDB000000}">
      <tableStyleElement type="firstRowStripe" dxfId="11"/>
      <tableStyleElement type="secondRowStripe" dxfId="10"/>
    </tableStyle>
    <tableStyle name="Sheet2-style 96" pivot="0" count="2" xr9:uid="{00000000-0011-0000-FFFF-FFFFDC000000}">
      <tableStyleElement type="firstRowStripe" dxfId="9"/>
      <tableStyleElement type="secondRowStripe" dxfId="8"/>
    </tableStyle>
    <tableStyle name="Sheet2-style 97" pivot="0" count="2" xr9:uid="{00000000-0011-0000-FFFF-FFFFDD000000}">
      <tableStyleElement type="firstRowStripe" dxfId="7"/>
      <tableStyleElement type="secondRowStripe" dxfId="6"/>
    </tableStyle>
    <tableStyle name="Sheet2-style 98" pivot="0" count="2" xr9:uid="{00000000-0011-0000-FFFF-FFFFDE000000}">
      <tableStyleElement type="firstRowStripe" dxfId="5"/>
      <tableStyleElement type="secondRowStripe" dxfId="4"/>
    </tableStyle>
    <tableStyle name="Sheet2-style 99" pivot="0" count="2" xr9:uid="{00000000-0011-0000-FFFF-FFFFDF000000}">
      <tableStyleElement type="firstRowStripe" dxfId="3"/>
      <tableStyleElement type="secondRowStripe" dxfId="2"/>
    </tableStyle>
    <tableStyle name="Sheet2-style 100" pivot="0" count="2" xr9:uid="{00000000-0011-0000-FFFF-FFFFE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E6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2:E24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0:E42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8:E60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76:E78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95:E97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4:E116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35:E137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60:E162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Sheet1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81:E183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Sheet1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202:E204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Sheet1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223:E225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Sheet1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243:E245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Sheet1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64:E266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Sheet1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281:E283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Sheet1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298:E300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Sheet1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319:E321" headerRowCount="0">
  <tableColumns count="4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</tableColumns>
  <tableStyleInfo name="Sheet1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341:E343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Sheet1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360:E362" headerRowCount="0">
  <tableColumns count="4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</tableColumns>
  <tableStyleInfo name="Sheet1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377:E379" headerRowCount="0">
  <tableColumns count="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</tableColumns>
  <tableStyleInfo name="Sheet1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99:E401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Sheet1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422:E424" headerRowCount="0">
  <tableColumns count="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</tableColumns>
  <tableStyleInfo name="Sheet1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441:E443" headerRowCount="0">
  <tableColumns count="4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</tableColumns>
  <tableStyleInfo name="Sheet1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462:E464" headerRowCount="0">
  <tableColumns count="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</tableColumns>
  <tableStyleInfo name="Sheet1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482:E484" headerRowCount="0">
  <tableColumns count="4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</tableColumns>
  <tableStyleInfo name="Sheet1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499:E501" headerRowCount="0">
  <tableColumns count="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</tableColumns>
  <tableStyleInfo name="Sheet1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519:E521" headerRowCount="0">
  <tableColumns count="4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</tableColumns>
  <tableStyleInfo name="Sheet1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B538:E540" headerRowCount="0">
  <tableColumns count="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</tableColumns>
  <tableStyleInfo name="Sheet1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557:E559" headerRowCount="0">
  <tableColumns count="4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</tableColumns>
  <tableStyleInfo name="Sheet1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574:E576" headerRowCount="0">
  <tableColumns count="4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</tableColumns>
  <tableStyleInfo name="Sheet1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591:E593" headerRowCount="0">
  <tableColumns count="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</tableColumns>
  <tableStyleInfo name="Sheet1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608:E610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Sheet1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626:E628" headerRowCount="0">
  <tableColumns count="4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</tableColumns>
  <tableStyleInfo name="Sheet1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647:E649" headerRowCount="0">
  <tableColumns count="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</tableColumns>
  <tableStyleInfo name="Sheet1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664:E666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Sheet1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684:E686" headerRowCount="0">
  <tableColumns count="4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</tableColumns>
  <tableStyleInfo name="Sheet1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702:E704" headerRowCount="0">
  <tableColumns count="4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</tableColumns>
  <tableStyleInfo name="Sheet1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719:E721" headerRowCount="0">
  <tableColumns count="4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</tableColumns>
  <tableStyleInfo name="Sheet1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736:E738" headerRowCount="0">
  <tableColumns count="4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</tableColumns>
  <tableStyleInfo name="Sheet1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752:E754" headerRowCount="0">
  <tableColumns count="4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</tableColumns>
  <tableStyleInfo name="Sheet1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772:E774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Sheet1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794:E796" headerRowCount="0">
  <tableColumns count="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</tableColumns>
  <tableStyleInfo name="Sheet1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811:E813" headerRowCount="0">
  <tableColumns count="4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</tableColumns>
  <tableStyleInfo name="Sheet1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831:E833" headerRowCount="0">
  <tableColumns count="4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</tableColumns>
  <tableStyleInfo name="Sheet1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847:E849" headerRowCount="0">
  <tableColumns count="4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</tableColumns>
  <tableStyleInfo name="Sheet1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866:E868" headerRowCount="0">
  <tableColumns count="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</tableColumns>
  <tableStyleInfo name="Sheet1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884:E886" headerRowCount="0">
  <tableColumns count="4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</tableColumns>
  <tableStyleInfo name="Sheet1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903:E905" headerRowCount="0">
  <tableColumns count="4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</tableColumns>
  <tableStyleInfo name="Sheet1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919:E921" headerRowCount="0">
  <tableColumns count="4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</tableColumns>
  <tableStyleInfo name="Sheet1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938:E940" headerRowCount="0">
  <tableColumns count="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</tableColumns>
  <tableStyleInfo name="Sheet1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956:E958" headerRowCount="0">
  <tableColumns count="4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</tableColumns>
  <tableStyleInfo name="Sheet1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974:E976" headerRowCount="0">
  <tableColumns count="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</tableColumns>
  <tableStyleInfo name="Sheet1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994:E996" headerRowCount="0">
  <tableColumns count="4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</tableColumns>
  <tableStyleInfo name="Sheet1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1012:E1014" headerRowCount="0">
  <tableColumns count="4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</tableColumns>
  <tableStyleInfo name="Sheet1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1028:E1029" headerRowCount="0">
  <tableColumns count="4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</tableColumns>
  <tableStyleInfo name="Sheet1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1043:E1044" headerRowCount="0">
  <tableColumns count="4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</tableColumns>
  <tableStyleInfo name="Sheet1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B1060:E1061" headerRowCount="0">
  <tableColumns count="4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</tableColumns>
  <tableStyleInfo name="Sheet1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1075:E1076" headerRowCount="0">
  <tableColumns count="4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</tableColumns>
  <tableStyleInfo name="Sheet1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1092:E1093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Sheet1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109:E1110" headerRowCount="0">
  <tableColumns count="4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</tableColumns>
  <tableStyleInfo name="Sheet1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1126:E1127" headerRowCount="0">
  <tableColumns count="4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</tableColumns>
  <tableStyleInfo name="Sheet1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1144:E1145" headerRowCount="0">
  <tableColumns count="4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</tableColumns>
  <tableStyleInfo name="Sheet1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1163:E1164" headerRowCount="0">
  <tableColumns count="4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</tableColumns>
  <tableStyleInfo name="Sheet1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1181:E1182" headerRowCount="0">
  <tableColumns count="4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</tableColumns>
  <tableStyleInfo name="Sheet1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1198:E1199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Sheet1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1216:E1217" headerRowCount="0">
  <tableColumns count="4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</tableColumns>
  <tableStyleInfo name="Sheet1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1236:E1237" headerRowCount="0">
  <tableColumns count="4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</tableColumns>
  <tableStyleInfo name="Sheet1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1255:E1256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Sheet1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1274:E1275" headerRowCount="0">
  <tableColumns count="4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</tableColumns>
  <tableStyleInfo name="Sheet1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1295:E1296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Sheet1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1314:E1315" headerRowCount="0">
  <tableColumns count="4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</tableColumns>
  <tableStyleInfo name="Sheet1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1332:E1333" headerRowCount="0">
  <tableColumns count="4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</tableColumns>
  <tableStyleInfo name="Sheet1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1351:E1352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Sheet1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375:E1376" headerRowCount="0">
  <tableColumns count="4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</tableColumns>
  <tableStyleInfo name="Sheet1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1398:E1399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Sheet1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1414:E1415" headerRowCount="0">
  <tableColumns count="4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</tableColumns>
  <tableStyleInfo name="Sheet1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B1431:E1432" headerRowCount="0">
  <tableColumns count="4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</tableColumns>
  <tableStyleInfo name="Sheet1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1448:E1449" headerRowCount="0">
  <tableColumns count="4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</tableColumns>
  <tableStyleInfo name="Sheet1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1462:E1463" headerRowCount="0">
  <tableColumns count="4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</tableColumns>
  <tableStyleInfo name="Sheet1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476:E1477" headerRowCount="0">
  <tableColumns count="4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</tableColumns>
  <tableStyleInfo name="Sheet1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490:E1491" headerRowCount="0">
  <tableColumns count="4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</tableColumns>
  <tableStyleInfo name="Sheet1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1504:E1505" headerRowCount="0">
  <tableColumns count="4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</tableColumns>
  <tableStyleInfo name="Sheet1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1519:E1520" headerRowCount="0">
  <tableColumns count="4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</tableColumns>
  <tableStyleInfo name="Sheet1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1533:E1534" headerRowCount="0">
  <tableColumns count="4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</tableColumns>
  <tableStyleInfo name="Sheet1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1548:E1549" headerRowCount="0">
  <tableColumns count="4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</tableColumns>
  <tableStyleInfo name="Sheet1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1569:E1570" headerRowCount="0">
  <tableColumns count="4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</tableColumns>
  <tableStyleInfo name="Sheet1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1584:E1585" headerRowCount="0">
  <tableColumns count="4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</tableColumns>
  <tableStyleInfo name="Sheet1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600:E1601" headerRowCount="0">
  <tableColumns count="4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</tableColumns>
  <tableStyleInfo name="Sheet1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1616:E1617" headerRowCount="0">
  <tableColumns count="4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</tableColumns>
  <tableStyleInfo name="Sheet1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1633:E1634" headerRowCount="0">
  <tableColumns count="4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</tableColumns>
  <tableStyleInfo name="Sheet1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1648:E1649" headerRowCount="0">
  <tableColumns count="4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</tableColumns>
  <tableStyleInfo name="Sheet1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B1664:E1665" headerRowCount="0">
  <tableColumns count="4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</tableColumns>
  <tableStyleInfo name="Sheet1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1678:E1679" headerRowCount="0">
  <tableColumns count="4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</tableColumns>
  <tableStyleInfo name="Sheet1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1693:E1694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Sheet1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1709:E1710" headerRowCount="0">
  <tableColumns count="4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</tableColumns>
  <tableStyleInfo name="Sheet1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1726:E1727" headerRowCount="0">
  <tableColumns count="4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</tableColumns>
  <tableStyleInfo name="Sheet1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1747:E1748" headerRowCount="0">
  <tableColumns count="4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</tableColumns>
  <tableStyleInfo name="Sheet1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1767:E1768" headerRowCount="0">
  <tableColumns count="4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</tableColumns>
  <tableStyleInfo name="Sheet1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1785:E1786" headerRowCount="0">
  <tableColumns count="4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</tableColumns>
  <tableStyleInfo name="Sheet1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1801:E1802" headerRowCount="0">
  <tableColumns count="4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</tableColumns>
  <tableStyleInfo name="Sheet1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B1818:E1819" headerRowCount="0">
  <tableColumns count="4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</tableColumns>
  <tableStyleInfo name="Sheet1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B1834:E1835" headerRowCount="0">
  <tableColumns count="4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</tableColumns>
  <tableStyleInfo name="Sheet1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B1851:E1852" headerRowCount="0">
  <tableColumns count="4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</tableColumns>
  <tableStyleInfo name="Sheet1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B1866:E1867" headerRowCount="0">
  <tableColumns count="4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</tableColumns>
  <tableStyleInfo name="Sheet1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B1884:E1885" headerRowCount="0">
  <tableColumns count="4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</tableColumns>
  <tableStyleInfo name="Sheet1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B1900:E1901" headerRowCount="0">
  <tableColumns count="4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</tableColumns>
  <tableStyleInfo name="Sheet1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1916:E1917" headerRowCount="0">
  <tableColumns count="4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</tableColumns>
  <tableStyleInfo name="Sheet1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B1931:E1932" headerRowCount="0">
  <tableColumns count="4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</tableColumns>
  <tableStyleInfo name="Sheet1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B1946:E1947" headerRowCount="0">
  <tableColumns count="4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</tableColumns>
  <tableStyleInfo name="Sheet1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B1961:E1963" headerRowCount="0">
  <tableColumns count="4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</tableColumns>
  <tableStyleInfo name="Sheet1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B1977:E1979" headerRowCount="0">
  <tableColumns count="4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</tableColumns>
  <tableStyleInfo name="Sheet1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B1995:E1997" headerRowCount="0">
  <tableColumns count="4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</tableColumns>
  <tableStyleInfo name="Sheet1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B2012:E2014" headerRowCount="0">
  <tableColumns count="4">
    <tableColumn id="1" xr3:uid="{00000000-0010-0000-7000-000001000000}" name="Column1"/>
    <tableColumn id="2" xr3:uid="{00000000-0010-0000-7000-000002000000}" name="Column2"/>
    <tableColumn id="3" xr3:uid="{00000000-0010-0000-7000-000003000000}" name="Column3"/>
    <tableColumn id="4" xr3:uid="{00000000-0010-0000-7000-000004000000}" name="Column4"/>
  </tableColumns>
  <tableStyleInfo name="Sheet1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2031:E2033" headerRowCount="0">
  <tableColumns count="4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</tableColumns>
  <tableStyleInfo name="Sheet1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B2048:E2050" headerRowCount="0">
  <tableColumns count="4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</tableColumns>
  <tableStyleInfo name="Sheet1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B2063:E2065" headerRowCount="0">
  <tableColumns count="4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</tableColumns>
  <tableStyleInfo name="Sheet1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B2079:E2081" headerRowCount="0">
  <tableColumns count="4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</tableColumns>
  <tableStyleInfo name="Sheet1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B2095:E2097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Sheet1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B2113:E2115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Sheet1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B2132:E2134" headerRowCount="0">
  <tableColumns count="4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</tableColumns>
  <tableStyleInfo name="Sheet1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B2152:E2154" headerRowCount="0">
  <tableColumns count="4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</tableColumns>
  <tableStyleInfo name="Sheet1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B2169:E2171" headerRowCount="0">
  <tableColumns count="4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</tableColumns>
  <tableStyleInfo name="Sheet1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B2186:E2188" headerRowCount="0">
  <tableColumns count="4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</tableColumns>
  <tableStyleInfo name="Sheet1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B2203:E2204" headerRowCount="0">
  <tableColumns count="4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</tableColumns>
  <tableStyleInfo name="Sheet1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2220:E2221" headerRowCount="0">
  <tableColumns count="4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</tableColumns>
  <tableStyleInfo name="Sheet1-style 12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6" Type="http://schemas.openxmlformats.org/officeDocument/2006/relationships/table" Target="../tables/table16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18" Type="http://schemas.openxmlformats.org/officeDocument/2006/relationships/table" Target="../tables/table118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08" Type="http://schemas.openxmlformats.org/officeDocument/2006/relationships/table" Target="../tables/table108.xml"/><Relationship Id="rId124" Type="http://schemas.openxmlformats.org/officeDocument/2006/relationships/table" Target="../tables/table124.xml"/><Relationship Id="rId54" Type="http://schemas.openxmlformats.org/officeDocument/2006/relationships/table" Target="../tables/table54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04" Type="http://schemas.openxmlformats.org/officeDocument/2006/relationships/table" Target="../tables/table104.xml"/><Relationship Id="rId120" Type="http://schemas.openxmlformats.org/officeDocument/2006/relationships/table" Target="../tables/table120.xml"/><Relationship Id="rId125" Type="http://schemas.openxmlformats.org/officeDocument/2006/relationships/table" Target="../tables/table125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15" Type="http://schemas.openxmlformats.org/officeDocument/2006/relationships/table" Target="../tables/table115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105" Type="http://schemas.openxmlformats.org/officeDocument/2006/relationships/table" Target="../tables/table105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796"/>
  <sheetViews>
    <sheetView rightToLeft="1" tabSelected="1" topLeftCell="A3783" workbookViewId="0">
      <selection activeCell="A2231" sqref="A2231"/>
    </sheetView>
  </sheetViews>
  <sheetFormatPr defaultColWidth="12.5703125" defaultRowHeight="15.75" customHeight="1"/>
  <cols>
    <col min="1" max="1" width="6.7109375" customWidth="1"/>
    <col min="2" max="2" width="20.140625" customWidth="1"/>
    <col min="7" max="7" width="10.42578125" customWidth="1"/>
    <col min="8" max="8" width="13.5703125" customWidth="1"/>
  </cols>
  <sheetData>
    <row r="1" spans="1:26" ht="26.25">
      <c r="A1" s="24" t="s">
        <v>0</v>
      </c>
      <c r="B1" s="25"/>
      <c r="C1" s="25"/>
      <c r="D1" s="25"/>
      <c r="E1" s="25"/>
      <c r="F1" s="25"/>
      <c r="G1" s="25"/>
      <c r="H1" s="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>
      <c r="A2" s="24" t="s">
        <v>1</v>
      </c>
      <c r="B2" s="25"/>
      <c r="C2" s="25"/>
      <c r="D2" s="25"/>
      <c r="E2" s="25"/>
      <c r="F2" s="25"/>
      <c r="G2" s="25"/>
      <c r="H2" s="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2" t="s">
        <v>8</v>
      </c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5">
        <v>1</v>
      </c>
      <c r="B4" s="6" t="s">
        <v>9</v>
      </c>
      <c r="C4" s="7">
        <v>7713</v>
      </c>
      <c r="D4" s="6" t="s">
        <v>10</v>
      </c>
      <c r="E4" s="6">
        <v>0.72</v>
      </c>
      <c r="F4" s="8">
        <v>293000</v>
      </c>
      <c r="G4" s="9">
        <f t="shared" ref="G4:G7" si="0">IFERROR(E4*F4,0)</f>
        <v>210960</v>
      </c>
      <c r="H4" s="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>
      <c r="A5" s="5">
        <v>2</v>
      </c>
      <c r="B5" s="11" t="s">
        <v>11</v>
      </c>
      <c r="C5" s="12">
        <v>6365</v>
      </c>
      <c r="D5" s="13" t="s">
        <v>12</v>
      </c>
      <c r="E5" s="13">
        <v>1.18</v>
      </c>
      <c r="F5" s="14">
        <v>435000</v>
      </c>
      <c r="G5" s="9">
        <f t="shared" si="0"/>
        <v>513300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>
      <c r="A6" s="5">
        <v>3</v>
      </c>
      <c r="B6" s="15" t="s">
        <v>13</v>
      </c>
      <c r="C6" s="16">
        <v>3838</v>
      </c>
      <c r="D6" s="6" t="s">
        <v>10</v>
      </c>
      <c r="E6" s="6">
        <v>1.7</v>
      </c>
      <c r="F6" s="8">
        <v>293000</v>
      </c>
      <c r="G6" s="9">
        <f t="shared" si="0"/>
        <v>498100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5">
        <v>4</v>
      </c>
      <c r="B7" s="17" t="s">
        <v>14</v>
      </c>
      <c r="C7" s="10"/>
      <c r="D7" s="10"/>
      <c r="E7" s="10"/>
      <c r="F7" s="10"/>
      <c r="G7" s="18">
        <f t="shared" si="0"/>
        <v>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27" t="s">
        <v>15</v>
      </c>
      <c r="B8" s="25"/>
      <c r="C8" s="25"/>
      <c r="D8" s="25"/>
      <c r="E8" s="25"/>
      <c r="F8" s="25"/>
      <c r="G8" s="26"/>
      <c r="H8" s="19">
        <f>SUM(G4:G7)</f>
        <v>1222360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>
      <c r="A9" s="27" t="s">
        <v>16</v>
      </c>
      <c r="B9" s="25"/>
      <c r="C9" s="25"/>
      <c r="D9" s="25"/>
      <c r="E9" s="25"/>
      <c r="F9" s="25"/>
      <c r="G9" s="26"/>
      <c r="H9" s="19">
        <f>MAX(0,H8-648000)</f>
        <v>574360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>
      <c r="A10" s="28" t="s">
        <v>17</v>
      </c>
      <c r="B10" s="25"/>
      <c r="C10" s="25"/>
      <c r="D10" s="25"/>
      <c r="E10" s="25"/>
      <c r="F10" s="25"/>
      <c r="G10" s="26"/>
      <c r="H10" s="20">
        <v>649000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>
      <c r="A11" s="24"/>
      <c r="B11" s="25"/>
      <c r="C11" s="25"/>
      <c r="D11" s="25"/>
      <c r="E11" s="25"/>
      <c r="F11" s="25"/>
      <c r="G11" s="25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I12" s="1"/>
    </row>
    <row r="13" spans="1:26" ht="15">
      <c r="I13" s="1"/>
    </row>
    <row r="14" spans="1:26" ht="15">
      <c r="I14" s="1"/>
    </row>
    <row r="15" spans="1:26" ht="15">
      <c r="I15" s="1"/>
    </row>
    <row r="16" spans="1:26" ht="15">
      <c r="I16" s="1"/>
    </row>
    <row r="17" spans="1:26" ht="15">
      <c r="I17" s="1"/>
    </row>
    <row r="18" spans="1:26" ht="15">
      <c r="I18" s="1"/>
    </row>
    <row r="19" spans="1:26" ht="26.25">
      <c r="A19" s="24" t="s">
        <v>0</v>
      </c>
      <c r="B19" s="25"/>
      <c r="C19" s="25"/>
      <c r="D19" s="25"/>
      <c r="E19" s="25"/>
      <c r="F19" s="25"/>
      <c r="G19" s="25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>
      <c r="A20" s="24" t="s">
        <v>18</v>
      </c>
      <c r="B20" s="25"/>
      <c r="C20" s="25"/>
      <c r="D20" s="25"/>
      <c r="E20" s="25"/>
      <c r="F20" s="25"/>
      <c r="G20" s="25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>
      <c r="A21" s="2" t="s">
        <v>2</v>
      </c>
      <c r="B21" s="2" t="s">
        <v>3</v>
      </c>
      <c r="C21" s="2" t="s">
        <v>4</v>
      </c>
      <c r="D21" s="2" t="s">
        <v>5</v>
      </c>
      <c r="E21" s="2" t="s">
        <v>6</v>
      </c>
      <c r="F21" s="3" t="s">
        <v>7</v>
      </c>
      <c r="G21" s="2" t="s">
        <v>8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>
      <c r="A22" s="5">
        <v>1</v>
      </c>
      <c r="B22" s="21" t="s">
        <v>19</v>
      </c>
      <c r="C22" s="7">
        <v>6744</v>
      </c>
      <c r="D22" s="6" t="s">
        <v>10</v>
      </c>
      <c r="E22" s="6">
        <v>0.94</v>
      </c>
      <c r="F22" s="8">
        <v>293000</v>
      </c>
      <c r="G22" s="9">
        <f t="shared" ref="G22:G25" si="1">IFERROR(E22*F22,0)</f>
        <v>275420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>
      <c r="A23" s="5">
        <v>2</v>
      </c>
      <c r="B23" s="11" t="s">
        <v>20</v>
      </c>
      <c r="C23" s="12">
        <v>1129</v>
      </c>
      <c r="D23" s="13" t="s">
        <v>12</v>
      </c>
      <c r="E23" s="13">
        <v>1.17</v>
      </c>
      <c r="F23" s="14">
        <v>435000</v>
      </c>
      <c r="G23" s="9">
        <f t="shared" si="1"/>
        <v>508949.99999999994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>
      <c r="A24" s="5">
        <v>3</v>
      </c>
      <c r="B24" s="6" t="s">
        <v>21</v>
      </c>
      <c r="C24" s="16">
        <v>3844</v>
      </c>
      <c r="D24" s="6" t="s">
        <v>10</v>
      </c>
      <c r="E24" s="6">
        <v>1.48</v>
      </c>
      <c r="F24" s="8">
        <v>293000</v>
      </c>
      <c r="G24" s="9">
        <f t="shared" si="1"/>
        <v>433640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>
      <c r="A25" s="5">
        <v>4</v>
      </c>
      <c r="B25" s="17" t="s">
        <v>14</v>
      </c>
      <c r="C25" s="10"/>
      <c r="D25" s="10"/>
      <c r="E25" s="10"/>
      <c r="F25" s="10"/>
      <c r="G25" s="18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>
      <c r="A26" s="27" t="s">
        <v>15</v>
      </c>
      <c r="B26" s="25"/>
      <c r="C26" s="25"/>
      <c r="D26" s="25"/>
      <c r="E26" s="25"/>
      <c r="F26" s="25"/>
      <c r="G26" s="26"/>
      <c r="H26" s="19">
        <f>SUM(G22:G25)</f>
        <v>1218010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>
      <c r="A27" s="27" t="s">
        <v>16</v>
      </c>
      <c r="B27" s="25"/>
      <c r="C27" s="25"/>
      <c r="D27" s="25"/>
      <c r="E27" s="25"/>
      <c r="F27" s="25"/>
      <c r="G27" s="26"/>
      <c r="H27" s="19">
        <f>MAX(0,H26-648000)</f>
        <v>570010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>
      <c r="A28" s="28" t="s">
        <v>17</v>
      </c>
      <c r="B28" s="25"/>
      <c r="C28" s="25"/>
      <c r="D28" s="25"/>
      <c r="E28" s="25"/>
      <c r="F28" s="25"/>
      <c r="G28" s="26"/>
      <c r="H28" s="20">
        <v>649000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>
      <c r="A29" s="24"/>
      <c r="B29" s="25"/>
      <c r="C29" s="25"/>
      <c r="D29" s="25"/>
      <c r="E29" s="25"/>
      <c r="F29" s="25"/>
      <c r="G29" s="25"/>
      <c r="H29" s="2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I30" s="1"/>
    </row>
    <row r="31" spans="1:26" ht="15">
      <c r="I31" s="1"/>
    </row>
    <row r="32" spans="1:26" ht="15">
      <c r="I32" s="1"/>
    </row>
    <row r="33" spans="1:26" ht="15">
      <c r="I33" s="1"/>
    </row>
    <row r="34" spans="1:26" ht="15">
      <c r="I34" s="1"/>
    </row>
    <row r="35" spans="1:26" ht="15">
      <c r="I35" s="1"/>
    </row>
    <row r="36" spans="1:26" ht="15">
      <c r="I36" s="1"/>
    </row>
    <row r="37" spans="1:26" ht="26.25">
      <c r="A37" s="24" t="s">
        <v>0</v>
      </c>
      <c r="B37" s="25"/>
      <c r="C37" s="25"/>
      <c r="D37" s="25"/>
      <c r="E37" s="25"/>
      <c r="F37" s="25"/>
      <c r="G37" s="25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>
      <c r="A38" s="24" t="s">
        <v>22</v>
      </c>
      <c r="B38" s="25"/>
      <c r="C38" s="25"/>
      <c r="D38" s="25"/>
      <c r="E38" s="25"/>
      <c r="F38" s="25"/>
      <c r="G38" s="25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>
      <c r="A39" s="2" t="s">
        <v>2</v>
      </c>
      <c r="B39" s="2" t="s">
        <v>3</v>
      </c>
      <c r="C39" s="2" t="s">
        <v>4</v>
      </c>
      <c r="D39" s="2" t="s">
        <v>5</v>
      </c>
      <c r="E39" s="2" t="s">
        <v>6</v>
      </c>
      <c r="F39" s="3" t="s">
        <v>7</v>
      </c>
      <c r="G39" s="2" t="s">
        <v>8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>
      <c r="A40" s="5">
        <v>1</v>
      </c>
      <c r="B40" s="15" t="s">
        <v>23</v>
      </c>
      <c r="C40" s="7">
        <v>7664</v>
      </c>
      <c r="D40" s="6" t="s">
        <v>10</v>
      </c>
      <c r="E40" s="6">
        <v>1</v>
      </c>
      <c r="F40" s="8">
        <v>293000</v>
      </c>
      <c r="G40" s="9">
        <f t="shared" ref="G40:G43" si="2">IFERROR(E40*F40,0)</f>
        <v>293000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>
      <c r="A41" s="5">
        <v>2</v>
      </c>
      <c r="B41" s="15" t="s">
        <v>24</v>
      </c>
      <c r="C41" s="12">
        <v>17</v>
      </c>
      <c r="D41" s="13" t="s">
        <v>12</v>
      </c>
      <c r="E41" s="13">
        <v>1.345</v>
      </c>
      <c r="F41" s="14">
        <v>435000</v>
      </c>
      <c r="G41" s="9">
        <f t="shared" si="2"/>
        <v>585075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25">
      <c r="A42" s="5">
        <v>3</v>
      </c>
      <c r="B42" s="6" t="s">
        <v>25</v>
      </c>
      <c r="C42" s="16">
        <v>3831</v>
      </c>
      <c r="D42" s="6" t="s">
        <v>10</v>
      </c>
      <c r="E42" s="6">
        <v>1</v>
      </c>
      <c r="F42" s="8">
        <v>293000</v>
      </c>
      <c r="G42" s="9">
        <f t="shared" si="2"/>
        <v>293000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25">
      <c r="A43" s="5">
        <v>4</v>
      </c>
      <c r="B43" s="17" t="s">
        <v>14</v>
      </c>
      <c r="C43" s="10"/>
      <c r="D43" s="10"/>
      <c r="E43" s="10"/>
      <c r="F43" s="10"/>
      <c r="G43" s="18">
        <f t="shared" si="2"/>
        <v>0</v>
      </c>
      <c r="H43" s="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25">
      <c r="A44" s="27" t="s">
        <v>15</v>
      </c>
      <c r="B44" s="25"/>
      <c r="C44" s="25"/>
      <c r="D44" s="25"/>
      <c r="E44" s="25"/>
      <c r="F44" s="25"/>
      <c r="G44" s="26"/>
      <c r="H44" s="19">
        <f>SUM(G40:G43)</f>
        <v>1171075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25">
      <c r="A45" s="27" t="s">
        <v>16</v>
      </c>
      <c r="B45" s="25"/>
      <c r="C45" s="25"/>
      <c r="D45" s="25"/>
      <c r="E45" s="25"/>
      <c r="F45" s="25"/>
      <c r="G45" s="26"/>
      <c r="H45" s="19">
        <f>MAX(0,H44-648000)</f>
        <v>523075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25">
      <c r="A46" s="28" t="s">
        <v>17</v>
      </c>
      <c r="B46" s="25"/>
      <c r="C46" s="25"/>
      <c r="D46" s="25"/>
      <c r="E46" s="25"/>
      <c r="F46" s="25"/>
      <c r="G46" s="26"/>
      <c r="H46" s="20">
        <v>649000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25">
      <c r="A47" s="24"/>
      <c r="B47" s="25"/>
      <c r="C47" s="25"/>
      <c r="D47" s="25"/>
      <c r="E47" s="25"/>
      <c r="F47" s="25"/>
      <c r="G47" s="25"/>
      <c r="H47" s="2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I48" s="1"/>
    </row>
    <row r="49" spans="1:26" ht="15">
      <c r="I49" s="1"/>
    </row>
    <row r="50" spans="1:26" ht="15">
      <c r="I50" s="1"/>
    </row>
    <row r="51" spans="1:26" ht="15">
      <c r="I51" s="1"/>
    </row>
    <row r="52" spans="1:26" ht="15">
      <c r="I52" s="1"/>
    </row>
    <row r="53" spans="1:26" ht="15">
      <c r="I53" s="1"/>
    </row>
    <row r="54" spans="1:26" ht="15">
      <c r="I54" s="1"/>
    </row>
    <row r="55" spans="1:26" ht="26.25">
      <c r="A55" s="24" t="s">
        <v>0</v>
      </c>
      <c r="B55" s="25"/>
      <c r="C55" s="25"/>
      <c r="D55" s="25"/>
      <c r="E55" s="25"/>
      <c r="F55" s="25"/>
      <c r="G55" s="25"/>
      <c r="H55" s="2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6.25">
      <c r="A56" s="24" t="s">
        <v>26</v>
      </c>
      <c r="B56" s="25"/>
      <c r="C56" s="25"/>
      <c r="D56" s="25"/>
      <c r="E56" s="25"/>
      <c r="F56" s="25"/>
      <c r="G56" s="25"/>
      <c r="H56" s="2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>
      <c r="A57" s="2" t="s">
        <v>2</v>
      </c>
      <c r="B57" s="2" t="s">
        <v>3</v>
      </c>
      <c r="C57" s="2" t="s">
        <v>4</v>
      </c>
      <c r="D57" s="2" t="s">
        <v>5</v>
      </c>
      <c r="E57" s="2" t="s">
        <v>6</v>
      </c>
      <c r="F57" s="3" t="s">
        <v>7</v>
      </c>
      <c r="G57" s="2" t="s">
        <v>8</v>
      </c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>
      <c r="A58" s="5">
        <v>1</v>
      </c>
      <c r="B58" s="6" t="s">
        <v>27</v>
      </c>
      <c r="C58" s="7">
        <v>3825</v>
      </c>
      <c r="D58" s="6" t="s">
        <v>10</v>
      </c>
      <c r="E58" s="6">
        <v>1.03</v>
      </c>
      <c r="F58" s="8">
        <v>293000</v>
      </c>
      <c r="G58" s="9">
        <f t="shared" ref="G58:G61" si="3">IFERROR(E58*F58,0)</f>
        <v>301790</v>
      </c>
      <c r="H58" s="1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>
      <c r="A59" s="5">
        <v>2</v>
      </c>
      <c r="B59" s="13" t="s">
        <v>24</v>
      </c>
      <c r="C59" s="12" t="s">
        <v>28</v>
      </c>
      <c r="D59" s="13" t="s">
        <v>12</v>
      </c>
      <c r="E59" s="13">
        <v>1.4</v>
      </c>
      <c r="F59" s="14">
        <v>435000</v>
      </c>
      <c r="G59" s="9">
        <f t="shared" si="3"/>
        <v>609000</v>
      </c>
      <c r="H59" s="1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6.25">
      <c r="A60" s="5">
        <v>3</v>
      </c>
      <c r="B60" s="6" t="s">
        <v>29</v>
      </c>
      <c r="C60" s="16">
        <v>7802</v>
      </c>
      <c r="D60" s="6" t="s">
        <v>10</v>
      </c>
      <c r="E60" s="6">
        <v>1</v>
      </c>
      <c r="F60" s="8">
        <v>293000</v>
      </c>
      <c r="G60" s="9">
        <f t="shared" si="3"/>
        <v>293000</v>
      </c>
      <c r="H60" s="1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6.25">
      <c r="A61" s="5">
        <v>4</v>
      </c>
      <c r="B61" s="17" t="s">
        <v>14</v>
      </c>
      <c r="C61" s="10"/>
      <c r="D61" s="10"/>
      <c r="E61" s="10"/>
      <c r="F61" s="10"/>
      <c r="G61" s="18">
        <f t="shared" si="3"/>
        <v>0</v>
      </c>
      <c r="H61" s="1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6.25">
      <c r="A62" s="27" t="s">
        <v>15</v>
      </c>
      <c r="B62" s="25"/>
      <c r="C62" s="25"/>
      <c r="D62" s="25"/>
      <c r="E62" s="25"/>
      <c r="F62" s="25"/>
      <c r="G62" s="26"/>
      <c r="H62" s="19">
        <f>SUM(G58:G61)</f>
        <v>1203790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>
      <c r="A63" s="27" t="s">
        <v>16</v>
      </c>
      <c r="B63" s="25"/>
      <c r="C63" s="25"/>
      <c r="D63" s="25"/>
      <c r="E63" s="25"/>
      <c r="F63" s="25"/>
      <c r="G63" s="26"/>
      <c r="H63" s="19">
        <f>MAX(0,H62-648000)</f>
        <v>555790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>
      <c r="A64" s="28" t="s">
        <v>17</v>
      </c>
      <c r="B64" s="25"/>
      <c r="C64" s="25"/>
      <c r="D64" s="25"/>
      <c r="E64" s="25"/>
      <c r="F64" s="25"/>
      <c r="G64" s="26"/>
      <c r="H64" s="20">
        <v>649000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6.25">
      <c r="A65" s="24"/>
      <c r="B65" s="25"/>
      <c r="C65" s="25"/>
      <c r="D65" s="25"/>
      <c r="E65" s="25"/>
      <c r="F65" s="25"/>
      <c r="G65" s="25"/>
      <c r="H65" s="2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73" spans="1:26" ht="26.25">
      <c r="A73" s="24" t="s">
        <v>0</v>
      </c>
      <c r="B73" s="25"/>
      <c r="C73" s="25"/>
      <c r="D73" s="25"/>
      <c r="E73" s="25"/>
      <c r="F73" s="25"/>
      <c r="G73" s="25"/>
      <c r="H73" s="2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6.25">
      <c r="A74" s="24" t="s">
        <v>30</v>
      </c>
      <c r="B74" s="25"/>
      <c r="C74" s="25"/>
      <c r="D74" s="25"/>
      <c r="E74" s="25"/>
      <c r="F74" s="25"/>
      <c r="G74" s="25"/>
      <c r="H74" s="2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>
      <c r="A75" s="2" t="s">
        <v>2</v>
      </c>
      <c r="B75" s="2" t="s">
        <v>3</v>
      </c>
      <c r="C75" s="2" t="s">
        <v>4</v>
      </c>
      <c r="D75" s="2" t="s">
        <v>5</v>
      </c>
      <c r="E75" s="2" t="s">
        <v>6</v>
      </c>
      <c r="F75" s="3" t="s">
        <v>7</v>
      </c>
      <c r="G75" s="2" t="s">
        <v>8</v>
      </c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6.25">
      <c r="A76" s="5">
        <v>1</v>
      </c>
      <c r="B76" s="6" t="s">
        <v>31</v>
      </c>
      <c r="C76" s="7" t="s">
        <v>32</v>
      </c>
      <c r="D76" s="6" t="s">
        <v>10</v>
      </c>
      <c r="E76" s="6">
        <v>1.18</v>
      </c>
      <c r="F76" s="8">
        <v>293000</v>
      </c>
      <c r="G76" s="9">
        <f t="shared" ref="G76:G79" si="4">IFERROR(E76*F76,0)</f>
        <v>345740</v>
      </c>
      <c r="H76" s="1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6.25">
      <c r="A77" s="5">
        <v>2</v>
      </c>
      <c r="B77" s="13" t="s">
        <v>33</v>
      </c>
      <c r="C77" s="12" t="s">
        <v>34</v>
      </c>
      <c r="D77" s="13" t="s">
        <v>12</v>
      </c>
      <c r="E77" s="13">
        <v>1.38</v>
      </c>
      <c r="F77" s="14">
        <v>435000</v>
      </c>
      <c r="G77" s="9">
        <f t="shared" si="4"/>
        <v>600300</v>
      </c>
      <c r="H77" s="1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>
      <c r="A78" s="5">
        <v>3</v>
      </c>
      <c r="B78" s="6" t="s">
        <v>29</v>
      </c>
      <c r="C78" s="16" t="s">
        <v>35</v>
      </c>
      <c r="D78" s="6" t="s">
        <v>10</v>
      </c>
      <c r="E78" s="6">
        <v>1.3</v>
      </c>
      <c r="F78" s="8">
        <v>293000</v>
      </c>
      <c r="G78" s="9">
        <f t="shared" si="4"/>
        <v>380900</v>
      </c>
      <c r="H78" s="1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>
      <c r="A79" s="5">
        <v>4</v>
      </c>
      <c r="B79" s="17" t="s">
        <v>14</v>
      </c>
      <c r="C79" s="10"/>
      <c r="D79" s="10"/>
      <c r="E79" s="10"/>
      <c r="F79" s="10"/>
      <c r="G79" s="18">
        <f t="shared" si="4"/>
        <v>0</v>
      </c>
      <c r="H79" s="1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6.25">
      <c r="A80" s="27" t="s">
        <v>15</v>
      </c>
      <c r="B80" s="25"/>
      <c r="C80" s="25"/>
      <c r="D80" s="25"/>
      <c r="E80" s="25"/>
      <c r="F80" s="25"/>
      <c r="G80" s="26"/>
      <c r="H80" s="19">
        <f>SUM(G76:G79)</f>
        <v>1326940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6.25">
      <c r="A81" s="27" t="s">
        <v>16</v>
      </c>
      <c r="B81" s="25"/>
      <c r="C81" s="25"/>
      <c r="D81" s="25"/>
      <c r="E81" s="25"/>
      <c r="F81" s="25"/>
      <c r="G81" s="26"/>
      <c r="H81" s="19">
        <f>MAX(0,H80-648000)</f>
        <v>678940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6.25">
      <c r="A82" s="28" t="s">
        <v>17</v>
      </c>
      <c r="B82" s="25"/>
      <c r="C82" s="25"/>
      <c r="D82" s="25"/>
      <c r="E82" s="25"/>
      <c r="F82" s="25"/>
      <c r="G82" s="26"/>
      <c r="H82" s="20">
        <v>649000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6.25">
      <c r="A83" s="24"/>
      <c r="B83" s="25"/>
      <c r="C83" s="25"/>
      <c r="D83" s="25"/>
      <c r="E83" s="25"/>
      <c r="F83" s="25"/>
      <c r="G83" s="25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I84" s="1"/>
    </row>
    <row r="85" spans="1:26" ht="15">
      <c r="I85" s="1"/>
    </row>
    <row r="86" spans="1:26" ht="15">
      <c r="I86" s="1"/>
    </row>
    <row r="87" spans="1:26" ht="15">
      <c r="I87" s="1"/>
    </row>
    <row r="88" spans="1:26" ht="15">
      <c r="I88" s="1"/>
    </row>
    <row r="89" spans="1:26" ht="15">
      <c r="I89" s="1"/>
    </row>
    <row r="90" spans="1:26" ht="15">
      <c r="I90" s="1"/>
    </row>
    <row r="91" spans="1:26" ht="15">
      <c r="I91" s="1"/>
    </row>
    <row r="92" spans="1:26" ht="26.25">
      <c r="A92" s="24" t="s">
        <v>0</v>
      </c>
      <c r="B92" s="25"/>
      <c r="C92" s="25"/>
      <c r="D92" s="25"/>
      <c r="E92" s="25"/>
      <c r="F92" s="25"/>
      <c r="G92" s="25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>
      <c r="A93" s="24" t="s">
        <v>36</v>
      </c>
      <c r="B93" s="25"/>
      <c r="C93" s="25"/>
      <c r="D93" s="25"/>
      <c r="E93" s="25"/>
      <c r="F93" s="25"/>
      <c r="G93" s="25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>
      <c r="A94" s="2" t="s">
        <v>2</v>
      </c>
      <c r="B94" s="2" t="s">
        <v>3</v>
      </c>
      <c r="C94" s="2" t="s">
        <v>4</v>
      </c>
      <c r="D94" s="2" t="s">
        <v>5</v>
      </c>
      <c r="E94" s="2" t="s">
        <v>6</v>
      </c>
      <c r="F94" s="3" t="s">
        <v>7</v>
      </c>
      <c r="G94" s="2" t="s">
        <v>8</v>
      </c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6.25">
      <c r="A95" s="5">
        <v>1</v>
      </c>
      <c r="B95" s="6" t="s">
        <v>37</v>
      </c>
      <c r="C95" s="7" t="s">
        <v>38</v>
      </c>
      <c r="D95" s="6" t="s">
        <v>10</v>
      </c>
      <c r="E95" s="6">
        <v>1.08</v>
      </c>
      <c r="F95" s="8">
        <v>293000</v>
      </c>
      <c r="G95" s="9">
        <f t="shared" ref="G95:G98" si="5">IFERROR(E95*F95,0)</f>
        <v>316440</v>
      </c>
      <c r="H95" s="1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25">
      <c r="A96" s="5">
        <v>2</v>
      </c>
      <c r="B96" s="13" t="s">
        <v>39</v>
      </c>
      <c r="C96" s="12" t="s">
        <v>40</v>
      </c>
      <c r="D96" s="13" t="s">
        <v>12</v>
      </c>
      <c r="E96" s="13">
        <v>1.5</v>
      </c>
      <c r="F96" s="14">
        <v>435000</v>
      </c>
      <c r="G96" s="9">
        <f t="shared" si="5"/>
        <v>652500</v>
      </c>
      <c r="H96" s="1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6.25">
      <c r="A97" s="5">
        <v>3</v>
      </c>
      <c r="B97" s="6" t="s">
        <v>41</v>
      </c>
      <c r="C97" s="16" t="s">
        <v>42</v>
      </c>
      <c r="D97" s="6" t="s">
        <v>10</v>
      </c>
      <c r="E97" s="6">
        <v>1.1599999999999999</v>
      </c>
      <c r="F97" s="8">
        <v>293000</v>
      </c>
      <c r="G97" s="9">
        <f t="shared" si="5"/>
        <v>339880</v>
      </c>
      <c r="H97" s="1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6.25">
      <c r="A98" s="5">
        <v>4</v>
      </c>
      <c r="B98" s="17" t="s">
        <v>14</v>
      </c>
      <c r="C98" s="10"/>
      <c r="D98" s="10"/>
      <c r="E98" s="10"/>
      <c r="F98" s="10"/>
      <c r="G98" s="18">
        <f t="shared" si="5"/>
        <v>0</v>
      </c>
      <c r="H98" s="1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6.25">
      <c r="A99" s="27" t="s">
        <v>15</v>
      </c>
      <c r="B99" s="25"/>
      <c r="C99" s="25"/>
      <c r="D99" s="25"/>
      <c r="E99" s="25"/>
      <c r="F99" s="25"/>
      <c r="G99" s="26"/>
      <c r="H99" s="19">
        <f>SUM(G95:G98)</f>
        <v>1308820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25">
      <c r="A100" s="27" t="s">
        <v>16</v>
      </c>
      <c r="B100" s="25"/>
      <c r="C100" s="25"/>
      <c r="D100" s="25"/>
      <c r="E100" s="25"/>
      <c r="F100" s="25"/>
      <c r="G100" s="26"/>
      <c r="H100" s="19">
        <f>MAX(0,H99-648000)</f>
        <v>660820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6.25">
      <c r="A101" s="28" t="s">
        <v>17</v>
      </c>
      <c r="B101" s="25"/>
      <c r="C101" s="25"/>
      <c r="D101" s="25"/>
      <c r="E101" s="25"/>
      <c r="F101" s="25"/>
      <c r="G101" s="26"/>
      <c r="H101" s="20">
        <v>649000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6.25">
      <c r="A102" s="24"/>
      <c r="B102" s="25"/>
      <c r="C102" s="25"/>
      <c r="D102" s="25"/>
      <c r="E102" s="25"/>
      <c r="F102" s="25"/>
      <c r="G102" s="25"/>
      <c r="H102" s="2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I103" s="1"/>
    </row>
    <row r="104" spans="1:26" ht="15">
      <c r="I104" s="1"/>
    </row>
    <row r="105" spans="1:26" ht="15">
      <c r="I105" s="1"/>
    </row>
    <row r="106" spans="1:26" ht="15">
      <c r="I106" s="1"/>
    </row>
    <row r="107" spans="1:26" ht="15">
      <c r="I107" s="1"/>
    </row>
    <row r="108" spans="1:26" ht="15">
      <c r="I108" s="1"/>
    </row>
    <row r="109" spans="1:26" ht="15">
      <c r="I109" s="1"/>
    </row>
    <row r="110" spans="1:26" ht="15">
      <c r="I110" s="1"/>
    </row>
    <row r="111" spans="1:26" ht="26.25">
      <c r="A111" s="24" t="s">
        <v>0</v>
      </c>
      <c r="B111" s="25"/>
      <c r="C111" s="25"/>
      <c r="D111" s="25"/>
      <c r="E111" s="25"/>
      <c r="F111" s="25"/>
      <c r="G111" s="25"/>
      <c r="H111" s="2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6.25">
      <c r="A112" s="24" t="s">
        <v>43</v>
      </c>
      <c r="B112" s="25"/>
      <c r="C112" s="25"/>
      <c r="D112" s="25"/>
      <c r="E112" s="25"/>
      <c r="F112" s="25"/>
      <c r="G112" s="25"/>
      <c r="H112" s="2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>
      <c r="A113" s="2" t="s">
        <v>2</v>
      </c>
      <c r="B113" s="2" t="s">
        <v>3</v>
      </c>
      <c r="C113" s="2" t="s">
        <v>4</v>
      </c>
      <c r="D113" s="2" t="s">
        <v>5</v>
      </c>
      <c r="E113" s="2" t="s">
        <v>6</v>
      </c>
      <c r="F113" s="3" t="s">
        <v>7</v>
      </c>
      <c r="G113" s="2" t="s">
        <v>8</v>
      </c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>
      <c r="A114" s="5">
        <v>1</v>
      </c>
      <c r="B114" s="6" t="s">
        <v>44</v>
      </c>
      <c r="C114" s="7" t="s">
        <v>45</v>
      </c>
      <c r="D114" s="6" t="s">
        <v>10</v>
      </c>
      <c r="E114" s="6">
        <v>0.72</v>
      </c>
      <c r="F114" s="8">
        <v>293000</v>
      </c>
      <c r="G114" s="9">
        <f t="shared" ref="G114:G117" si="6">IFERROR(E114*F114,0)</f>
        <v>210960</v>
      </c>
      <c r="H114" s="1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>
      <c r="A115" s="5">
        <v>2</v>
      </c>
      <c r="B115" s="13" t="s">
        <v>46</v>
      </c>
      <c r="C115" s="12" t="s">
        <v>47</v>
      </c>
      <c r="D115" s="13" t="s">
        <v>12</v>
      </c>
      <c r="E115" s="13">
        <v>1.2</v>
      </c>
      <c r="F115" s="14">
        <v>435000</v>
      </c>
      <c r="G115" s="9">
        <f t="shared" si="6"/>
        <v>522000</v>
      </c>
      <c r="H115" s="1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>
      <c r="A116" s="5">
        <v>3</v>
      </c>
      <c r="B116" s="6" t="s">
        <v>48</v>
      </c>
      <c r="C116" s="16" t="s">
        <v>49</v>
      </c>
      <c r="D116" s="6" t="s">
        <v>10</v>
      </c>
      <c r="E116" s="6">
        <v>1.46</v>
      </c>
      <c r="F116" s="8">
        <v>293000</v>
      </c>
      <c r="G116" s="9">
        <f t="shared" si="6"/>
        <v>427780</v>
      </c>
      <c r="H116" s="1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6.25">
      <c r="A117" s="5">
        <v>4</v>
      </c>
      <c r="B117" s="17" t="s">
        <v>14</v>
      </c>
      <c r="C117" s="10"/>
      <c r="D117" s="10"/>
      <c r="E117" s="10"/>
      <c r="F117" s="10"/>
      <c r="G117" s="18">
        <f t="shared" si="6"/>
        <v>0</v>
      </c>
      <c r="H117" s="1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6.25">
      <c r="A118" s="27" t="s">
        <v>15</v>
      </c>
      <c r="B118" s="25"/>
      <c r="C118" s="25"/>
      <c r="D118" s="25"/>
      <c r="E118" s="25"/>
      <c r="F118" s="25"/>
      <c r="G118" s="26"/>
      <c r="H118" s="19">
        <f>SUM(G114:G117)</f>
        <v>1160740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6.25">
      <c r="A119" s="27" t="s">
        <v>16</v>
      </c>
      <c r="B119" s="25"/>
      <c r="C119" s="25"/>
      <c r="D119" s="25"/>
      <c r="E119" s="25"/>
      <c r="F119" s="25"/>
      <c r="G119" s="26"/>
      <c r="H119" s="19">
        <f>MAX(0,H118-648000)</f>
        <v>512740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6.25">
      <c r="A120" s="28" t="s">
        <v>17</v>
      </c>
      <c r="B120" s="25"/>
      <c r="C120" s="25"/>
      <c r="D120" s="25"/>
      <c r="E120" s="25"/>
      <c r="F120" s="25"/>
      <c r="G120" s="26"/>
      <c r="H120" s="20">
        <v>649000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6.25">
      <c r="A121" s="24"/>
      <c r="B121" s="25"/>
      <c r="C121" s="25"/>
      <c r="D121" s="25"/>
      <c r="E121" s="25"/>
      <c r="F121" s="25"/>
      <c r="G121" s="25"/>
      <c r="H121" s="2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I122" s="1"/>
    </row>
    <row r="123" spans="1:26" ht="15">
      <c r="I123" s="1"/>
    </row>
    <row r="124" spans="1:26" ht="15">
      <c r="I124" s="1"/>
    </row>
    <row r="125" spans="1:26" ht="15">
      <c r="I125" s="1"/>
    </row>
    <row r="126" spans="1:26" ht="15">
      <c r="I126" s="1"/>
    </row>
    <row r="127" spans="1:26" ht="15">
      <c r="I127" s="1"/>
    </row>
    <row r="128" spans="1:26" ht="15">
      <c r="I128" s="1"/>
    </row>
    <row r="129" spans="1:26" ht="15">
      <c r="I129" s="1"/>
    </row>
    <row r="130" spans="1:26" ht="15">
      <c r="I130" s="1"/>
    </row>
    <row r="131" spans="1:26" ht="15">
      <c r="I131" s="1"/>
    </row>
    <row r="132" spans="1:26" ht="26.25">
      <c r="A132" s="24" t="s">
        <v>0</v>
      </c>
      <c r="B132" s="25"/>
      <c r="C132" s="25"/>
      <c r="D132" s="25"/>
      <c r="E132" s="25"/>
      <c r="F132" s="25"/>
      <c r="G132" s="25"/>
      <c r="H132" s="2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6.25">
      <c r="A133" s="24" t="s">
        <v>50</v>
      </c>
      <c r="B133" s="25"/>
      <c r="C133" s="25"/>
      <c r="D133" s="25"/>
      <c r="E133" s="25"/>
      <c r="F133" s="25"/>
      <c r="G133" s="25"/>
      <c r="H133" s="2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>
      <c r="A134" s="2" t="s">
        <v>2</v>
      </c>
      <c r="B134" s="2" t="s">
        <v>3</v>
      </c>
      <c r="C134" s="2" t="s">
        <v>4</v>
      </c>
      <c r="D134" s="2" t="s">
        <v>5</v>
      </c>
      <c r="E134" s="2" t="s">
        <v>6</v>
      </c>
      <c r="F134" s="3" t="s">
        <v>7</v>
      </c>
      <c r="G134" s="2" t="s">
        <v>8</v>
      </c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6.25">
      <c r="A135" s="5">
        <v>1</v>
      </c>
      <c r="B135" s="6" t="s">
        <v>51</v>
      </c>
      <c r="C135" s="7" t="s">
        <v>52</v>
      </c>
      <c r="D135" s="6" t="s">
        <v>10</v>
      </c>
      <c r="E135" s="6">
        <v>1.1000000000000001</v>
      </c>
      <c r="F135" s="8">
        <v>293000</v>
      </c>
      <c r="G135" s="9">
        <f t="shared" ref="G135:G138" si="7">IFERROR(E135*F135,0)</f>
        <v>322300</v>
      </c>
      <c r="H135" s="1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6.25">
      <c r="A136" s="5">
        <v>2</v>
      </c>
      <c r="B136" s="13" t="s">
        <v>53</v>
      </c>
      <c r="C136" s="12" t="s">
        <v>54</v>
      </c>
      <c r="D136" s="13" t="s">
        <v>12</v>
      </c>
      <c r="E136" s="13">
        <v>0.96</v>
      </c>
      <c r="F136" s="14">
        <v>435000</v>
      </c>
      <c r="G136" s="9">
        <f t="shared" si="7"/>
        <v>417600</v>
      </c>
      <c r="H136" s="1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6.25">
      <c r="A137" s="5">
        <v>3</v>
      </c>
      <c r="B137" s="6" t="s">
        <v>55</v>
      </c>
      <c r="C137" s="16" t="s">
        <v>56</v>
      </c>
      <c r="D137" s="6" t="s">
        <v>10</v>
      </c>
      <c r="E137" s="6">
        <v>1.34</v>
      </c>
      <c r="F137" s="8">
        <v>293000</v>
      </c>
      <c r="G137" s="9">
        <f t="shared" si="7"/>
        <v>392620</v>
      </c>
      <c r="H137" s="1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6.25">
      <c r="A138" s="5">
        <v>4</v>
      </c>
      <c r="B138" s="17" t="s">
        <v>14</v>
      </c>
      <c r="C138" s="10"/>
      <c r="D138" s="10"/>
      <c r="E138" s="10"/>
      <c r="F138" s="10"/>
      <c r="G138" s="18">
        <f t="shared" si="7"/>
        <v>0</v>
      </c>
      <c r="H138" s="1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6.25">
      <c r="A139" s="27" t="s">
        <v>15</v>
      </c>
      <c r="B139" s="25"/>
      <c r="C139" s="25"/>
      <c r="D139" s="25"/>
      <c r="E139" s="25"/>
      <c r="F139" s="25"/>
      <c r="G139" s="26"/>
      <c r="H139" s="19">
        <f>SUM(G135:G138)</f>
        <v>1132520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6.25">
      <c r="A140" s="27" t="s">
        <v>16</v>
      </c>
      <c r="B140" s="25"/>
      <c r="C140" s="25"/>
      <c r="D140" s="25"/>
      <c r="E140" s="25"/>
      <c r="F140" s="25"/>
      <c r="G140" s="26"/>
      <c r="H140" s="19">
        <f>MAX(0,H139-648000)</f>
        <v>484520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6.25">
      <c r="A141" s="28" t="s">
        <v>17</v>
      </c>
      <c r="B141" s="25"/>
      <c r="C141" s="25"/>
      <c r="D141" s="25"/>
      <c r="E141" s="25"/>
      <c r="F141" s="25"/>
      <c r="G141" s="26"/>
      <c r="H141" s="20">
        <v>649000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6.25">
      <c r="A142" s="24"/>
      <c r="B142" s="25"/>
      <c r="C142" s="25"/>
      <c r="D142" s="25"/>
      <c r="E142" s="25"/>
      <c r="F142" s="25"/>
      <c r="G142" s="25"/>
      <c r="H142" s="2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I143" s="1"/>
    </row>
    <row r="144" spans="1:26" ht="15">
      <c r="I144" s="1"/>
    </row>
    <row r="145" spans="1:26" ht="15">
      <c r="I145" s="1"/>
    </row>
    <row r="146" spans="1:26" ht="15">
      <c r="I146" s="1"/>
    </row>
    <row r="147" spans="1:26" ht="15">
      <c r="I147" s="1"/>
    </row>
    <row r="148" spans="1:26" ht="15">
      <c r="I148" s="1"/>
    </row>
    <row r="149" spans="1:26" ht="15">
      <c r="I149" s="1"/>
    </row>
    <row r="150" spans="1:26" ht="15">
      <c r="I150" s="1"/>
    </row>
    <row r="151" spans="1:26" ht="15">
      <c r="I151" s="1"/>
    </row>
    <row r="152" spans="1:26" ht="15">
      <c r="I152" s="1"/>
    </row>
    <row r="153" spans="1:26" ht="15">
      <c r="I153" s="1"/>
    </row>
    <row r="154" spans="1:26" ht="15">
      <c r="I154" s="1"/>
    </row>
    <row r="155" spans="1:26" ht="15">
      <c r="I155" s="1"/>
    </row>
    <row r="156" spans="1:26" ht="15">
      <c r="I156" s="1"/>
    </row>
    <row r="157" spans="1:26" ht="26.25">
      <c r="A157" s="24" t="s">
        <v>0</v>
      </c>
      <c r="B157" s="25"/>
      <c r="C157" s="25"/>
      <c r="D157" s="25"/>
      <c r="E157" s="25"/>
      <c r="F157" s="25"/>
      <c r="G157" s="25"/>
      <c r="H157" s="2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6.25">
      <c r="A158" s="24" t="s">
        <v>57</v>
      </c>
      <c r="B158" s="25"/>
      <c r="C158" s="25"/>
      <c r="D158" s="25"/>
      <c r="E158" s="25"/>
      <c r="F158" s="25"/>
      <c r="G158" s="25"/>
      <c r="H158" s="2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>
      <c r="A159" s="2" t="s">
        <v>2</v>
      </c>
      <c r="B159" s="2" t="s">
        <v>3</v>
      </c>
      <c r="C159" s="2" t="s">
        <v>4</v>
      </c>
      <c r="D159" s="2" t="s">
        <v>5</v>
      </c>
      <c r="E159" s="2" t="s">
        <v>6</v>
      </c>
      <c r="F159" s="3" t="s">
        <v>7</v>
      </c>
      <c r="G159" s="2" t="s">
        <v>8</v>
      </c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6.25">
      <c r="A160" s="5">
        <v>1</v>
      </c>
      <c r="B160" s="6" t="s">
        <v>58</v>
      </c>
      <c r="C160" s="7" t="s">
        <v>59</v>
      </c>
      <c r="D160" s="6" t="s">
        <v>10</v>
      </c>
      <c r="E160" s="6">
        <v>0.77</v>
      </c>
      <c r="F160" s="8">
        <v>293000</v>
      </c>
      <c r="G160" s="9">
        <f t="shared" ref="G160:G163" si="8">IFERROR(E160*F160,0)</f>
        <v>225610</v>
      </c>
      <c r="H160" s="1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6.25">
      <c r="A161" s="5">
        <v>2</v>
      </c>
      <c r="B161" s="13" t="s">
        <v>60</v>
      </c>
      <c r="C161" s="12" t="s">
        <v>61</v>
      </c>
      <c r="D161" s="13" t="s">
        <v>62</v>
      </c>
      <c r="E161" s="13">
        <v>1.47</v>
      </c>
      <c r="F161" s="14">
        <v>435000</v>
      </c>
      <c r="G161" s="9">
        <f t="shared" si="8"/>
        <v>639450</v>
      </c>
      <c r="H161" s="1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6.25">
      <c r="A162" s="5">
        <v>3</v>
      </c>
      <c r="B162" s="6" t="s">
        <v>63</v>
      </c>
      <c r="C162" s="16" t="s">
        <v>64</v>
      </c>
      <c r="D162" s="6" t="s">
        <v>10</v>
      </c>
      <c r="E162" s="6">
        <v>1.45</v>
      </c>
      <c r="F162" s="8">
        <v>293000</v>
      </c>
      <c r="G162" s="9">
        <f t="shared" si="8"/>
        <v>424850</v>
      </c>
      <c r="H162" s="1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6.25">
      <c r="A163" s="5">
        <v>4</v>
      </c>
      <c r="B163" s="17" t="s">
        <v>14</v>
      </c>
      <c r="C163" s="10"/>
      <c r="D163" s="10"/>
      <c r="E163" s="10"/>
      <c r="F163" s="10"/>
      <c r="G163" s="18">
        <f t="shared" si="8"/>
        <v>0</v>
      </c>
      <c r="H163" s="1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6.25">
      <c r="A164" s="27" t="s">
        <v>15</v>
      </c>
      <c r="B164" s="25"/>
      <c r="C164" s="25"/>
      <c r="D164" s="25"/>
      <c r="E164" s="25"/>
      <c r="F164" s="25"/>
      <c r="G164" s="26"/>
      <c r="H164" s="19">
        <f>SUM(G160:G163)</f>
        <v>1289910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6.25">
      <c r="A165" s="27" t="s">
        <v>16</v>
      </c>
      <c r="B165" s="25"/>
      <c r="C165" s="25"/>
      <c r="D165" s="25"/>
      <c r="E165" s="25"/>
      <c r="F165" s="25"/>
      <c r="G165" s="26"/>
      <c r="H165" s="19">
        <f>MAX(0,H164-648000)</f>
        <v>641910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6.25">
      <c r="A166" s="28" t="s">
        <v>17</v>
      </c>
      <c r="B166" s="25"/>
      <c r="C166" s="25"/>
      <c r="D166" s="25"/>
      <c r="E166" s="25"/>
      <c r="F166" s="25"/>
      <c r="G166" s="26"/>
      <c r="H166" s="20">
        <v>649000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6.25">
      <c r="A167" s="24"/>
      <c r="B167" s="25"/>
      <c r="C167" s="25"/>
      <c r="D167" s="25"/>
      <c r="E167" s="25"/>
      <c r="F167" s="25"/>
      <c r="G167" s="25"/>
      <c r="H167" s="2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I168" s="1"/>
    </row>
    <row r="169" spans="1:26" ht="15">
      <c r="I169" s="1"/>
    </row>
    <row r="170" spans="1:26" ht="15">
      <c r="I170" s="1"/>
    </row>
    <row r="171" spans="1:26" ht="15">
      <c r="I171" s="1"/>
    </row>
    <row r="172" spans="1:26" ht="15">
      <c r="I172" s="1"/>
    </row>
    <row r="173" spans="1:26" ht="15">
      <c r="I173" s="1"/>
    </row>
    <row r="174" spans="1:26" ht="15">
      <c r="I174" s="1"/>
    </row>
    <row r="175" spans="1:26" ht="15">
      <c r="I175" s="1"/>
    </row>
    <row r="176" spans="1:26" ht="15">
      <c r="I176" s="1"/>
    </row>
    <row r="177" spans="1:26" ht="15">
      <c r="I177" s="1"/>
    </row>
    <row r="178" spans="1:26" ht="26.25">
      <c r="A178" s="24" t="s">
        <v>0</v>
      </c>
      <c r="B178" s="25"/>
      <c r="C178" s="25"/>
      <c r="D178" s="25"/>
      <c r="E178" s="25"/>
      <c r="F178" s="25"/>
      <c r="G178" s="25"/>
      <c r="H178" s="2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6.25">
      <c r="A179" s="24" t="s">
        <v>65</v>
      </c>
      <c r="B179" s="25"/>
      <c r="C179" s="25"/>
      <c r="D179" s="25"/>
      <c r="E179" s="25"/>
      <c r="F179" s="25"/>
      <c r="G179" s="25"/>
      <c r="H179" s="2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>
      <c r="A180" s="2" t="s">
        <v>2</v>
      </c>
      <c r="B180" s="2" t="s">
        <v>3</v>
      </c>
      <c r="C180" s="2" t="s">
        <v>4</v>
      </c>
      <c r="D180" s="2" t="s">
        <v>5</v>
      </c>
      <c r="E180" s="2" t="s">
        <v>6</v>
      </c>
      <c r="F180" s="3" t="s">
        <v>7</v>
      </c>
      <c r="G180" s="2" t="s">
        <v>8</v>
      </c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6.25">
      <c r="A181" s="5">
        <v>1</v>
      </c>
      <c r="B181" s="6" t="s">
        <v>66</v>
      </c>
      <c r="C181" s="7" t="s">
        <v>67</v>
      </c>
      <c r="D181" s="6" t="s">
        <v>10</v>
      </c>
      <c r="E181" s="6">
        <v>1.2</v>
      </c>
      <c r="F181" s="8">
        <v>293000</v>
      </c>
      <c r="G181" s="9">
        <f t="shared" ref="G181:G184" si="9">IFERROR(E181*F181,0)</f>
        <v>351600</v>
      </c>
      <c r="H181" s="1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6.25">
      <c r="A182" s="5">
        <v>2</v>
      </c>
      <c r="B182" s="13" t="s">
        <v>41</v>
      </c>
      <c r="C182" s="12" t="s">
        <v>61</v>
      </c>
      <c r="D182" s="13" t="s">
        <v>12</v>
      </c>
      <c r="E182" s="13">
        <v>1.48</v>
      </c>
      <c r="F182" s="14">
        <v>435000</v>
      </c>
      <c r="G182" s="9">
        <f t="shared" si="9"/>
        <v>643800</v>
      </c>
      <c r="H182" s="1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6.25">
      <c r="A183" s="5">
        <v>3</v>
      </c>
      <c r="B183" s="6" t="s">
        <v>68</v>
      </c>
      <c r="C183" s="16" t="s">
        <v>69</v>
      </c>
      <c r="D183" s="6" t="s">
        <v>10</v>
      </c>
      <c r="E183" s="6">
        <v>1</v>
      </c>
      <c r="F183" s="8">
        <v>293000</v>
      </c>
      <c r="G183" s="9">
        <f t="shared" si="9"/>
        <v>293000</v>
      </c>
      <c r="H183" s="1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6.25">
      <c r="A184" s="5">
        <v>4</v>
      </c>
      <c r="B184" s="17" t="s">
        <v>14</v>
      </c>
      <c r="C184" s="10"/>
      <c r="D184" s="10"/>
      <c r="E184" s="10"/>
      <c r="F184" s="10"/>
      <c r="G184" s="18">
        <f t="shared" si="9"/>
        <v>0</v>
      </c>
      <c r="H184" s="1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6.25">
      <c r="A185" s="27" t="s">
        <v>15</v>
      </c>
      <c r="B185" s="25"/>
      <c r="C185" s="25"/>
      <c r="D185" s="25"/>
      <c r="E185" s="25"/>
      <c r="F185" s="25"/>
      <c r="G185" s="26"/>
      <c r="H185" s="19">
        <f>SUM(G181:G184)</f>
        <v>1288400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6.25">
      <c r="A186" s="27" t="s">
        <v>16</v>
      </c>
      <c r="B186" s="25"/>
      <c r="C186" s="25"/>
      <c r="D186" s="25"/>
      <c r="E186" s="25"/>
      <c r="F186" s="25"/>
      <c r="G186" s="26"/>
      <c r="H186" s="19">
        <f>MAX(0,H185-648000)</f>
        <v>640400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6.25">
      <c r="A187" s="28" t="s">
        <v>17</v>
      </c>
      <c r="B187" s="25"/>
      <c r="C187" s="25"/>
      <c r="D187" s="25"/>
      <c r="E187" s="25"/>
      <c r="F187" s="25"/>
      <c r="G187" s="26"/>
      <c r="H187" s="20">
        <v>649000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6.25">
      <c r="A188" s="24"/>
      <c r="B188" s="25"/>
      <c r="C188" s="25"/>
      <c r="D188" s="25"/>
      <c r="E188" s="25"/>
      <c r="F188" s="25"/>
      <c r="G188" s="25"/>
      <c r="H188" s="2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I189" s="1"/>
    </row>
    <row r="190" spans="1:26" ht="15">
      <c r="I190" s="1"/>
    </row>
    <row r="191" spans="1:26" ht="15">
      <c r="I191" s="1"/>
    </row>
    <row r="192" spans="1:26" ht="15">
      <c r="I192" s="1"/>
    </row>
    <row r="193" spans="1:26" ht="15">
      <c r="I193" s="1"/>
    </row>
    <row r="194" spans="1:26" ht="15">
      <c r="I194" s="1"/>
    </row>
    <row r="195" spans="1:26" ht="15">
      <c r="I195" s="1"/>
    </row>
    <row r="196" spans="1:26" ht="15">
      <c r="I196" s="1"/>
    </row>
    <row r="197" spans="1:26" ht="15">
      <c r="I197" s="1"/>
    </row>
    <row r="198" spans="1:26" ht="15">
      <c r="I198" s="1"/>
    </row>
    <row r="199" spans="1:26" ht="26.25">
      <c r="A199" s="24" t="s">
        <v>0</v>
      </c>
      <c r="B199" s="25"/>
      <c r="C199" s="25"/>
      <c r="D199" s="25"/>
      <c r="E199" s="25"/>
      <c r="F199" s="25"/>
      <c r="G199" s="25"/>
      <c r="H199" s="2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6.25">
      <c r="A200" s="24" t="s">
        <v>70</v>
      </c>
      <c r="B200" s="25"/>
      <c r="C200" s="25"/>
      <c r="D200" s="25"/>
      <c r="E200" s="25"/>
      <c r="F200" s="25"/>
      <c r="G200" s="25"/>
      <c r="H200" s="2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>
      <c r="A201" s="2" t="s">
        <v>2</v>
      </c>
      <c r="B201" s="2" t="s">
        <v>3</v>
      </c>
      <c r="C201" s="2" t="s">
        <v>4</v>
      </c>
      <c r="D201" s="2" t="s">
        <v>5</v>
      </c>
      <c r="E201" s="2" t="s">
        <v>6</v>
      </c>
      <c r="F201" s="3" t="s">
        <v>7</v>
      </c>
      <c r="G201" s="2" t="s">
        <v>8</v>
      </c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6.25">
      <c r="A202" s="5">
        <v>1</v>
      </c>
      <c r="B202" s="6" t="s">
        <v>71</v>
      </c>
      <c r="C202" s="7" t="s">
        <v>72</v>
      </c>
      <c r="D202" s="6" t="s">
        <v>10</v>
      </c>
      <c r="E202" s="6">
        <v>1</v>
      </c>
      <c r="F202" s="8">
        <v>293000</v>
      </c>
      <c r="G202" s="9">
        <f t="shared" ref="G202:G205" si="10">IFERROR(E202*F202,0)</f>
        <v>293000</v>
      </c>
      <c r="H202" s="1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6.25">
      <c r="A203" s="5">
        <v>2</v>
      </c>
      <c r="B203" s="13" t="s">
        <v>73</v>
      </c>
      <c r="C203" s="12" t="s">
        <v>74</v>
      </c>
      <c r="D203" s="13" t="s">
        <v>12</v>
      </c>
      <c r="E203" s="13">
        <v>1.1599999999999999</v>
      </c>
      <c r="F203" s="14">
        <v>435000</v>
      </c>
      <c r="G203" s="9">
        <f t="shared" si="10"/>
        <v>504599.99999999994</v>
      </c>
      <c r="H203" s="1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6.25">
      <c r="A204" s="5">
        <v>3</v>
      </c>
      <c r="B204" s="6" t="s">
        <v>75</v>
      </c>
      <c r="C204" s="16" t="s">
        <v>76</v>
      </c>
      <c r="D204" s="6" t="s">
        <v>10</v>
      </c>
      <c r="E204" s="6">
        <v>1.5</v>
      </c>
      <c r="F204" s="8">
        <v>293000</v>
      </c>
      <c r="G204" s="9">
        <f t="shared" si="10"/>
        <v>439500</v>
      </c>
      <c r="H204" s="1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6.25">
      <c r="A205" s="5">
        <v>4</v>
      </c>
      <c r="B205" s="17" t="s">
        <v>14</v>
      </c>
      <c r="C205" s="10"/>
      <c r="D205" s="10"/>
      <c r="E205" s="10"/>
      <c r="F205" s="10"/>
      <c r="G205" s="18">
        <f t="shared" si="10"/>
        <v>0</v>
      </c>
      <c r="H205" s="1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6.25">
      <c r="A206" s="27" t="s">
        <v>15</v>
      </c>
      <c r="B206" s="25"/>
      <c r="C206" s="25"/>
      <c r="D206" s="25"/>
      <c r="E206" s="25"/>
      <c r="F206" s="25"/>
      <c r="G206" s="26"/>
      <c r="H206" s="19">
        <f>SUM(G202:G205)</f>
        <v>1237100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6.25">
      <c r="A207" s="27" t="s">
        <v>16</v>
      </c>
      <c r="B207" s="25"/>
      <c r="C207" s="25"/>
      <c r="D207" s="25"/>
      <c r="E207" s="25"/>
      <c r="F207" s="25"/>
      <c r="G207" s="26"/>
      <c r="H207" s="19">
        <f>MAX(0,H206-648000)</f>
        <v>589100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6.25">
      <c r="A208" s="28" t="s">
        <v>17</v>
      </c>
      <c r="B208" s="25"/>
      <c r="C208" s="25"/>
      <c r="D208" s="25"/>
      <c r="E208" s="25"/>
      <c r="F208" s="25"/>
      <c r="G208" s="26"/>
      <c r="H208" s="20">
        <v>649000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6.25">
      <c r="A209" s="24"/>
      <c r="B209" s="25"/>
      <c r="C209" s="25"/>
      <c r="D209" s="25"/>
      <c r="E209" s="25"/>
      <c r="F209" s="25"/>
      <c r="G209" s="25"/>
      <c r="H209" s="2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>
      <c r="I210" s="1"/>
    </row>
    <row r="211" spans="1:26" ht="15">
      <c r="I211" s="1"/>
    </row>
    <row r="212" spans="1:26" ht="15">
      <c r="I212" s="1"/>
    </row>
    <row r="213" spans="1:26" ht="15">
      <c r="I213" s="1"/>
    </row>
    <row r="214" spans="1:26" ht="15">
      <c r="I214" s="1"/>
    </row>
    <row r="215" spans="1:26" ht="15">
      <c r="I215" s="1"/>
    </row>
    <row r="216" spans="1:26" ht="15">
      <c r="I216" s="1"/>
    </row>
    <row r="217" spans="1:26" ht="15">
      <c r="I217" s="1"/>
    </row>
    <row r="218" spans="1:26" ht="15">
      <c r="I218" s="1"/>
    </row>
    <row r="219" spans="1:26" ht="15">
      <c r="I219" s="1"/>
    </row>
    <row r="220" spans="1:26" ht="26.25">
      <c r="A220" s="24" t="s">
        <v>0</v>
      </c>
      <c r="B220" s="25"/>
      <c r="C220" s="25"/>
      <c r="D220" s="25"/>
      <c r="E220" s="25"/>
      <c r="F220" s="25"/>
      <c r="G220" s="25"/>
      <c r="H220" s="2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6.25">
      <c r="A221" s="24" t="s">
        <v>77</v>
      </c>
      <c r="B221" s="25"/>
      <c r="C221" s="25"/>
      <c r="D221" s="25"/>
      <c r="E221" s="25"/>
      <c r="F221" s="25"/>
      <c r="G221" s="25"/>
      <c r="H221" s="2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>
      <c r="A222" s="2" t="s">
        <v>2</v>
      </c>
      <c r="B222" s="2" t="s">
        <v>3</v>
      </c>
      <c r="C222" s="2" t="s">
        <v>4</v>
      </c>
      <c r="D222" s="2" t="s">
        <v>5</v>
      </c>
      <c r="E222" s="2" t="s">
        <v>6</v>
      </c>
      <c r="F222" s="3" t="s">
        <v>7</v>
      </c>
      <c r="G222" s="2" t="s">
        <v>8</v>
      </c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6.25">
      <c r="A223" s="5">
        <v>1</v>
      </c>
      <c r="B223" s="6" t="s">
        <v>78</v>
      </c>
      <c r="C223" s="7" t="s">
        <v>79</v>
      </c>
      <c r="D223" s="6" t="s">
        <v>10</v>
      </c>
      <c r="E223" s="6">
        <v>1.5</v>
      </c>
      <c r="F223" s="8">
        <v>293000</v>
      </c>
      <c r="G223" s="9">
        <f t="shared" ref="G223:G226" si="11">IFERROR(E223*F223,0)</f>
        <v>439500</v>
      </c>
      <c r="H223" s="1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6.25">
      <c r="A224" s="5">
        <v>2</v>
      </c>
      <c r="B224" s="13" t="s">
        <v>80</v>
      </c>
      <c r="C224" s="12" t="s">
        <v>81</v>
      </c>
      <c r="D224" s="13" t="s">
        <v>12</v>
      </c>
      <c r="E224" s="13">
        <v>1.05</v>
      </c>
      <c r="F224" s="14">
        <v>435000</v>
      </c>
      <c r="G224" s="9">
        <f t="shared" si="11"/>
        <v>456750</v>
      </c>
      <c r="H224" s="1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6.25">
      <c r="A225" s="5">
        <v>3</v>
      </c>
      <c r="B225" s="6" t="s">
        <v>82</v>
      </c>
      <c r="C225" s="16" t="s">
        <v>83</v>
      </c>
      <c r="D225" s="6" t="s">
        <v>10</v>
      </c>
      <c r="E225" s="6">
        <v>0.96</v>
      </c>
      <c r="F225" s="8">
        <v>293000</v>
      </c>
      <c r="G225" s="9">
        <f t="shared" si="11"/>
        <v>281280</v>
      </c>
      <c r="H225" s="1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6.25">
      <c r="A226" s="5">
        <v>4</v>
      </c>
      <c r="B226" s="17" t="s">
        <v>14</v>
      </c>
      <c r="C226" s="10"/>
      <c r="D226" s="10"/>
      <c r="E226" s="10"/>
      <c r="F226" s="10"/>
      <c r="G226" s="18">
        <f t="shared" si="11"/>
        <v>0</v>
      </c>
      <c r="H226" s="1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6.25">
      <c r="A227" s="27" t="s">
        <v>15</v>
      </c>
      <c r="B227" s="25"/>
      <c r="C227" s="25"/>
      <c r="D227" s="25"/>
      <c r="E227" s="25"/>
      <c r="F227" s="25"/>
      <c r="G227" s="26"/>
      <c r="H227" s="19">
        <f>SUM(G223:G226)</f>
        <v>1177530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6.25">
      <c r="A228" s="27" t="s">
        <v>16</v>
      </c>
      <c r="B228" s="25"/>
      <c r="C228" s="25"/>
      <c r="D228" s="25"/>
      <c r="E228" s="25"/>
      <c r="F228" s="25"/>
      <c r="G228" s="26"/>
      <c r="H228" s="19">
        <f>MAX(0,H227-648000)</f>
        <v>529530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6.25">
      <c r="A229" s="28" t="s">
        <v>17</v>
      </c>
      <c r="B229" s="25"/>
      <c r="C229" s="25"/>
      <c r="D229" s="25"/>
      <c r="E229" s="25"/>
      <c r="F229" s="25"/>
      <c r="G229" s="26"/>
      <c r="H229" s="20">
        <v>649000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6.25">
      <c r="A230" s="24"/>
      <c r="B230" s="25"/>
      <c r="C230" s="25"/>
      <c r="D230" s="25"/>
      <c r="E230" s="25"/>
      <c r="F230" s="25"/>
      <c r="G230" s="25"/>
      <c r="H230" s="2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>
      <c r="I231" s="1"/>
    </row>
    <row r="232" spans="1:26" ht="15">
      <c r="I232" s="1"/>
    </row>
    <row r="233" spans="1:26" ht="15">
      <c r="I233" s="1"/>
    </row>
    <row r="234" spans="1:26" ht="15">
      <c r="I234" s="1"/>
    </row>
    <row r="235" spans="1:26" ht="15">
      <c r="I235" s="1"/>
    </row>
    <row r="236" spans="1:26" ht="15">
      <c r="I236" s="1"/>
    </row>
    <row r="237" spans="1:26" ht="15">
      <c r="I237" s="1"/>
    </row>
    <row r="238" spans="1:26" ht="15">
      <c r="I238" s="1"/>
    </row>
    <row r="239" spans="1:26" ht="15">
      <c r="I239" s="1"/>
    </row>
    <row r="240" spans="1:26" ht="26.25">
      <c r="A240" s="24" t="s">
        <v>0</v>
      </c>
      <c r="B240" s="25"/>
      <c r="C240" s="25"/>
      <c r="D240" s="25"/>
      <c r="E240" s="25"/>
      <c r="F240" s="25"/>
      <c r="G240" s="25"/>
      <c r="H240" s="2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6.25">
      <c r="A241" s="24" t="s">
        <v>84</v>
      </c>
      <c r="B241" s="25"/>
      <c r="C241" s="25"/>
      <c r="D241" s="25"/>
      <c r="E241" s="25"/>
      <c r="F241" s="25"/>
      <c r="G241" s="25"/>
      <c r="H241" s="2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>
      <c r="A242" s="2" t="s">
        <v>2</v>
      </c>
      <c r="B242" s="2" t="s">
        <v>3</v>
      </c>
      <c r="C242" s="2" t="s">
        <v>4</v>
      </c>
      <c r="D242" s="2" t="s">
        <v>5</v>
      </c>
      <c r="E242" s="2" t="s">
        <v>6</v>
      </c>
      <c r="F242" s="3" t="s">
        <v>7</v>
      </c>
      <c r="G242" s="2" t="s">
        <v>8</v>
      </c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6.25">
      <c r="A243" s="5">
        <v>1</v>
      </c>
      <c r="B243" s="6" t="s">
        <v>85</v>
      </c>
      <c r="C243" s="7" t="s">
        <v>86</v>
      </c>
      <c r="D243" s="6" t="s">
        <v>10</v>
      </c>
      <c r="E243" s="6">
        <v>1.47</v>
      </c>
      <c r="F243" s="8">
        <v>293000</v>
      </c>
      <c r="G243" s="9">
        <f t="shared" ref="G243:G246" si="12">IFERROR(E243*F243,0)</f>
        <v>430710</v>
      </c>
      <c r="H243" s="1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6.25">
      <c r="A244" s="5">
        <v>2</v>
      </c>
      <c r="B244" s="13" t="s">
        <v>75</v>
      </c>
      <c r="C244" s="12" t="s">
        <v>87</v>
      </c>
      <c r="D244" s="13" t="s">
        <v>12</v>
      </c>
      <c r="E244" s="13">
        <v>1</v>
      </c>
      <c r="F244" s="14">
        <v>435000</v>
      </c>
      <c r="G244" s="9">
        <f t="shared" si="12"/>
        <v>435000</v>
      </c>
      <c r="H244" s="1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6.25">
      <c r="A245" s="5">
        <v>3</v>
      </c>
      <c r="B245" s="6" t="s">
        <v>88</v>
      </c>
      <c r="C245" s="16" t="s">
        <v>89</v>
      </c>
      <c r="D245" s="6" t="s">
        <v>10</v>
      </c>
      <c r="E245" s="6">
        <v>1</v>
      </c>
      <c r="F245" s="8">
        <v>293000</v>
      </c>
      <c r="G245" s="9">
        <f t="shared" si="12"/>
        <v>293000</v>
      </c>
      <c r="H245" s="1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6.25">
      <c r="A246" s="5">
        <v>4</v>
      </c>
      <c r="B246" s="17" t="s">
        <v>14</v>
      </c>
      <c r="C246" s="10"/>
      <c r="D246" s="10"/>
      <c r="E246" s="10"/>
      <c r="F246" s="10"/>
      <c r="G246" s="18">
        <f t="shared" si="12"/>
        <v>0</v>
      </c>
      <c r="H246" s="1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6.25">
      <c r="A247" s="27" t="s">
        <v>15</v>
      </c>
      <c r="B247" s="25"/>
      <c r="C247" s="25"/>
      <c r="D247" s="25"/>
      <c r="E247" s="25"/>
      <c r="F247" s="25"/>
      <c r="G247" s="26"/>
      <c r="H247" s="19">
        <f>SUM(G243:G246)</f>
        <v>1158710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6.25">
      <c r="A248" s="27" t="s">
        <v>16</v>
      </c>
      <c r="B248" s="25"/>
      <c r="C248" s="25"/>
      <c r="D248" s="25"/>
      <c r="E248" s="25"/>
      <c r="F248" s="25"/>
      <c r="G248" s="26"/>
      <c r="H248" s="19">
        <f>MAX(0,H247-648000)</f>
        <v>510710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6.25">
      <c r="A249" s="28" t="s">
        <v>17</v>
      </c>
      <c r="B249" s="25"/>
      <c r="C249" s="25"/>
      <c r="D249" s="25"/>
      <c r="E249" s="25"/>
      <c r="F249" s="25"/>
      <c r="G249" s="26"/>
      <c r="H249" s="20">
        <v>649000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6.25">
      <c r="A250" s="24"/>
      <c r="B250" s="25"/>
      <c r="C250" s="25"/>
      <c r="D250" s="25"/>
      <c r="E250" s="25"/>
      <c r="F250" s="25"/>
      <c r="G250" s="25"/>
      <c r="H250" s="2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>
      <c r="I251" s="1"/>
    </row>
    <row r="252" spans="1:26" ht="15">
      <c r="I252" s="1"/>
    </row>
    <row r="253" spans="1:26" ht="15">
      <c r="I253" s="1"/>
    </row>
    <row r="254" spans="1:26" ht="15">
      <c r="I254" s="1"/>
    </row>
    <row r="255" spans="1:26" ht="15">
      <c r="I255" s="1"/>
    </row>
    <row r="256" spans="1:26" ht="15">
      <c r="I256" s="1"/>
    </row>
    <row r="257" spans="1:26" ht="15">
      <c r="I257" s="1"/>
    </row>
    <row r="258" spans="1:26" ht="15">
      <c r="I258" s="1"/>
    </row>
    <row r="259" spans="1:26" ht="15">
      <c r="I259" s="1"/>
    </row>
    <row r="260" spans="1:26" ht="15">
      <c r="I260" s="1"/>
    </row>
    <row r="261" spans="1:26" ht="26.25">
      <c r="A261" s="24" t="s">
        <v>0</v>
      </c>
      <c r="B261" s="25"/>
      <c r="C261" s="25"/>
      <c r="D261" s="25"/>
      <c r="E261" s="25"/>
      <c r="F261" s="25"/>
      <c r="G261" s="25"/>
      <c r="H261" s="2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6.25">
      <c r="A262" s="24" t="s">
        <v>90</v>
      </c>
      <c r="B262" s="25"/>
      <c r="C262" s="25"/>
      <c r="D262" s="25"/>
      <c r="E262" s="25"/>
      <c r="F262" s="25"/>
      <c r="G262" s="25"/>
      <c r="H262" s="2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>
      <c r="A263" s="2" t="s">
        <v>2</v>
      </c>
      <c r="B263" s="2" t="s">
        <v>3</v>
      </c>
      <c r="C263" s="2" t="s">
        <v>4</v>
      </c>
      <c r="D263" s="2" t="s">
        <v>5</v>
      </c>
      <c r="E263" s="2" t="s">
        <v>6</v>
      </c>
      <c r="F263" s="3" t="s">
        <v>7</v>
      </c>
      <c r="G263" s="2" t="s">
        <v>8</v>
      </c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6.25">
      <c r="A264" s="5">
        <v>1</v>
      </c>
      <c r="B264" s="6" t="s">
        <v>91</v>
      </c>
      <c r="C264" s="7" t="s">
        <v>92</v>
      </c>
      <c r="D264" s="6" t="s">
        <v>10</v>
      </c>
      <c r="E264" s="6">
        <v>0.97</v>
      </c>
      <c r="F264" s="8">
        <v>293000</v>
      </c>
      <c r="G264" s="9">
        <f t="shared" ref="G264:G267" si="13">IFERROR(E264*F264,0)</f>
        <v>284210</v>
      </c>
      <c r="H264" s="1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6.25">
      <c r="A265" s="5">
        <v>2</v>
      </c>
      <c r="B265" s="13" t="s">
        <v>93</v>
      </c>
      <c r="C265" s="12" t="s">
        <v>94</v>
      </c>
      <c r="D265" s="13" t="s">
        <v>12</v>
      </c>
      <c r="E265" s="13">
        <v>1.5</v>
      </c>
      <c r="F265" s="14">
        <v>435000</v>
      </c>
      <c r="G265" s="9">
        <f t="shared" si="13"/>
        <v>652500</v>
      </c>
      <c r="H265" s="1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6.25">
      <c r="A266" s="5">
        <v>3</v>
      </c>
      <c r="B266" s="6" t="s">
        <v>39</v>
      </c>
      <c r="C266" s="16" t="s">
        <v>95</v>
      </c>
      <c r="D266" s="6" t="s">
        <v>10</v>
      </c>
      <c r="E266" s="6">
        <v>0.95</v>
      </c>
      <c r="F266" s="8">
        <v>293000</v>
      </c>
      <c r="G266" s="9">
        <f t="shared" si="13"/>
        <v>278350</v>
      </c>
      <c r="H266" s="1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6.25">
      <c r="A267" s="5">
        <v>4</v>
      </c>
      <c r="B267" s="17" t="s">
        <v>14</v>
      </c>
      <c r="C267" s="10"/>
      <c r="D267" s="10"/>
      <c r="E267" s="10"/>
      <c r="F267" s="10"/>
      <c r="G267" s="18">
        <f t="shared" si="13"/>
        <v>0</v>
      </c>
      <c r="H267" s="1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6.25">
      <c r="A268" s="27" t="s">
        <v>15</v>
      </c>
      <c r="B268" s="25"/>
      <c r="C268" s="25"/>
      <c r="D268" s="25"/>
      <c r="E268" s="25"/>
      <c r="F268" s="25"/>
      <c r="G268" s="26"/>
      <c r="H268" s="19">
        <f>SUM(G264:G267)</f>
        <v>1215060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6.25">
      <c r="A269" s="27" t="s">
        <v>16</v>
      </c>
      <c r="B269" s="25"/>
      <c r="C269" s="25"/>
      <c r="D269" s="25"/>
      <c r="E269" s="25"/>
      <c r="F269" s="25"/>
      <c r="G269" s="26"/>
      <c r="H269" s="19">
        <f>MAX(0,H268-648000)</f>
        <v>567060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6.25">
      <c r="A270" s="28" t="s">
        <v>17</v>
      </c>
      <c r="B270" s="25"/>
      <c r="C270" s="25"/>
      <c r="D270" s="25"/>
      <c r="E270" s="25"/>
      <c r="F270" s="25"/>
      <c r="G270" s="26"/>
      <c r="H270" s="20">
        <v>649000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6.25">
      <c r="A271" s="24"/>
      <c r="B271" s="25"/>
      <c r="C271" s="25"/>
      <c r="D271" s="25"/>
      <c r="E271" s="25"/>
      <c r="F271" s="25"/>
      <c r="G271" s="25"/>
      <c r="H271" s="2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>
      <c r="I272" s="1"/>
    </row>
    <row r="273" spans="1:26" ht="15">
      <c r="I273" s="1"/>
    </row>
    <row r="274" spans="1:26" ht="15">
      <c r="I274" s="1"/>
    </row>
    <row r="275" spans="1:26" ht="15">
      <c r="I275" s="1"/>
    </row>
    <row r="276" spans="1:26" ht="15">
      <c r="I276" s="1"/>
    </row>
    <row r="277" spans="1:26" ht="15">
      <c r="I277" s="1"/>
    </row>
    <row r="278" spans="1:26" ht="26.25">
      <c r="A278" s="24" t="s">
        <v>0</v>
      </c>
      <c r="B278" s="25"/>
      <c r="C278" s="25"/>
      <c r="D278" s="25"/>
      <c r="E278" s="25"/>
      <c r="F278" s="25"/>
      <c r="G278" s="25"/>
      <c r="H278" s="2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6.25">
      <c r="A279" s="24" t="s">
        <v>96</v>
      </c>
      <c r="B279" s="25"/>
      <c r="C279" s="25"/>
      <c r="D279" s="25"/>
      <c r="E279" s="25"/>
      <c r="F279" s="25"/>
      <c r="G279" s="25"/>
      <c r="H279" s="2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>
      <c r="A280" s="2" t="s">
        <v>2</v>
      </c>
      <c r="B280" s="2" t="s">
        <v>3</v>
      </c>
      <c r="C280" s="2" t="s">
        <v>4</v>
      </c>
      <c r="D280" s="2" t="s">
        <v>5</v>
      </c>
      <c r="E280" s="2" t="s">
        <v>6</v>
      </c>
      <c r="F280" s="3" t="s">
        <v>7</v>
      </c>
      <c r="G280" s="2" t="s">
        <v>8</v>
      </c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6.25">
      <c r="A281" s="5">
        <v>1</v>
      </c>
      <c r="B281" s="6" t="s">
        <v>97</v>
      </c>
      <c r="C281" s="7" t="s">
        <v>98</v>
      </c>
      <c r="D281" s="6" t="s">
        <v>10</v>
      </c>
      <c r="E281" s="6">
        <v>1.57</v>
      </c>
      <c r="F281" s="8">
        <v>293000</v>
      </c>
      <c r="G281" s="9">
        <f t="shared" ref="G281:G284" si="14">IFERROR(E281*F281,0)</f>
        <v>460010</v>
      </c>
      <c r="H281" s="1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6.25">
      <c r="A282" s="5">
        <v>2</v>
      </c>
      <c r="B282" s="13" t="s">
        <v>68</v>
      </c>
      <c r="C282" s="12" t="s">
        <v>99</v>
      </c>
      <c r="D282" s="13" t="s">
        <v>12</v>
      </c>
      <c r="E282" s="13">
        <v>1</v>
      </c>
      <c r="F282" s="14">
        <v>435000</v>
      </c>
      <c r="G282" s="9">
        <f t="shared" si="14"/>
        <v>435000</v>
      </c>
      <c r="H282" s="1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6.25">
      <c r="A283" s="5">
        <v>3</v>
      </c>
      <c r="B283" s="6" t="s">
        <v>100</v>
      </c>
      <c r="C283" s="16" t="s">
        <v>101</v>
      </c>
      <c r="D283" s="6" t="s">
        <v>10</v>
      </c>
      <c r="E283" s="6">
        <v>1</v>
      </c>
      <c r="F283" s="8">
        <v>293000</v>
      </c>
      <c r="G283" s="9">
        <f t="shared" si="14"/>
        <v>293000</v>
      </c>
      <c r="H283" s="1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6.25">
      <c r="A284" s="5">
        <v>4</v>
      </c>
      <c r="B284" s="17" t="s">
        <v>14</v>
      </c>
      <c r="C284" s="10"/>
      <c r="D284" s="10"/>
      <c r="E284" s="10"/>
      <c r="F284" s="10"/>
      <c r="G284" s="18">
        <f t="shared" si="14"/>
        <v>0</v>
      </c>
      <c r="H284" s="1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6.25">
      <c r="A285" s="27" t="s">
        <v>15</v>
      </c>
      <c r="B285" s="25"/>
      <c r="C285" s="25"/>
      <c r="D285" s="25"/>
      <c r="E285" s="25"/>
      <c r="F285" s="25"/>
      <c r="G285" s="26"/>
      <c r="H285" s="19">
        <f>SUM(G281:G284)</f>
        <v>1188010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6.25">
      <c r="A286" s="27" t="s">
        <v>16</v>
      </c>
      <c r="B286" s="25"/>
      <c r="C286" s="25"/>
      <c r="D286" s="25"/>
      <c r="E286" s="25"/>
      <c r="F286" s="25"/>
      <c r="G286" s="26"/>
      <c r="H286" s="19">
        <f>MAX(0,H285-648000)</f>
        <v>540010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6.25">
      <c r="A287" s="28" t="s">
        <v>17</v>
      </c>
      <c r="B287" s="25"/>
      <c r="C287" s="25"/>
      <c r="D287" s="25"/>
      <c r="E287" s="25"/>
      <c r="F287" s="25"/>
      <c r="G287" s="26"/>
      <c r="H287" s="20">
        <v>649000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6.25">
      <c r="A288" s="24"/>
      <c r="B288" s="25"/>
      <c r="C288" s="25"/>
      <c r="D288" s="25"/>
      <c r="E288" s="25"/>
      <c r="F288" s="25"/>
      <c r="G288" s="25"/>
      <c r="H288" s="2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>
      <c r="I289" s="1"/>
    </row>
    <row r="290" spans="1:26" ht="15">
      <c r="I290" s="1"/>
    </row>
    <row r="291" spans="1:26" ht="15">
      <c r="I291" s="1"/>
    </row>
    <row r="292" spans="1:26" ht="15">
      <c r="I292" s="1"/>
    </row>
    <row r="293" spans="1:26" ht="15">
      <c r="I293" s="1"/>
    </row>
    <row r="294" spans="1:26" ht="15">
      <c r="I294" s="1"/>
    </row>
    <row r="295" spans="1:26" ht="26.25">
      <c r="A295" s="24" t="s">
        <v>0</v>
      </c>
      <c r="B295" s="25"/>
      <c r="C295" s="25"/>
      <c r="D295" s="25"/>
      <c r="E295" s="25"/>
      <c r="F295" s="25"/>
      <c r="G295" s="25"/>
      <c r="H295" s="2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6.25">
      <c r="A296" s="24" t="s">
        <v>102</v>
      </c>
      <c r="B296" s="25"/>
      <c r="C296" s="25"/>
      <c r="D296" s="25"/>
      <c r="E296" s="25"/>
      <c r="F296" s="25"/>
      <c r="G296" s="25"/>
      <c r="H296" s="2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>
      <c r="A297" s="2" t="s">
        <v>2</v>
      </c>
      <c r="B297" s="2" t="s">
        <v>3</v>
      </c>
      <c r="C297" s="2" t="s">
        <v>4</v>
      </c>
      <c r="D297" s="2" t="s">
        <v>5</v>
      </c>
      <c r="E297" s="2" t="s">
        <v>6</v>
      </c>
      <c r="F297" s="3" t="s">
        <v>7</v>
      </c>
      <c r="G297" s="2" t="s">
        <v>8</v>
      </c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6.25">
      <c r="A298" s="5">
        <v>1</v>
      </c>
      <c r="B298" s="6" t="s">
        <v>37</v>
      </c>
      <c r="C298" s="7" t="s">
        <v>103</v>
      </c>
      <c r="D298" s="6" t="s">
        <v>10</v>
      </c>
      <c r="E298" s="6">
        <v>1.03</v>
      </c>
      <c r="F298" s="8">
        <v>293000</v>
      </c>
      <c r="G298" s="9">
        <f t="shared" ref="G298:G301" si="15">IFERROR(E298*F298,0)</f>
        <v>301790</v>
      </c>
      <c r="H298" s="1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6.25">
      <c r="A299" s="5">
        <v>2</v>
      </c>
      <c r="B299" s="13" t="s">
        <v>104</v>
      </c>
      <c r="C299" s="12" t="s">
        <v>105</v>
      </c>
      <c r="D299" s="13" t="s">
        <v>12</v>
      </c>
      <c r="E299" s="13">
        <v>1</v>
      </c>
      <c r="F299" s="14">
        <v>435000</v>
      </c>
      <c r="G299" s="9">
        <f t="shared" si="15"/>
        <v>435000</v>
      </c>
      <c r="H299" s="1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6.25">
      <c r="A300" s="5">
        <v>3</v>
      </c>
      <c r="B300" s="6" t="s">
        <v>106</v>
      </c>
      <c r="C300" s="16" t="s">
        <v>107</v>
      </c>
      <c r="D300" s="6" t="s">
        <v>10</v>
      </c>
      <c r="E300" s="6">
        <v>1.5</v>
      </c>
      <c r="F300" s="8">
        <v>293000</v>
      </c>
      <c r="G300" s="9">
        <f t="shared" si="15"/>
        <v>439500</v>
      </c>
      <c r="H300" s="1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6.25">
      <c r="A301" s="5">
        <v>4</v>
      </c>
      <c r="B301" s="17" t="s">
        <v>14</v>
      </c>
      <c r="C301" s="10"/>
      <c r="D301" s="10"/>
      <c r="E301" s="10"/>
      <c r="F301" s="10"/>
      <c r="G301" s="18">
        <f t="shared" si="15"/>
        <v>0</v>
      </c>
      <c r="H301" s="1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6.25">
      <c r="A302" s="27" t="s">
        <v>15</v>
      </c>
      <c r="B302" s="25"/>
      <c r="C302" s="25"/>
      <c r="D302" s="25"/>
      <c r="E302" s="25"/>
      <c r="F302" s="25"/>
      <c r="G302" s="26"/>
      <c r="H302" s="19">
        <f>SUM(G298:G301)</f>
        <v>1176290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6.25">
      <c r="A303" s="27" t="s">
        <v>16</v>
      </c>
      <c r="B303" s="25"/>
      <c r="C303" s="25"/>
      <c r="D303" s="25"/>
      <c r="E303" s="25"/>
      <c r="F303" s="25"/>
      <c r="G303" s="26"/>
      <c r="H303" s="19">
        <f>MAX(0,H302-648000)</f>
        <v>528290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6.25">
      <c r="A304" s="28" t="s">
        <v>17</v>
      </c>
      <c r="B304" s="25"/>
      <c r="C304" s="25"/>
      <c r="D304" s="25"/>
      <c r="E304" s="25"/>
      <c r="F304" s="25"/>
      <c r="G304" s="26"/>
      <c r="H304" s="20">
        <v>649000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6.25">
      <c r="A305" s="24"/>
      <c r="B305" s="25"/>
      <c r="C305" s="25"/>
      <c r="D305" s="25"/>
      <c r="E305" s="25"/>
      <c r="F305" s="25"/>
      <c r="G305" s="25"/>
      <c r="H305" s="2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>
      <c r="I306" s="1"/>
    </row>
    <row r="307" spans="1:26" ht="15">
      <c r="I307" s="1"/>
    </row>
    <row r="308" spans="1:26" ht="15">
      <c r="I308" s="1"/>
    </row>
    <row r="309" spans="1:26" ht="15">
      <c r="I309" s="1"/>
    </row>
    <row r="310" spans="1:26" ht="15">
      <c r="I310" s="1"/>
    </row>
    <row r="311" spans="1:26" ht="15">
      <c r="I311" s="1"/>
    </row>
    <row r="312" spans="1:26" ht="15">
      <c r="I312" s="1"/>
    </row>
    <row r="313" spans="1:26" ht="15">
      <c r="I313" s="1"/>
    </row>
    <row r="314" spans="1:26" ht="15">
      <c r="I314" s="1"/>
    </row>
    <row r="315" spans="1:26" ht="15">
      <c r="I315" s="1"/>
    </row>
    <row r="316" spans="1:26" ht="26.25">
      <c r="A316" s="24" t="s">
        <v>0</v>
      </c>
      <c r="B316" s="25"/>
      <c r="C316" s="25"/>
      <c r="D316" s="25"/>
      <c r="E316" s="25"/>
      <c r="F316" s="25"/>
      <c r="G316" s="25"/>
      <c r="H316" s="2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6.25">
      <c r="A317" s="24" t="s">
        <v>108</v>
      </c>
      <c r="B317" s="25"/>
      <c r="C317" s="25"/>
      <c r="D317" s="25"/>
      <c r="E317" s="25"/>
      <c r="F317" s="25"/>
      <c r="G317" s="25"/>
      <c r="H317" s="2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>
      <c r="A318" s="2" t="s">
        <v>2</v>
      </c>
      <c r="B318" s="2" t="s">
        <v>3</v>
      </c>
      <c r="C318" s="2" t="s">
        <v>4</v>
      </c>
      <c r="D318" s="2" t="s">
        <v>5</v>
      </c>
      <c r="E318" s="2" t="s">
        <v>6</v>
      </c>
      <c r="F318" s="3" t="s">
        <v>7</v>
      </c>
      <c r="G318" s="2" t="s">
        <v>8</v>
      </c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6.25">
      <c r="A319" s="5">
        <v>1</v>
      </c>
      <c r="B319" s="6" t="s">
        <v>109</v>
      </c>
      <c r="C319" s="7" t="s">
        <v>110</v>
      </c>
      <c r="D319" s="6" t="s">
        <v>10</v>
      </c>
      <c r="E319" s="6">
        <v>1.5</v>
      </c>
      <c r="F319" s="8">
        <v>293000</v>
      </c>
      <c r="G319" s="9">
        <f t="shared" ref="G319:G322" si="16">IFERROR(E319*F319,0)</f>
        <v>439500</v>
      </c>
      <c r="H319" s="1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6.25">
      <c r="A320" s="5">
        <v>2</v>
      </c>
      <c r="B320" s="13" t="s">
        <v>111</v>
      </c>
      <c r="C320" s="12" t="s">
        <v>112</v>
      </c>
      <c r="D320" s="13" t="s">
        <v>12</v>
      </c>
      <c r="E320" s="13">
        <v>1</v>
      </c>
      <c r="F320" s="14">
        <v>435000</v>
      </c>
      <c r="G320" s="9">
        <f t="shared" si="16"/>
        <v>435000</v>
      </c>
      <c r="H320" s="1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6.25">
      <c r="A321" s="5">
        <v>3</v>
      </c>
      <c r="B321" s="6" t="s">
        <v>113</v>
      </c>
      <c r="C321" s="16" t="s">
        <v>114</v>
      </c>
      <c r="D321" s="6" t="s">
        <v>10</v>
      </c>
      <c r="E321" s="6">
        <v>1.45</v>
      </c>
      <c r="F321" s="8">
        <v>293000</v>
      </c>
      <c r="G321" s="9">
        <f t="shared" si="16"/>
        <v>424850</v>
      </c>
      <c r="H321" s="1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6.25">
      <c r="A322" s="5">
        <v>4</v>
      </c>
      <c r="B322" s="17" t="s">
        <v>14</v>
      </c>
      <c r="C322" s="10"/>
      <c r="D322" s="10"/>
      <c r="E322" s="10"/>
      <c r="F322" s="10"/>
      <c r="G322" s="18">
        <f t="shared" si="16"/>
        <v>0</v>
      </c>
      <c r="H322" s="1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6.25">
      <c r="A323" s="27" t="s">
        <v>15</v>
      </c>
      <c r="B323" s="25"/>
      <c r="C323" s="25"/>
      <c r="D323" s="25"/>
      <c r="E323" s="25"/>
      <c r="F323" s="25"/>
      <c r="G323" s="26"/>
      <c r="H323" s="19">
        <f>SUM(G319:G322)</f>
        <v>1299350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6.25">
      <c r="A324" s="27" t="s">
        <v>16</v>
      </c>
      <c r="B324" s="25"/>
      <c r="C324" s="25"/>
      <c r="D324" s="25"/>
      <c r="E324" s="25"/>
      <c r="F324" s="25"/>
      <c r="G324" s="26"/>
      <c r="H324" s="19">
        <f>MAX(0,H323-648000)</f>
        <v>651350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6.25">
      <c r="A325" s="28" t="s">
        <v>17</v>
      </c>
      <c r="B325" s="25"/>
      <c r="C325" s="25"/>
      <c r="D325" s="25"/>
      <c r="E325" s="25"/>
      <c r="F325" s="25"/>
      <c r="G325" s="26"/>
      <c r="H325" s="20">
        <v>649000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6.25">
      <c r="A326" s="24"/>
      <c r="B326" s="25"/>
      <c r="C326" s="25"/>
      <c r="D326" s="25"/>
      <c r="E326" s="25"/>
      <c r="F326" s="25"/>
      <c r="G326" s="25"/>
      <c r="H326" s="2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>
      <c r="I327" s="1"/>
    </row>
    <row r="328" spans="1:26" ht="15">
      <c r="I328" s="1"/>
    </row>
    <row r="329" spans="1:26" ht="15">
      <c r="I329" s="1"/>
    </row>
    <row r="330" spans="1:26" ht="15">
      <c r="I330" s="1"/>
    </row>
    <row r="331" spans="1:26" ht="15">
      <c r="I331" s="1"/>
    </row>
    <row r="332" spans="1:26" ht="15">
      <c r="I332" s="1"/>
    </row>
    <row r="333" spans="1:26" ht="15">
      <c r="I333" s="1"/>
    </row>
    <row r="334" spans="1:26" ht="15">
      <c r="I334" s="1"/>
    </row>
    <row r="335" spans="1:26" ht="15">
      <c r="I335" s="1"/>
    </row>
    <row r="336" spans="1:26" ht="15">
      <c r="I336" s="1"/>
    </row>
    <row r="337" spans="1:26" ht="15">
      <c r="I337" s="1"/>
    </row>
    <row r="338" spans="1:26" ht="26.25">
      <c r="A338" s="24" t="s">
        <v>0</v>
      </c>
      <c r="B338" s="25"/>
      <c r="C338" s="25"/>
      <c r="D338" s="25"/>
      <c r="E338" s="25"/>
      <c r="F338" s="25"/>
      <c r="G338" s="25"/>
      <c r="H338" s="2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6.25">
      <c r="A339" s="24" t="s">
        <v>115</v>
      </c>
      <c r="B339" s="25"/>
      <c r="C339" s="25"/>
      <c r="D339" s="25"/>
      <c r="E339" s="25"/>
      <c r="F339" s="25"/>
      <c r="G339" s="25"/>
      <c r="H339" s="2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>
      <c r="A340" s="2" t="s">
        <v>2</v>
      </c>
      <c r="B340" s="2" t="s">
        <v>3</v>
      </c>
      <c r="C340" s="2" t="s">
        <v>4</v>
      </c>
      <c r="D340" s="2" t="s">
        <v>5</v>
      </c>
      <c r="E340" s="2" t="s">
        <v>6</v>
      </c>
      <c r="F340" s="3" t="s">
        <v>7</v>
      </c>
      <c r="G340" s="2" t="s">
        <v>8</v>
      </c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6.25">
      <c r="A341" s="5">
        <v>1</v>
      </c>
      <c r="B341" s="6" t="s">
        <v>116</v>
      </c>
      <c r="C341" s="7" t="s">
        <v>117</v>
      </c>
      <c r="D341" s="6" t="s">
        <v>10</v>
      </c>
      <c r="E341" s="6">
        <v>1</v>
      </c>
      <c r="F341" s="8">
        <v>293000</v>
      </c>
      <c r="G341" s="9">
        <f t="shared" ref="G341:G344" si="17">IFERROR(E341*F341,0)</f>
        <v>293000</v>
      </c>
      <c r="H341" s="1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6.25">
      <c r="A342" s="5">
        <v>2</v>
      </c>
      <c r="B342" s="13" t="s">
        <v>68</v>
      </c>
      <c r="C342" s="12" t="s">
        <v>118</v>
      </c>
      <c r="D342" s="13" t="s">
        <v>12</v>
      </c>
      <c r="E342" s="13">
        <v>1.48</v>
      </c>
      <c r="F342" s="14">
        <v>435000</v>
      </c>
      <c r="G342" s="9">
        <f t="shared" si="17"/>
        <v>643800</v>
      </c>
      <c r="H342" s="1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6.25">
      <c r="A343" s="5">
        <v>3</v>
      </c>
      <c r="B343" s="6" t="s">
        <v>119</v>
      </c>
      <c r="C343" s="16" t="s">
        <v>120</v>
      </c>
      <c r="D343" s="6" t="s">
        <v>10</v>
      </c>
      <c r="E343" s="6">
        <v>1.08</v>
      </c>
      <c r="F343" s="8">
        <v>293000</v>
      </c>
      <c r="G343" s="9">
        <f t="shared" si="17"/>
        <v>316440</v>
      </c>
      <c r="H343" s="1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6.25">
      <c r="A344" s="5">
        <v>4</v>
      </c>
      <c r="B344" s="17" t="s">
        <v>14</v>
      </c>
      <c r="C344" s="10"/>
      <c r="D344" s="10"/>
      <c r="E344" s="10"/>
      <c r="F344" s="10"/>
      <c r="G344" s="18">
        <f t="shared" si="17"/>
        <v>0</v>
      </c>
      <c r="H344" s="1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6.25">
      <c r="A345" s="27" t="s">
        <v>15</v>
      </c>
      <c r="B345" s="25"/>
      <c r="C345" s="25"/>
      <c r="D345" s="25"/>
      <c r="E345" s="25"/>
      <c r="F345" s="25"/>
      <c r="G345" s="26"/>
      <c r="H345" s="19">
        <f>SUM(G341:G344)</f>
        <v>1253240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6.25">
      <c r="A346" s="27" t="s">
        <v>16</v>
      </c>
      <c r="B346" s="25"/>
      <c r="C346" s="25"/>
      <c r="D346" s="25"/>
      <c r="E346" s="25"/>
      <c r="F346" s="25"/>
      <c r="G346" s="26"/>
      <c r="H346" s="19">
        <f>MAX(0,H345-648000)</f>
        <v>605240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6.25">
      <c r="A347" s="28" t="s">
        <v>17</v>
      </c>
      <c r="B347" s="25"/>
      <c r="C347" s="25"/>
      <c r="D347" s="25"/>
      <c r="E347" s="25"/>
      <c r="F347" s="25"/>
      <c r="G347" s="26"/>
      <c r="H347" s="20">
        <v>649000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6.25">
      <c r="A348" s="24"/>
      <c r="B348" s="25"/>
      <c r="C348" s="25"/>
      <c r="D348" s="25"/>
      <c r="E348" s="25"/>
      <c r="F348" s="25"/>
      <c r="G348" s="25"/>
      <c r="H348" s="2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>
      <c r="I349" s="1"/>
    </row>
    <row r="350" spans="1:26" ht="15">
      <c r="I350" s="1"/>
    </row>
    <row r="351" spans="1:26" ht="15">
      <c r="I351" s="1"/>
    </row>
    <row r="352" spans="1:26" ht="15">
      <c r="I352" s="1"/>
    </row>
    <row r="353" spans="1:26" ht="15">
      <c r="I353" s="1"/>
    </row>
    <row r="354" spans="1:26" ht="15">
      <c r="I354" s="1"/>
    </row>
    <row r="355" spans="1:26" ht="15">
      <c r="I355" s="1"/>
    </row>
    <row r="356" spans="1:26" ht="15">
      <c r="I356" s="1"/>
    </row>
    <row r="357" spans="1:26" ht="26.25">
      <c r="A357" s="24" t="s">
        <v>0</v>
      </c>
      <c r="B357" s="25"/>
      <c r="C357" s="25"/>
      <c r="D357" s="25"/>
      <c r="E357" s="25"/>
      <c r="F357" s="25"/>
      <c r="G357" s="25"/>
      <c r="H357" s="2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6.25">
      <c r="A358" s="24" t="s">
        <v>121</v>
      </c>
      <c r="B358" s="25"/>
      <c r="C358" s="25"/>
      <c r="D358" s="25"/>
      <c r="E358" s="25"/>
      <c r="F358" s="25"/>
      <c r="G358" s="25"/>
      <c r="H358" s="2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>
      <c r="A359" s="2" t="s">
        <v>2</v>
      </c>
      <c r="B359" s="2" t="s">
        <v>3</v>
      </c>
      <c r="C359" s="2" t="s">
        <v>4</v>
      </c>
      <c r="D359" s="2" t="s">
        <v>5</v>
      </c>
      <c r="E359" s="2" t="s">
        <v>6</v>
      </c>
      <c r="F359" s="3" t="s">
        <v>7</v>
      </c>
      <c r="G359" s="2" t="s">
        <v>8</v>
      </c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6.25">
      <c r="A360" s="5">
        <v>1</v>
      </c>
      <c r="B360" s="6" t="s">
        <v>122</v>
      </c>
      <c r="C360" s="7" t="s">
        <v>123</v>
      </c>
      <c r="D360" s="6" t="s">
        <v>10</v>
      </c>
      <c r="E360" s="6">
        <v>0.97</v>
      </c>
      <c r="F360" s="8">
        <v>293000</v>
      </c>
      <c r="G360" s="9">
        <f t="shared" ref="G360:G363" si="18">IFERROR(E360*F360,0)</f>
        <v>284210</v>
      </c>
      <c r="H360" s="1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6.25">
      <c r="A361" s="5">
        <v>2</v>
      </c>
      <c r="B361" s="13" t="s">
        <v>53</v>
      </c>
      <c r="C361" s="12" t="s">
        <v>124</v>
      </c>
      <c r="D361" s="13" t="s">
        <v>12</v>
      </c>
      <c r="E361" s="13">
        <v>1.5</v>
      </c>
      <c r="F361" s="14">
        <v>435000</v>
      </c>
      <c r="G361" s="9">
        <f t="shared" si="18"/>
        <v>652500</v>
      </c>
      <c r="H361" s="1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6.25">
      <c r="A362" s="5">
        <v>3</v>
      </c>
      <c r="B362" s="6" t="s">
        <v>125</v>
      </c>
      <c r="C362" s="16" t="s">
        <v>126</v>
      </c>
      <c r="D362" s="6" t="s">
        <v>127</v>
      </c>
      <c r="E362" s="6">
        <v>1</v>
      </c>
      <c r="F362" s="8">
        <v>293000</v>
      </c>
      <c r="G362" s="9">
        <f t="shared" si="18"/>
        <v>293000</v>
      </c>
      <c r="H362" s="1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6.25">
      <c r="A363" s="5">
        <v>4</v>
      </c>
      <c r="B363" s="17" t="s">
        <v>14</v>
      </c>
      <c r="C363" s="10"/>
      <c r="D363" s="10"/>
      <c r="E363" s="10"/>
      <c r="F363" s="10"/>
      <c r="G363" s="18">
        <f t="shared" si="18"/>
        <v>0</v>
      </c>
      <c r="H363" s="1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6.25">
      <c r="A364" s="27" t="s">
        <v>15</v>
      </c>
      <c r="B364" s="25"/>
      <c r="C364" s="25"/>
      <c r="D364" s="25"/>
      <c r="E364" s="25"/>
      <c r="F364" s="25"/>
      <c r="G364" s="26"/>
      <c r="H364" s="19">
        <f>SUM(G360:G363)</f>
        <v>1229710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6.25">
      <c r="A365" s="27" t="s">
        <v>16</v>
      </c>
      <c r="B365" s="25"/>
      <c r="C365" s="25"/>
      <c r="D365" s="25"/>
      <c r="E365" s="25"/>
      <c r="F365" s="25"/>
      <c r="G365" s="26"/>
      <c r="H365" s="19">
        <f>MAX(0,H364-648000)</f>
        <v>581710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6.25">
      <c r="A366" s="28" t="s">
        <v>17</v>
      </c>
      <c r="B366" s="25"/>
      <c r="C366" s="25"/>
      <c r="D366" s="25"/>
      <c r="E366" s="25"/>
      <c r="F366" s="25"/>
      <c r="G366" s="26"/>
      <c r="H366" s="20">
        <v>649000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6.25">
      <c r="A367" s="24"/>
      <c r="B367" s="25"/>
      <c r="C367" s="25"/>
      <c r="D367" s="25"/>
      <c r="E367" s="25"/>
      <c r="F367" s="25"/>
      <c r="G367" s="25"/>
      <c r="H367" s="2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>
      <c r="I368" s="1"/>
    </row>
    <row r="369" spans="1:26" ht="15">
      <c r="I369" s="1"/>
    </row>
    <row r="370" spans="1:26" ht="15">
      <c r="I370" s="1"/>
    </row>
    <row r="371" spans="1:26" ht="15">
      <c r="I371" s="1"/>
    </row>
    <row r="372" spans="1:26" ht="15">
      <c r="I372" s="1"/>
    </row>
    <row r="373" spans="1:26" ht="15">
      <c r="I373" s="1"/>
    </row>
    <row r="374" spans="1:26" ht="26.25">
      <c r="A374" s="24" t="s">
        <v>0</v>
      </c>
      <c r="B374" s="25"/>
      <c r="C374" s="25"/>
      <c r="D374" s="25"/>
      <c r="E374" s="25"/>
      <c r="F374" s="25"/>
      <c r="G374" s="25"/>
      <c r="H374" s="2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6.25">
      <c r="A375" s="24" t="s">
        <v>128</v>
      </c>
      <c r="B375" s="25"/>
      <c r="C375" s="25"/>
      <c r="D375" s="25"/>
      <c r="E375" s="25"/>
      <c r="F375" s="25"/>
      <c r="G375" s="25"/>
      <c r="H375" s="2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>
      <c r="A376" s="2" t="s">
        <v>2</v>
      </c>
      <c r="B376" s="2" t="s">
        <v>3</v>
      </c>
      <c r="C376" s="2" t="s">
        <v>4</v>
      </c>
      <c r="D376" s="2" t="s">
        <v>5</v>
      </c>
      <c r="E376" s="2" t="s">
        <v>6</v>
      </c>
      <c r="F376" s="3" t="s">
        <v>7</v>
      </c>
      <c r="G376" s="2" t="s">
        <v>8</v>
      </c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6.25">
      <c r="A377" s="5">
        <v>1</v>
      </c>
      <c r="B377" s="6" t="s">
        <v>129</v>
      </c>
      <c r="C377" s="7" t="s">
        <v>130</v>
      </c>
      <c r="D377" s="6" t="s">
        <v>10</v>
      </c>
      <c r="E377" s="6">
        <v>1</v>
      </c>
      <c r="F377" s="8">
        <v>293000</v>
      </c>
      <c r="G377" s="9">
        <f t="shared" ref="G377:G380" si="19">IFERROR(E377*F377,0)</f>
        <v>293000</v>
      </c>
      <c r="H377" s="1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6.25">
      <c r="A378" s="5">
        <v>2</v>
      </c>
      <c r="B378" s="13" t="s">
        <v>131</v>
      </c>
      <c r="C378" s="12" t="s">
        <v>132</v>
      </c>
      <c r="D378" s="13" t="s">
        <v>12</v>
      </c>
      <c r="E378" s="13">
        <v>1.3</v>
      </c>
      <c r="F378" s="14">
        <v>435000</v>
      </c>
      <c r="G378" s="9">
        <f t="shared" si="19"/>
        <v>565500</v>
      </c>
      <c r="H378" s="1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6.25">
      <c r="A379" s="5">
        <v>3</v>
      </c>
      <c r="B379" s="6" t="s">
        <v>133</v>
      </c>
      <c r="C379" s="16" t="s">
        <v>134</v>
      </c>
      <c r="D379" s="6" t="s">
        <v>10</v>
      </c>
      <c r="E379" s="6">
        <v>1.3</v>
      </c>
      <c r="F379" s="8">
        <v>293000</v>
      </c>
      <c r="G379" s="9">
        <f t="shared" si="19"/>
        <v>380900</v>
      </c>
      <c r="H379" s="1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6.25">
      <c r="A380" s="5">
        <v>4</v>
      </c>
      <c r="B380" s="17" t="s">
        <v>14</v>
      </c>
      <c r="C380" s="10"/>
      <c r="D380" s="10"/>
      <c r="E380" s="10"/>
      <c r="F380" s="10"/>
      <c r="G380" s="18">
        <f t="shared" si="19"/>
        <v>0</v>
      </c>
      <c r="H380" s="1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6.25">
      <c r="A381" s="27" t="s">
        <v>15</v>
      </c>
      <c r="B381" s="25"/>
      <c r="C381" s="25"/>
      <c r="D381" s="25"/>
      <c r="E381" s="25"/>
      <c r="F381" s="25"/>
      <c r="G381" s="26"/>
      <c r="H381" s="19">
        <f>SUM(G377:G380)</f>
        <v>1239400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6.25">
      <c r="A382" s="27" t="s">
        <v>16</v>
      </c>
      <c r="B382" s="25"/>
      <c r="C382" s="25"/>
      <c r="D382" s="25"/>
      <c r="E382" s="25"/>
      <c r="F382" s="25"/>
      <c r="G382" s="26"/>
      <c r="H382" s="19">
        <f>MAX(0,H381-648000)</f>
        <v>591400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6.25">
      <c r="A383" s="28" t="s">
        <v>17</v>
      </c>
      <c r="B383" s="25"/>
      <c r="C383" s="25"/>
      <c r="D383" s="25"/>
      <c r="E383" s="25"/>
      <c r="F383" s="25"/>
      <c r="G383" s="26"/>
      <c r="H383" s="20">
        <v>649000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6.25">
      <c r="A384" s="24"/>
      <c r="B384" s="25"/>
      <c r="C384" s="25"/>
      <c r="D384" s="25"/>
      <c r="E384" s="25"/>
      <c r="F384" s="25"/>
      <c r="G384" s="25"/>
      <c r="H384" s="2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>
      <c r="I385" s="1"/>
    </row>
    <row r="386" spans="1:26" ht="15">
      <c r="I386" s="1"/>
    </row>
    <row r="387" spans="1:26" ht="15">
      <c r="I387" s="1"/>
    </row>
    <row r="388" spans="1:26" ht="15">
      <c r="I388" s="1"/>
    </row>
    <row r="389" spans="1:26" ht="15">
      <c r="I389" s="1"/>
    </row>
    <row r="390" spans="1:26" ht="15">
      <c r="I390" s="1"/>
    </row>
    <row r="391" spans="1:26" ht="15">
      <c r="I391" s="1"/>
    </row>
    <row r="392" spans="1:26" ht="15">
      <c r="I392" s="1"/>
    </row>
    <row r="393" spans="1:26" ht="15">
      <c r="I393" s="1"/>
    </row>
    <row r="394" spans="1:26" ht="15">
      <c r="I394" s="1"/>
    </row>
    <row r="395" spans="1:26" ht="15">
      <c r="I395" s="1"/>
    </row>
    <row r="396" spans="1:26" ht="26.25">
      <c r="A396" s="24" t="s">
        <v>0</v>
      </c>
      <c r="B396" s="25"/>
      <c r="C396" s="25"/>
      <c r="D396" s="25"/>
      <c r="E396" s="25"/>
      <c r="F396" s="25"/>
      <c r="G396" s="25"/>
      <c r="H396" s="2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6.25">
      <c r="A397" s="24" t="s">
        <v>135</v>
      </c>
      <c r="B397" s="25"/>
      <c r="C397" s="25"/>
      <c r="D397" s="25"/>
      <c r="E397" s="25"/>
      <c r="F397" s="25"/>
      <c r="G397" s="25"/>
      <c r="H397" s="2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>
      <c r="A398" s="2" t="s">
        <v>2</v>
      </c>
      <c r="B398" s="2" t="s">
        <v>3</v>
      </c>
      <c r="C398" s="2" t="s">
        <v>4</v>
      </c>
      <c r="D398" s="2" t="s">
        <v>5</v>
      </c>
      <c r="E398" s="2" t="s">
        <v>6</v>
      </c>
      <c r="F398" s="3" t="s">
        <v>7</v>
      </c>
      <c r="G398" s="2" t="s">
        <v>8</v>
      </c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6.25">
      <c r="A399" s="5">
        <v>1</v>
      </c>
      <c r="B399" s="6" t="s">
        <v>136</v>
      </c>
      <c r="C399" s="7" t="s">
        <v>137</v>
      </c>
      <c r="D399" s="6" t="s">
        <v>10</v>
      </c>
      <c r="E399" s="6">
        <v>0.9</v>
      </c>
      <c r="F399" s="8">
        <v>293000</v>
      </c>
      <c r="G399" s="9">
        <f t="shared" ref="G399:G402" si="20">IFERROR(E399*F399,0)</f>
        <v>263700</v>
      </c>
      <c r="H399" s="1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6.25">
      <c r="A400" s="5">
        <v>2</v>
      </c>
      <c r="B400" s="13" t="s">
        <v>138</v>
      </c>
      <c r="C400" s="12" t="s">
        <v>139</v>
      </c>
      <c r="D400" s="13" t="s">
        <v>12</v>
      </c>
      <c r="E400" s="13">
        <v>1.5</v>
      </c>
      <c r="F400" s="14">
        <v>435000</v>
      </c>
      <c r="G400" s="9">
        <f t="shared" si="20"/>
        <v>652500</v>
      </c>
      <c r="H400" s="1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6.25">
      <c r="A401" s="5">
        <v>3</v>
      </c>
      <c r="B401" s="6" t="s">
        <v>140</v>
      </c>
      <c r="C401" s="16" t="s">
        <v>141</v>
      </c>
      <c r="D401" s="6" t="s">
        <v>10</v>
      </c>
      <c r="E401" s="6">
        <v>1.5</v>
      </c>
      <c r="F401" s="8">
        <v>293000</v>
      </c>
      <c r="G401" s="9">
        <f t="shared" si="20"/>
        <v>439500</v>
      </c>
      <c r="H401" s="1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6.25">
      <c r="A402" s="5">
        <v>4</v>
      </c>
      <c r="B402" s="17" t="s">
        <v>14</v>
      </c>
      <c r="C402" s="10"/>
      <c r="D402" s="10"/>
      <c r="E402" s="10"/>
      <c r="F402" s="10"/>
      <c r="G402" s="18">
        <f t="shared" si="20"/>
        <v>0</v>
      </c>
      <c r="H402" s="1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6.25">
      <c r="A403" s="27" t="s">
        <v>15</v>
      </c>
      <c r="B403" s="25"/>
      <c r="C403" s="25"/>
      <c r="D403" s="25"/>
      <c r="E403" s="25"/>
      <c r="F403" s="25"/>
      <c r="G403" s="26"/>
      <c r="H403" s="19">
        <f>SUM(G399:G402)</f>
        <v>1355700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6.25">
      <c r="A404" s="27" t="s">
        <v>16</v>
      </c>
      <c r="B404" s="25"/>
      <c r="C404" s="25"/>
      <c r="D404" s="25"/>
      <c r="E404" s="25"/>
      <c r="F404" s="25"/>
      <c r="G404" s="26"/>
      <c r="H404" s="19">
        <f>MAX(0,H403-648000)</f>
        <v>707700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6.25">
      <c r="A405" s="28" t="s">
        <v>17</v>
      </c>
      <c r="B405" s="25"/>
      <c r="C405" s="25"/>
      <c r="D405" s="25"/>
      <c r="E405" s="25"/>
      <c r="F405" s="25"/>
      <c r="G405" s="26"/>
      <c r="H405" s="20">
        <v>649000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6.25">
      <c r="A406" s="24"/>
      <c r="B406" s="25"/>
      <c r="C406" s="25"/>
      <c r="D406" s="25"/>
      <c r="E406" s="25"/>
      <c r="F406" s="25"/>
      <c r="G406" s="25"/>
      <c r="H406" s="2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>
      <c r="I407" s="1"/>
    </row>
    <row r="408" spans="1:26" ht="15">
      <c r="I408" s="1"/>
    </row>
    <row r="409" spans="1:26" ht="15">
      <c r="I409" s="1"/>
    </row>
    <row r="410" spans="1:26" ht="15">
      <c r="I410" s="1"/>
    </row>
    <row r="411" spans="1:26" ht="15">
      <c r="I411" s="1"/>
    </row>
    <row r="412" spans="1:26" ht="15">
      <c r="I412" s="1"/>
    </row>
    <row r="413" spans="1:26" ht="15">
      <c r="I413" s="1"/>
    </row>
    <row r="414" spans="1:26" ht="15">
      <c r="I414" s="1"/>
    </row>
    <row r="415" spans="1:26" ht="15">
      <c r="I415" s="1"/>
    </row>
    <row r="416" spans="1:26" ht="15">
      <c r="I416" s="1"/>
    </row>
    <row r="417" spans="1:26" ht="15">
      <c r="I417" s="1"/>
    </row>
    <row r="418" spans="1:26" ht="15">
      <c r="I418" s="1"/>
    </row>
    <row r="419" spans="1:26" ht="26.25">
      <c r="A419" s="24" t="s">
        <v>0</v>
      </c>
      <c r="B419" s="25"/>
      <c r="C419" s="25"/>
      <c r="D419" s="25"/>
      <c r="E419" s="25"/>
      <c r="F419" s="25"/>
      <c r="G419" s="25"/>
      <c r="H419" s="2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6.25">
      <c r="A420" s="24" t="s">
        <v>142</v>
      </c>
      <c r="B420" s="25"/>
      <c r="C420" s="25"/>
      <c r="D420" s="25"/>
      <c r="E420" s="25"/>
      <c r="F420" s="25"/>
      <c r="G420" s="25"/>
      <c r="H420" s="2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>
      <c r="A421" s="2" t="s">
        <v>2</v>
      </c>
      <c r="B421" s="2" t="s">
        <v>3</v>
      </c>
      <c r="C421" s="2" t="s">
        <v>4</v>
      </c>
      <c r="D421" s="2" t="s">
        <v>5</v>
      </c>
      <c r="E421" s="2" t="s">
        <v>6</v>
      </c>
      <c r="F421" s="3" t="s">
        <v>7</v>
      </c>
      <c r="G421" s="2" t="s">
        <v>8</v>
      </c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6.25">
      <c r="A422" s="5">
        <v>1</v>
      </c>
      <c r="B422" s="6" t="s">
        <v>143</v>
      </c>
      <c r="C422" s="7" t="s">
        <v>144</v>
      </c>
      <c r="D422" s="6" t="s">
        <v>10</v>
      </c>
      <c r="E422" s="6">
        <v>2.2000000000000002</v>
      </c>
      <c r="F422" s="8">
        <v>293000</v>
      </c>
      <c r="G422" s="9">
        <f t="shared" ref="G422:G425" si="21">IFERROR(E422*F422,0)</f>
        <v>644600</v>
      </c>
      <c r="H422" s="1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6.25">
      <c r="A423" s="5">
        <v>2</v>
      </c>
      <c r="B423" s="13" t="s">
        <v>145</v>
      </c>
      <c r="C423" s="12">
        <v>6731</v>
      </c>
      <c r="D423" s="13" t="s">
        <v>12</v>
      </c>
      <c r="E423" s="13">
        <v>0.72</v>
      </c>
      <c r="F423" s="14">
        <v>435000</v>
      </c>
      <c r="G423" s="9">
        <f t="shared" si="21"/>
        <v>313200</v>
      </c>
      <c r="H423" s="1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6.25">
      <c r="A424" s="5">
        <v>3</v>
      </c>
      <c r="B424" s="6" t="s">
        <v>146</v>
      </c>
      <c r="C424" s="16" t="s">
        <v>147</v>
      </c>
      <c r="D424" s="6" t="s">
        <v>10</v>
      </c>
      <c r="E424" s="6">
        <v>0.83</v>
      </c>
      <c r="F424" s="8">
        <v>293000</v>
      </c>
      <c r="G424" s="9">
        <f t="shared" si="21"/>
        <v>243190</v>
      </c>
      <c r="H424" s="1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6.25">
      <c r="A425" s="5">
        <v>4</v>
      </c>
      <c r="B425" s="17" t="s">
        <v>14</v>
      </c>
      <c r="C425" s="10"/>
      <c r="D425" s="10"/>
      <c r="E425" s="10"/>
      <c r="F425" s="10"/>
      <c r="G425" s="18">
        <f t="shared" si="21"/>
        <v>0</v>
      </c>
      <c r="H425" s="1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6.25">
      <c r="A426" s="27" t="s">
        <v>15</v>
      </c>
      <c r="B426" s="25"/>
      <c r="C426" s="25"/>
      <c r="D426" s="25"/>
      <c r="E426" s="25"/>
      <c r="F426" s="25"/>
      <c r="G426" s="26"/>
      <c r="H426" s="19">
        <f>SUM(G422:G425)</f>
        <v>1200990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6.25">
      <c r="A427" s="27" t="s">
        <v>16</v>
      </c>
      <c r="B427" s="25"/>
      <c r="C427" s="25"/>
      <c r="D427" s="25"/>
      <c r="E427" s="25"/>
      <c r="F427" s="25"/>
      <c r="G427" s="26"/>
      <c r="H427" s="19">
        <f>MAX(0,H426-648000)</f>
        <v>552990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6.25">
      <c r="A428" s="28" t="s">
        <v>17</v>
      </c>
      <c r="B428" s="25"/>
      <c r="C428" s="25"/>
      <c r="D428" s="25"/>
      <c r="E428" s="25"/>
      <c r="F428" s="25"/>
      <c r="G428" s="26"/>
      <c r="H428" s="20">
        <v>649000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6.25">
      <c r="A429" s="24"/>
      <c r="B429" s="25"/>
      <c r="C429" s="25"/>
      <c r="D429" s="25"/>
      <c r="E429" s="25"/>
      <c r="F429" s="25"/>
      <c r="G429" s="25"/>
      <c r="H429" s="2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>
      <c r="I430" s="1"/>
    </row>
    <row r="431" spans="1:26" ht="15">
      <c r="I431" s="1"/>
    </row>
    <row r="432" spans="1:26" ht="15">
      <c r="I432" s="1"/>
    </row>
    <row r="433" spans="1:26" ht="15">
      <c r="I433" s="1"/>
    </row>
    <row r="434" spans="1:26" ht="15">
      <c r="I434" s="1"/>
    </row>
    <row r="435" spans="1:26" ht="15">
      <c r="I435" s="1"/>
    </row>
    <row r="436" spans="1:26" ht="15">
      <c r="I436" s="1"/>
    </row>
    <row r="437" spans="1:26" ht="15">
      <c r="I437" s="1"/>
    </row>
    <row r="438" spans="1:26" ht="26.25">
      <c r="A438" s="24" t="s">
        <v>0</v>
      </c>
      <c r="B438" s="25"/>
      <c r="C438" s="25"/>
      <c r="D438" s="25"/>
      <c r="E438" s="25"/>
      <c r="F438" s="25"/>
      <c r="G438" s="25"/>
      <c r="H438" s="2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6.25">
      <c r="A439" s="24" t="s">
        <v>148</v>
      </c>
      <c r="B439" s="25"/>
      <c r="C439" s="25"/>
      <c r="D439" s="25"/>
      <c r="E439" s="25"/>
      <c r="F439" s="25"/>
      <c r="G439" s="25"/>
      <c r="H439" s="2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>
      <c r="A440" s="2" t="s">
        <v>2</v>
      </c>
      <c r="B440" s="2" t="s">
        <v>3</v>
      </c>
      <c r="C440" s="2" t="s">
        <v>4</v>
      </c>
      <c r="D440" s="2" t="s">
        <v>5</v>
      </c>
      <c r="E440" s="2" t="s">
        <v>6</v>
      </c>
      <c r="F440" s="3" t="s">
        <v>7</v>
      </c>
      <c r="G440" s="2" t="s">
        <v>8</v>
      </c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6.25">
      <c r="A441" s="5">
        <v>1</v>
      </c>
      <c r="B441" s="6" t="s">
        <v>9</v>
      </c>
      <c r="C441" s="7" t="s">
        <v>149</v>
      </c>
      <c r="D441" s="6" t="s">
        <v>10</v>
      </c>
      <c r="E441" s="6">
        <v>1.43</v>
      </c>
      <c r="F441" s="8">
        <v>293000</v>
      </c>
      <c r="G441" s="9">
        <f t="shared" ref="G441:G444" si="22">IFERROR(E441*F441,0)</f>
        <v>418990</v>
      </c>
      <c r="H441" s="1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6.25">
      <c r="A442" s="5">
        <v>2</v>
      </c>
      <c r="B442" s="13" t="s">
        <v>150</v>
      </c>
      <c r="C442" s="12" t="s">
        <v>151</v>
      </c>
      <c r="D442" s="13" t="s">
        <v>12</v>
      </c>
      <c r="E442" s="13">
        <v>1.38</v>
      </c>
      <c r="F442" s="14">
        <v>435000</v>
      </c>
      <c r="G442" s="9">
        <f t="shared" si="22"/>
        <v>600300</v>
      </c>
      <c r="H442" s="1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6.25">
      <c r="A443" s="5">
        <v>3</v>
      </c>
      <c r="B443" s="6" t="s">
        <v>68</v>
      </c>
      <c r="C443" s="16">
        <v>1647</v>
      </c>
      <c r="D443" s="13" t="s">
        <v>12</v>
      </c>
      <c r="E443" s="6">
        <v>0.7</v>
      </c>
      <c r="F443" s="14">
        <v>435000</v>
      </c>
      <c r="G443" s="9">
        <f t="shared" si="22"/>
        <v>304500</v>
      </c>
      <c r="H443" s="1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6.25">
      <c r="A444" s="5">
        <v>4</v>
      </c>
      <c r="B444" s="17" t="s">
        <v>14</v>
      </c>
      <c r="C444" s="10"/>
      <c r="D444" s="10"/>
      <c r="E444" s="10"/>
      <c r="F444" s="10"/>
      <c r="G444" s="18">
        <f t="shared" si="22"/>
        <v>0</v>
      </c>
      <c r="H444" s="1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6.25">
      <c r="A445" s="27" t="s">
        <v>15</v>
      </c>
      <c r="B445" s="25"/>
      <c r="C445" s="25"/>
      <c r="D445" s="25"/>
      <c r="E445" s="25"/>
      <c r="F445" s="25"/>
      <c r="G445" s="26"/>
      <c r="H445" s="19">
        <f>SUM(G441:G444)</f>
        <v>1323790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6.25">
      <c r="A446" s="27" t="s">
        <v>16</v>
      </c>
      <c r="B446" s="25"/>
      <c r="C446" s="25"/>
      <c r="D446" s="25"/>
      <c r="E446" s="25"/>
      <c r="F446" s="25"/>
      <c r="G446" s="26"/>
      <c r="H446" s="19">
        <f>MAX(0,H445-648000)</f>
        <v>675790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6.25">
      <c r="A447" s="28" t="s">
        <v>17</v>
      </c>
      <c r="B447" s="25"/>
      <c r="C447" s="25"/>
      <c r="D447" s="25"/>
      <c r="E447" s="25"/>
      <c r="F447" s="25"/>
      <c r="G447" s="26"/>
      <c r="H447" s="20">
        <v>649000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6.25">
      <c r="A448" s="24"/>
      <c r="B448" s="25"/>
      <c r="C448" s="25"/>
      <c r="D448" s="25"/>
      <c r="E448" s="25"/>
      <c r="F448" s="25"/>
      <c r="G448" s="25"/>
      <c r="H448" s="2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>
      <c r="I449" s="1"/>
    </row>
    <row r="450" spans="1:26" ht="15">
      <c r="I450" s="1"/>
    </row>
    <row r="451" spans="1:26" ht="15">
      <c r="I451" s="1"/>
    </row>
    <row r="452" spans="1:26" ht="15">
      <c r="I452" s="1"/>
    </row>
    <row r="453" spans="1:26" ht="15">
      <c r="I453" s="1"/>
    </row>
    <row r="454" spans="1:26" ht="15">
      <c r="I454" s="1"/>
    </row>
    <row r="455" spans="1:26" ht="15">
      <c r="I455" s="1"/>
    </row>
    <row r="456" spans="1:26" ht="15">
      <c r="I456" s="1"/>
    </row>
    <row r="457" spans="1:26" ht="15">
      <c r="I457" s="1"/>
    </row>
    <row r="458" spans="1:26" ht="15">
      <c r="I458" s="1"/>
    </row>
    <row r="459" spans="1:26" ht="26.25">
      <c r="A459" s="24" t="s">
        <v>0</v>
      </c>
      <c r="B459" s="25"/>
      <c r="C459" s="25"/>
      <c r="D459" s="25"/>
      <c r="E459" s="25"/>
      <c r="F459" s="25"/>
      <c r="G459" s="25"/>
      <c r="H459" s="2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6.25">
      <c r="A460" s="24" t="s">
        <v>152</v>
      </c>
      <c r="B460" s="25"/>
      <c r="C460" s="25"/>
      <c r="D460" s="25"/>
      <c r="E460" s="25"/>
      <c r="F460" s="25"/>
      <c r="G460" s="25"/>
      <c r="H460" s="2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>
      <c r="A461" s="2" t="s">
        <v>2</v>
      </c>
      <c r="B461" s="2" t="s">
        <v>3</v>
      </c>
      <c r="C461" s="2" t="s">
        <v>4</v>
      </c>
      <c r="D461" s="2" t="s">
        <v>5</v>
      </c>
      <c r="E461" s="2" t="s">
        <v>6</v>
      </c>
      <c r="F461" s="3" t="s">
        <v>7</v>
      </c>
      <c r="G461" s="2" t="s">
        <v>8</v>
      </c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6.25">
      <c r="A462" s="5">
        <v>1</v>
      </c>
      <c r="B462" s="6" t="s">
        <v>153</v>
      </c>
      <c r="C462" s="7" t="s">
        <v>154</v>
      </c>
      <c r="D462" s="6" t="s">
        <v>10</v>
      </c>
      <c r="E462" s="6">
        <v>1</v>
      </c>
      <c r="F462" s="8">
        <v>293000</v>
      </c>
      <c r="G462" s="9">
        <f t="shared" ref="G462:G465" si="23">IFERROR(E462*F462,0)</f>
        <v>293000</v>
      </c>
      <c r="H462" s="1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6.25">
      <c r="A463" s="5">
        <v>2</v>
      </c>
      <c r="B463" s="13" t="s">
        <v>155</v>
      </c>
      <c r="C463" s="12" t="s">
        <v>156</v>
      </c>
      <c r="D463" s="13" t="s">
        <v>12</v>
      </c>
      <c r="E463" s="13">
        <v>1.5</v>
      </c>
      <c r="F463" s="14">
        <v>435000</v>
      </c>
      <c r="G463" s="9">
        <f t="shared" si="23"/>
        <v>652500</v>
      </c>
      <c r="H463" s="1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6.25">
      <c r="A464" s="5">
        <v>3</v>
      </c>
      <c r="B464" s="6" t="s">
        <v>150</v>
      </c>
      <c r="C464" s="16" t="s">
        <v>151</v>
      </c>
      <c r="D464" s="13" t="s">
        <v>12</v>
      </c>
      <c r="E464" s="6">
        <v>0.92</v>
      </c>
      <c r="F464" s="14">
        <v>435000</v>
      </c>
      <c r="G464" s="9">
        <f t="shared" si="23"/>
        <v>400200</v>
      </c>
      <c r="H464" s="1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6.25">
      <c r="A465" s="5">
        <v>4</v>
      </c>
      <c r="B465" s="17" t="s">
        <v>14</v>
      </c>
      <c r="C465" s="10"/>
      <c r="D465" s="10"/>
      <c r="E465" s="10"/>
      <c r="F465" s="10"/>
      <c r="G465" s="18">
        <f t="shared" si="23"/>
        <v>0</v>
      </c>
      <c r="H465" s="1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6.25">
      <c r="A466" s="27" t="s">
        <v>15</v>
      </c>
      <c r="B466" s="25"/>
      <c r="C466" s="25"/>
      <c r="D466" s="25"/>
      <c r="E466" s="25"/>
      <c r="F466" s="25"/>
      <c r="G466" s="26"/>
      <c r="H466" s="19">
        <f>SUM(G462:G465)</f>
        <v>1345700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6.25">
      <c r="A467" s="27" t="s">
        <v>16</v>
      </c>
      <c r="B467" s="25"/>
      <c r="C467" s="25"/>
      <c r="D467" s="25"/>
      <c r="E467" s="25"/>
      <c r="F467" s="25"/>
      <c r="G467" s="26"/>
      <c r="H467" s="19">
        <f>MAX(0,H466-648000)</f>
        <v>697700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6.25">
      <c r="A468" s="28" t="s">
        <v>17</v>
      </c>
      <c r="B468" s="25"/>
      <c r="C468" s="25"/>
      <c r="D468" s="25"/>
      <c r="E468" s="25"/>
      <c r="F468" s="25"/>
      <c r="G468" s="26"/>
      <c r="H468" s="20">
        <v>649000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6.25">
      <c r="A469" s="24"/>
      <c r="B469" s="25"/>
      <c r="C469" s="25"/>
      <c r="D469" s="25"/>
      <c r="E469" s="25"/>
      <c r="F469" s="25"/>
      <c r="G469" s="25"/>
      <c r="H469" s="2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>
      <c r="I470" s="1"/>
    </row>
    <row r="471" spans="1:26" ht="15">
      <c r="I471" s="1"/>
    </row>
    <row r="472" spans="1:26" ht="15">
      <c r="I472" s="1"/>
    </row>
    <row r="473" spans="1:26" ht="15">
      <c r="I473" s="1"/>
    </row>
    <row r="474" spans="1:26" ht="15">
      <c r="I474" s="1"/>
    </row>
    <row r="475" spans="1:26" ht="15">
      <c r="I475" s="1"/>
    </row>
    <row r="476" spans="1:26" ht="15">
      <c r="I476" s="1"/>
    </row>
    <row r="477" spans="1:26" ht="15">
      <c r="I477" s="1"/>
    </row>
    <row r="478" spans="1:26" ht="15">
      <c r="I478" s="1"/>
    </row>
    <row r="479" spans="1:26" ht="26.25">
      <c r="A479" s="24" t="s">
        <v>0</v>
      </c>
      <c r="B479" s="25"/>
      <c r="C479" s="25"/>
      <c r="D479" s="25"/>
      <c r="E479" s="25"/>
      <c r="F479" s="25"/>
      <c r="G479" s="25"/>
      <c r="H479" s="2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6.25">
      <c r="A480" s="24" t="s">
        <v>157</v>
      </c>
      <c r="B480" s="25"/>
      <c r="C480" s="25"/>
      <c r="D480" s="25"/>
      <c r="E480" s="25"/>
      <c r="F480" s="25"/>
      <c r="G480" s="25"/>
      <c r="H480" s="2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>
      <c r="A481" s="2" t="s">
        <v>2</v>
      </c>
      <c r="B481" s="2" t="s">
        <v>3</v>
      </c>
      <c r="C481" s="2" t="s">
        <v>4</v>
      </c>
      <c r="D481" s="2" t="s">
        <v>5</v>
      </c>
      <c r="E481" s="2" t="s">
        <v>6</v>
      </c>
      <c r="F481" s="3" t="s">
        <v>7</v>
      </c>
      <c r="G481" s="2" t="s">
        <v>8</v>
      </c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6.25">
      <c r="A482" s="5">
        <v>1</v>
      </c>
      <c r="B482" s="6" t="s">
        <v>155</v>
      </c>
      <c r="C482" s="7" t="s">
        <v>158</v>
      </c>
      <c r="D482" s="6" t="s">
        <v>10</v>
      </c>
      <c r="E482" s="6">
        <v>1.44</v>
      </c>
      <c r="F482" s="8">
        <v>293000</v>
      </c>
      <c r="G482" s="9">
        <f t="shared" ref="G482:G485" si="24">IFERROR(E482*F482,0)</f>
        <v>421920</v>
      </c>
      <c r="H482" s="1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6.25">
      <c r="A483" s="5">
        <v>2</v>
      </c>
      <c r="B483" s="13" t="s">
        <v>145</v>
      </c>
      <c r="C483" s="12">
        <v>1649</v>
      </c>
      <c r="D483" s="13" t="s">
        <v>12</v>
      </c>
      <c r="E483" s="13">
        <v>1.33</v>
      </c>
      <c r="F483" s="14">
        <v>435000</v>
      </c>
      <c r="G483" s="9">
        <f t="shared" si="24"/>
        <v>578550</v>
      </c>
      <c r="H483" s="1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6.25">
      <c r="A484" s="5">
        <v>3</v>
      </c>
      <c r="B484" s="6" t="s">
        <v>159</v>
      </c>
      <c r="C484" s="16" t="s">
        <v>160</v>
      </c>
      <c r="D484" s="6" t="s">
        <v>10</v>
      </c>
      <c r="E484" s="6">
        <v>0.65</v>
      </c>
      <c r="F484" s="8">
        <v>293000</v>
      </c>
      <c r="G484" s="9">
        <f t="shared" si="24"/>
        <v>190450</v>
      </c>
      <c r="H484" s="1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6.25">
      <c r="A485" s="5">
        <v>4</v>
      </c>
      <c r="B485" s="17" t="s">
        <v>14</v>
      </c>
      <c r="C485" s="10"/>
      <c r="D485" s="10"/>
      <c r="E485" s="10"/>
      <c r="F485" s="10"/>
      <c r="G485" s="18">
        <f t="shared" si="24"/>
        <v>0</v>
      </c>
      <c r="H485" s="1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6.25">
      <c r="A486" s="27" t="s">
        <v>15</v>
      </c>
      <c r="B486" s="25"/>
      <c r="C486" s="25"/>
      <c r="D486" s="25"/>
      <c r="E486" s="25"/>
      <c r="F486" s="25"/>
      <c r="G486" s="26"/>
      <c r="H486" s="19">
        <f>SUM(G482:G485)</f>
        <v>1190920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6.25">
      <c r="A487" s="27" t="s">
        <v>16</v>
      </c>
      <c r="B487" s="25"/>
      <c r="C487" s="25"/>
      <c r="D487" s="25"/>
      <c r="E487" s="25"/>
      <c r="F487" s="25"/>
      <c r="G487" s="26"/>
      <c r="H487" s="19">
        <f>MAX(0,H486-648000)</f>
        <v>542920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6.25">
      <c r="A488" s="28" t="s">
        <v>17</v>
      </c>
      <c r="B488" s="25"/>
      <c r="C488" s="25"/>
      <c r="D488" s="25"/>
      <c r="E488" s="25"/>
      <c r="F488" s="25"/>
      <c r="G488" s="26"/>
      <c r="H488" s="20">
        <v>649000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6.25">
      <c r="A489" s="24"/>
      <c r="B489" s="25"/>
      <c r="C489" s="25"/>
      <c r="D489" s="25"/>
      <c r="E489" s="25"/>
      <c r="F489" s="25"/>
      <c r="G489" s="25"/>
      <c r="H489" s="2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>
      <c r="I490" s="1"/>
    </row>
    <row r="491" spans="1:26" ht="15">
      <c r="I491" s="1"/>
    </row>
    <row r="492" spans="1:26" ht="15">
      <c r="I492" s="1"/>
    </row>
    <row r="493" spans="1:26" ht="15">
      <c r="I493" s="1"/>
    </row>
    <row r="494" spans="1:26" ht="15">
      <c r="I494" s="1"/>
    </row>
    <row r="495" spans="1:26" ht="15">
      <c r="I495" s="1"/>
    </row>
    <row r="496" spans="1:26" ht="26.25">
      <c r="A496" s="24" t="s">
        <v>0</v>
      </c>
      <c r="B496" s="25"/>
      <c r="C496" s="25"/>
      <c r="D496" s="25"/>
      <c r="E496" s="25"/>
      <c r="F496" s="25"/>
      <c r="G496" s="25"/>
      <c r="H496" s="2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6.25">
      <c r="A497" s="24" t="s">
        <v>161</v>
      </c>
      <c r="B497" s="25"/>
      <c r="C497" s="25"/>
      <c r="D497" s="25"/>
      <c r="E497" s="25"/>
      <c r="F497" s="25"/>
      <c r="G497" s="25"/>
      <c r="H497" s="2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>
      <c r="A498" s="2" t="s">
        <v>2</v>
      </c>
      <c r="B498" s="2" t="s">
        <v>3</v>
      </c>
      <c r="C498" s="2" t="s">
        <v>4</v>
      </c>
      <c r="D498" s="2" t="s">
        <v>5</v>
      </c>
      <c r="E498" s="2" t="s">
        <v>6</v>
      </c>
      <c r="F498" s="3" t="s">
        <v>7</v>
      </c>
      <c r="G498" s="2" t="s">
        <v>8</v>
      </c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6.25">
      <c r="A499" s="5">
        <v>1</v>
      </c>
      <c r="B499" s="6" t="s">
        <v>75</v>
      </c>
      <c r="C499" s="7" t="s">
        <v>162</v>
      </c>
      <c r="D499" s="6" t="s">
        <v>10</v>
      </c>
      <c r="E499" s="6">
        <v>1.2</v>
      </c>
      <c r="F499" s="8">
        <v>293000</v>
      </c>
      <c r="G499" s="9">
        <f t="shared" ref="G499:G502" si="25">IFERROR(E499*F499,0)</f>
        <v>351600</v>
      </c>
      <c r="H499" s="1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6.25">
      <c r="A500" s="5">
        <v>2</v>
      </c>
      <c r="B500" s="13" t="s">
        <v>163</v>
      </c>
      <c r="C500" s="13" t="s">
        <v>164</v>
      </c>
      <c r="D500" s="22" t="s">
        <v>62</v>
      </c>
      <c r="E500" s="13">
        <v>1.5</v>
      </c>
      <c r="F500" s="14">
        <v>435000</v>
      </c>
      <c r="G500" s="9">
        <f t="shared" si="25"/>
        <v>652500</v>
      </c>
      <c r="H500" s="1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6.25">
      <c r="A501" s="5">
        <v>3</v>
      </c>
      <c r="B501" s="6" t="s">
        <v>31</v>
      </c>
      <c r="C501" s="16" t="s">
        <v>165</v>
      </c>
      <c r="D501" s="6" t="s">
        <v>10</v>
      </c>
      <c r="E501" s="6">
        <v>0.98</v>
      </c>
      <c r="F501" s="8">
        <v>293000</v>
      </c>
      <c r="G501" s="9">
        <f t="shared" si="25"/>
        <v>287140</v>
      </c>
      <c r="H501" s="1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6.25">
      <c r="A502" s="5">
        <v>4</v>
      </c>
      <c r="B502" s="17" t="s">
        <v>14</v>
      </c>
      <c r="C502" s="10"/>
      <c r="D502" s="10"/>
      <c r="E502" s="10"/>
      <c r="F502" s="10"/>
      <c r="G502" s="18">
        <f t="shared" si="25"/>
        <v>0</v>
      </c>
      <c r="H502" s="1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6.25">
      <c r="A503" s="27" t="s">
        <v>15</v>
      </c>
      <c r="B503" s="25"/>
      <c r="C503" s="25"/>
      <c r="D503" s="25"/>
      <c r="E503" s="25"/>
      <c r="F503" s="25"/>
      <c r="G503" s="26"/>
      <c r="H503" s="19">
        <f>SUM(G499:G502)</f>
        <v>1291240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6.25">
      <c r="A504" s="27" t="s">
        <v>16</v>
      </c>
      <c r="B504" s="25"/>
      <c r="C504" s="25"/>
      <c r="D504" s="25"/>
      <c r="E504" s="25"/>
      <c r="F504" s="25"/>
      <c r="G504" s="26"/>
      <c r="H504" s="19">
        <f>MAX(0,H503-648000)</f>
        <v>643240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6.25">
      <c r="A505" s="28" t="s">
        <v>17</v>
      </c>
      <c r="B505" s="25"/>
      <c r="C505" s="25"/>
      <c r="D505" s="25"/>
      <c r="E505" s="25"/>
      <c r="F505" s="25"/>
      <c r="G505" s="26"/>
      <c r="H505" s="20">
        <v>649000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6.25">
      <c r="A506" s="24"/>
      <c r="B506" s="25"/>
      <c r="C506" s="25"/>
      <c r="D506" s="25"/>
      <c r="E506" s="25"/>
      <c r="F506" s="25"/>
      <c r="G506" s="25"/>
      <c r="H506" s="2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>
      <c r="I507" s="1"/>
    </row>
    <row r="508" spans="1:26" ht="15">
      <c r="I508" s="1"/>
    </row>
    <row r="509" spans="1:26" ht="15">
      <c r="I509" s="1"/>
    </row>
    <row r="510" spans="1:26" ht="15">
      <c r="I510" s="1"/>
    </row>
    <row r="511" spans="1:26" ht="15">
      <c r="I511" s="1"/>
    </row>
    <row r="512" spans="1:26" ht="15">
      <c r="I512" s="1"/>
    </row>
    <row r="513" spans="1:26" ht="15">
      <c r="I513" s="1"/>
    </row>
    <row r="514" spans="1:26" ht="15">
      <c r="I514" s="1"/>
    </row>
    <row r="515" spans="1:26" ht="15">
      <c r="I515" s="1"/>
    </row>
    <row r="516" spans="1:26" ht="26.25">
      <c r="A516" s="24" t="s">
        <v>0</v>
      </c>
      <c r="B516" s="25"/>
      <c r="C516" s="25"/>
      <c r="D516" s="25"/>
      <c r="E516" s="25"/>
      <c r="F516" s="25"/>
      <c r="G516" s="25"/>
      <c r="H516" s="2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6.25">
      <c r="A517" s="24" t="s">
        <v>166</v>
      </c>
      <c r="B517" s="25"/>
      <c r="C517" s="25"/>
      <c r="D517" s="25"/>
      <c r="E517" s="25"/>
      <c r="F517" s="25"/>
      <c r="G517" s="25"/>
      <c r="H517" s="2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>
      <c r="A518" s="2" t="s">
        <v>2</v>
      </c>
      <c r="B518" s="2" t="s">
        <v>3</v>
      </c>
      <c r="C518" s="2" t="s">
        <v>4</v>
      </c>
      <c r="D518" s="2" t="s">
        <v>5</v>
      </c>
      <c r="E518" s="2" t="s">
        <v>6</v>
      </c>
      <c r="F518" s="3" t="s">
        <v>7</v>
      </c>
      <c r="G518" s="2" t="s">
        <v>8</v>
      </c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6.25">
      <c r="A519" s="5">
        <v>1</v>
      </c>
      <c r="B519" s="6" t="s">
        <v>167</v>
      </c>
      <c r="C519" s="7" t="s">
        <v>47</v>
      </c>
      <c r="D519" s="6" t="s">
        <v>10</v>
      </c>
      <c r="E519" s="6">
        <v>1.3</v>
      </c>
      <c r="F519" s="8">
        <v>293000</v>
      </c>
      <c r="G519" s="9">
        <f t="shared" ref="G519:G522" si="26">IFERROR(E519*F519,0)</f>
        <v>380900</v>
      </c>
      <c r="H519" s="1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6.25">
      <c r="A520" s="5">
        <v>2</v>
      </c>
      <c r="B520" s="6" t="s">
        <v>168</v>
      </c>
      <c r="C520" s="12" t="s">
        <v>169</v>
      </c>
      <c r="D520" s="13" t="s">
        <v>12</v>
      </c>
      <c r="E520" s="13">
        <v>1</v>
      </c>
      <c r="F520" s="14">
        <v>435000</v>
      </c>
      <c r="G520" s="9">
        <f t="shared" si="26"/>
        <v>435000</v>
      </c>
      <c r="H520" s="1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6.25">
      <c r="A521" s="5">
        <v>3</v>
      </c>
      <c r="B521" s="6" t="s">
        <v>170</v>
      </c>
      <c r="C521" s="16" t="s">
        <v>171</v>
      </c>
      <c r="D521" s="6" t="s">
        <v>10</v>
      </c>
      <c r="E521" s="6">
        <v>0.8</v>
      </c>
      <c r="F521" s="8">
        <v>293000</v>
      </c>
      <c r="G521" s="9">
        <f t="shared" si="26"/>
        <v>234400</v>
      </c>
      <c r="H521" s="1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6.25">
      <c r="A522" s="5">
        <v>4</v>
      </c>
      <c r="B522" s="17" t="s">
        <v>14</v>
      </c>
      <c r="C522" s="10"/>
      <c r="D522" s="10"/>
      <c r="E522" s="10"/>
      <c r="F522" s="10"/>
      <c r="G522" s="18">
        <f t="shared" si="26"/>
        <v>0</v>
      </c>
      <c r="H522" s="1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6.25">
      <c r="A523" s="27" t="s">
        <v>15</v>
      </c>
      <c r="B523" s="25"/>
      <c r="C523" s="25"/>
      <c r="D523" s="25"/>
      <c r="E523" s="25"/>
      <c r="F523" s="25"/>
      <c r="G523" s="26"/>
      <c r="H523" s="19">
        <f>SUM(G519:G522)</f>
        <v>1050300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6.25">
      <c r="A524" s="27" t="s">
        <v>16</v>
      </c>
      <c r="B524" s="25"/>
      <c r="C524" s="25"/>
      <c r="D524" s="25"/>
      <c r="E524" s="25"/>
      <c r="F524" s="25"/>
      <c r="G524" s="26"/>
      <c r="H524" s="19">
        <f>MAX(0,H523-648000)</f>
        <v>402300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6.25">
      <c r="A525" s="28" t="s">
        <v>17</v>
      </c>
      <c r="B525" s="25"/>
      <c r="C525" s="25"/>
      <c r="D525" s="25"/>
      <c r="E525" s="25"/>
      <c r="F525" s="25"/>
      <c r="G525" s="26"/>
      <c r="H525" s="20">
        <v>649000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6.25">
      <c r="A526" s="24"/>
      <c r="B526" s="25"/>
      <c r="C526" s="25"/>
      <c r="D526" s="25"/>
      <c r="E526" s="25"/>
      <c r="F526" s="25"/>
      <c r="G526" s="25"/>
      <c r="H526" s="2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>
      <c r="I527" s="1"/>
    </row>
    <row r="528" spans="1:26" ht="15">
      <c r="I528" s="1"/>
    </row>
    <row r="529" spans="1:26" ht="15">
      <c r="I529" s="1"/>
    </row>
    <row r="530" spans="1:26" ht="15">
      <c r="I530" s="1"/>
    </row>
    <row r="531" spans="1:26" ht="15">
      <c r="I531" s="1"/>
    </row>
    <row r="532" spans="1:26" ht="15">
      <c r="I532" s="1"/>
    </row>
    <row r="533" spans="1:26" ht="15" customHeight="1">
      <c r="I533" s="1"/>
    </row>
    <row r="534" spans="1:26" ht="15">
      <c r="I534" s="1"/>
    </row>
    <row r="535" spans="1:26" ht="26.25">
      <c r="A535" s="24" t="s">
        <v>0</v>
      </c>
      <c r="B535" s="25"/>
      <c r="C535" s="25"/>
      <c r="D535" s="25"/>
      <c r="E535" s="25"/>
      <c r="F535" s="25"/>
      <c r="G535" s="25"/>
      <c r="H535" s="2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6.25">
      <c r="A536" s="24" t="s">
        <v>172</v>
      </c>
      <c r="B536" s="25"/>
      <c r="C536" s="25"/>
      <c r="D536" s="25"/>
      <c r="E536" s="25"/>
      <c r="F536" s="25"/>
      <c r="G536" s="25"/>
      <c r="H536" s="2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>
      <c r="A537" s="2" t="s">
        <v>2</v>
      </c>
      <c r="B537" s="2" t="s">
        <v>3</v>
      </c>
      <c r="C537" s="2" t="s">
        <v>4</v>
      </c>
      <c r="D537" s="2" t="s">
        <v>5</v>
      </c>
      <c r="E537" s="2" t="s">
        <v>6</v>
      </c>
      <c r="F537" s="3" t="s">
        <v>7</v>
      </c>
      <c r="G537" s="2" t="s">
        <v>8</v>
      </c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6.25">
      <c r="A538" s="5">
        <v>1</v>
      </c>
      <c r="B538" s="6" t="s">
        <v>68</v>
      </c>
      <c r="C538" s="7">
        <v>3830</v>
      </c>
      <c r="D538" s="6" t="s">
        <v>10</v>
      </c>
      <c r="E538" s="6">
        <v>1</v>
      </c>
      <c r="F538" s="8">
        <v>293000</v>
      </c>
      <c r="G538" s="9">
        <f t="shared" ref="G538:G541" si="27">IFERROR(E538*F538,0)</f>
        <v>293000</v>
      </c>
      <c r="H538" s="1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6.25">
      <c r="A539" s="5">
        <v>2</v>
      </c>
      <c r="B539" s="13" t="s">
        <v>173</v>
      </c>
      <c r="C539" s="12" t="s">
        <v>174</v>
      </c>
      <c r="D539" s="13" t="s">
        <v>12</v>
      </c>
      <c r="E539" s="13">
        <v>1.45</v>
      </c>
      <c r="F539" s="14">
        <v>435000</v>
      </c>
      <c r="G539" s="9">
        <f t="shared" si="27"/>
        <v>630750</v>
      </c>
      <c r="H539" s="1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6.25">
      <c r="A540" s="5">
        <v>3</v>
      </c>
      <c r="B540" s="6" t="s">
        <v>175</v>
      </c>
      <c r="C540" s="16" t="s">
        <v>176</v>
      </c>
      <c r="D540" s="6" t="s">
        <v>10</v>
      </c>
      <c r="E540" s="6">
        <v>0.97</v>
      </c>
      <c r="F540" s="8">
        <v>293000</v>
      </c>
      <c r="G540" s="9">
        <f t="shared" si="27"/>
        <v>284210</v>
      </c>
      <c r="H540" s="1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6.25">
      <c r="A541" s="5">
        <v>4</v>
      </c>
      <c r="B541" s="17" t="s">
        <v>14</v>
      </c>
      <c r="C541" s="10"/>
      <c r="D541" s="10"/>
      <c r="E541" s="10"/>
      <c r="F541" s="10"/>
      <c r="G541" s="18">
        <f t="shared" si="27"/>
        <v>0</v>
      </c>
      <c r="H541" s="1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6.25">
      <c r="A542" s="27" t="s">
        <v>15</v>
      </c>
      <c r="B542" s="25"/>
      <c r="C542" s="25"/>
      <c r="D542" s="25"/>
      <c r="E542" s="25"/>
      <c r="F542" s="25"/>
      <c r="G542" s="26"/>
      <c r="H542" s="19">
        <f>SUM(G538:G541)</f>
        <v>1207960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6.25">
      <c r="A543" s="27" t="s">
        <v>16</v>
      </c>
      <c r="B543" s="25"/>
      <c r="C543" s="25"/>
      <c r="D543" s="25"/>
      <c r="E543" s="25"/>
      <c r="F543" s="25"/>
      <c r="G543" s="26"/>
      <c r="H543" s="19">
        <f>MAX(0,H542-648000)</f>
        <v>559960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6.25">
      <c r="A544" s="28" t="s">
        <v>17</v>
      </c>
      <c r="B544" s="25"/>
      <c r="C544" s="25"/>
      <c r="D544" s="25"/>
      <c r="E544" s="25"/>
      <c r="F544" s="25"/>
      <c r="G544" s="26"/>
      <c r="H544" s="20">
        <v>649000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6.25">
      <c r="A545" s="24"/>
      <c r="B545" s="25"/>
      <c r="C545" s="25"/>
      <c r="D545" s="25"/>
      <c r="E545" s="25"/>
      <c r="F545" s="25"/>
      <c r="G545" s="25"/>
      <c r="H545" s="2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>
      <c r="I546" s="1"/>
    </row>
    <row r="547" spans="1:26" ht="15">
      <c r="I547" s="1"/>
    </row>
    <row r="548" spans="1:26" ht="15">
      <c r="I548" s="1"/>
    </row>
    <row r="549" spans="1:26" ht="15">
      <c r="I549" s="1"/>
    </row>
    <row r="550" spans="1:26" ht="15">
      <c r="I550" s="1"/>
    </row>
    <row r="551" spans="1:26" ht="15">
      <c r="I551" s="1"/>
    </row>
    <row r="552" spans="1:26" ht="15">
      <c r="I552" s="1"/>
    </row>
    <row r="553" spans="1:26" ht="15">
      <c r="I553" s="1"/>
    </row>
    <row r="554" spans="1:26" ht="26.25">
      <c r="A554" s="24" t="s">
        <v>0</v>
      </c>
      <c r="B554" s="25"/>
      <c r="C554" s="25"/>
      <c r="D554" s="25"/>
      <c r="E554" s="25"/>
      <c r="F554" s="25"/>
      <c r="G554" s="25"/>
      <c r="H554" s="2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6.25">
      <c r="A555" s="24" t="s">
        <v>177</v>
      </c>
      <c r="B555" s="25"/>
      <c r="C555" s="25"/>
      <c r="D555" s="25"/>
      <c r="E555" s="25"/>
      <c r="F555" s="25"/>
      <c r="G555" s="25"/>
      <c r="H555" s="2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>
      <c r="A556" s="2" t="s">
        <v>2</v>
      </c>
      <c r="B556" s="2" t="s">
        <v>3</v>
      </c>
      <c r="C556" s="2" t="s">
        <v>4</v>
      </c>
      <c r="D556" s="2" t="s">
        <v>5</v>
      </c>
      <c r="E556" s="2" t="s">
        <v>6</v>
      </c>
      <c r="F556" s="3" t="s">
        <v>7</v>
      </c>
      <c r="G556" s="2" t="s">
        <v>8</v>
      </c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6.25">
      <c r="A557" s="5">
        <v>1</v>
      </c>
      <c r="B557" s="6" t="s">
        <v>125</v>
      </c>
      <c r="C557" s="7" t="s">
        <v>178</v>
      </c>
      <c r="D557" s="6" t="s">
        <v>10</v>
      </c>
      <c r="E557" s="6">
        <v>1.2</v>
      </c>
      <c r="F557" s="8">
        <v>293000</v>
      </c>
      <c r="G557" s="9">
        <f t="shared" ref="G557:G560" si="28">IFERROR(E557*F557,0)</f>
        <v>351600</v>
      </c>
      <c r="H557" s="1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6.25">
      <c r="A558" s="5">
        <v>2</v>
      </c>
      <c r="B558" s="13" t="s">
        <v>73</v>
      </c>
      <c r="C558" s="12" t="s">
        <v>179</v>
      </c>
      <c r="D558" s="13" t="s">
        <v>12</v>
      </c>
      <c r="E558" s="13">
        <v>1.37</v>
      </c>
      <c r="F558" s="14">
        <v>435000</v>
      </c>
      <c r="G558" s="9">
        <f t="shared" si="28"/>
        <v>595950</v>
      </c>
      <c r="H558" s="1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6.25">
      <c r="A559" s="5">
        <v>3</v>
      </c>
      <c r="B559" s="6" t="s">
        <v>93</v>
      </c>
      <c r="C559" s="16" t="s">
        <v>180</v>
      </c>
      <c r="D559" s="6" t="s">
        <v>10</v>
      </c>
      <c r="E559" s="6">
        <v>1</v>
      </c>
      <c r="F559" s="8">
        <v>293000</v>
      </c>
      <c r="G559" s="9">
        <f t="shared" si="28"/>
        <v>293000</v>
      </c>
      <c r="H559" s="1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6.25">
      <c r="A560" s="5">
        <v>4</v>
      </c>
      <c r="B560" s="17" t="s">
        <v>14</v>
      </c>
      <c r="C560" s="10"/>
      <c r="D560" s="10"/>
      <c r="E560" s="10"/>
      <c r="F560" s="10"/>
      <c r="G560" s="18">
        <f t="shared" si="28"/>
        <v>0</v>
      </c>
      <c r="H560" s="1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6.25">
      <c r="A561" s="27" t="s">
        <v>15</v>
      </c>
      <c r="B561" s="25"/>
      <c r="C561" s="25"/>
      <c r="D561" s="25"/>
      <c r="E561" s="25"/>
      <c r="F561" s="25"/>
      <c r="G561" s="26"/>
      <c r="H561" s="19">
        <f>SUM(G557:G560)</f>
        <v>1240550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6.25">
      <c r="A562" s="27" t="s">
        <v>16</v>
      </c>
      <c r="B562" s="25"/>
      <c r="C562" s="25"/>
      <c r="D562" s="25"/>
      <c r="E562" s="25"/>
      <c r="F562" s="25"/>
      <c r="G562" s="26"/>
      <c r="H562" s="19">
        <f>MAX(0,H561-648000)</f>
        <v>592550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6.25">
      <c r="A563" s="28" t="s">
        <v>17</v>
      </c>
      <c r="B563" s="25"/>
      <c r="C563" s="25"/>
      <c r="D563" s="25"/>
      <c r="E563" s="25"/>
      <c r="F563" s="25"/>
      <c r="G563" s="26"/>
      <c r="H563" s="20">
        <v>649000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6.25">
      <c r="A564" s="24"/>
      <c r="B564" s="25"/>
      <c r="C564" s="25"/>
      <c r="D564" s="25"/>
      <c r="E564" s="25"/>
      <c r="F564" s="25"/>
      <c r="G564" s="25"/>
      <c r="H564" s="2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>
      <c r="I565" s="1"/>
    </row>
    <row r="566" spans="1:26" ht="15">
      <c r="I566" s="1"/>
    </row>
    <row r="567" spans="1:26" ht="15">
      <c r="I567" s="1"/>
    </row>
    <row r="568" spans="1:26" ht="15">
      <c r="I568" s="1"/>
    </row>
    <row r="569" spans="1:26" ht="15">
      <c r="I569" s="1"/>
    </row>
    <row r="570" spans="1:26" ht="15">
      <c r="I570" s="1"/>
    </row>
    <row r="571" spans="1:26" ht="26.25">
      <c r="A571" s="24" t="s">
        <v>0</v>
      </c>
      <c r="B571" s="25"/>
      <c r="C571" s="25"/>
      <c r="D571" s="25"/>
      <c r="E571" s="25"/>
      <c r="F571" s="25"/>
      <c r="G571" s="25"/>
      <c r="H571" s="2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6.25">
      <c r="A572" s="24" t="s">
        <v>181</v>
      </c>
      <c r="B572" s="25"/>
      <c r="C572" s="25"/>
      <c r="D572" s="25"/>
      <c r="E572" s="25"/>
      <c r="F572" s="25"/>
      <c r="G572" s="25"/>
      <c r="H572" s="2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>
      <c r="A573" s="2" t="s">
        <v>2</v>
      </c>
      <c r="B573" s="2" t="s">
        <v>3</v>
      </c>
      <c r="C573" s="2" t="s">
        <v>4</v>
      </c>
      <c r="D573" s="2" t="s">
        <v>5</v>
      </c>
      <c r="E573" s="2" t="s">
        <v>6</v>
      </c>
      <c r="F573" s="3" t="s">
        <v>7</v>
      </c>
      <c r="G573" s="2" t="s">
        <v>8</v>
      </c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6.25">
      <c r="A574" s="5">
        <v>1</v>
      </c>
      <c r="B574" s="6" t="s">
        <v>182</v>
      </c>
      <c r="C574" s="7" t="s">
        <v>183</v>
      </c>
      <c r="D574" s="6" t="s">
        <v>10</v>
      </c>
      <c r="E574" s="6">
        <v>1.22</v>
      </c>
      <c r="F574" s="8">
        <v>293000</v>
      </c>
      <c r="G574" s="9">
        <f t="shared" ref="G574:G577" si="29">IFERROR(E574*F574,0)</f>
        <v>357460</v>
      </c>
      <c r="H574" s="1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6.25">
      <c r="A575" s="5">
        <v>2</v>
      </c>
      <c r="B575" s="13" t="s">
        <v>150</v>
      </c>
      <c r="C575" s="12" t="s">
        <v>184</v>
      </c>
      <c r="D575" s="13" t="s">
        <v>12</v>
      </c>
      <c r="E575" s="13">
        <v>1.2</v>
      </c>
      <c r="F575" s="14">
        <v>435000</v>
      </c>
      <c r="G575" s="9">
        <f t="shared" si="29"/>
        <v>522000</v>
      </c>
      <c r="H575" s="1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6.25">
      <c r="A576" s="5">
        <v>3</v>
      </c>
      <c r="B576" s="6" t="s">
        <v>185</v>
      </c>
      <c r="C576" s="16" t="s">
        <v>186</v>
      </c>
      <c r="D576" s="6" t="s">
        <v>10</v>
      </c>
      <c r="E576" s="6">
        <v>1.1499999999999999</v>
      </c>
      <c r="F576" s="8">
        <v>293000</v>
      </c>
      <c r="G576" s="9">
        <f t="shared" si="29"/>
        <v>336950</v>
      </c>
      <c r="H576" s="1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6.25">
      <c r="A577" s="5">
        <v>4</v>
      </c>
      <c r="B577" s="17" t="s">
        <v>14</v>
      </c>
      <c r="C577" s="10"/>
      <c r="D577" s="10"/>
      <c r="E577" s="10"/>
      <c r="F577" s="10"/>
      <c r="G577" s="18">
        <f t="shared" si="29"/>
        <v>0</v>
      </c>
      <c r="H577" s="1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6.25">
      <c r="A578" s="27" t="s">
        <v>15</v>
      </c>
      <c r="B578" s="25"/>
      <c r="C578" s="25"/>
      <c r="D578" s="25"/>
      <c r="E578" s="25"/>
      <c r="F578" s="25"/>
      <c r="G578" s="26"/>
      <c r="H578" s="19">
        <f>SUM(G574:G577)</f>
        <v>1216410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6.25">
      <c r="A579" s="27" t="s">
        <v>16</v>
      </c>
      <c r="B579" s="25"/>
      <c r="C579" s="25"/>
      <c r="D579" s="25"/>
      <c r="E579" s="25"/>
      <c r="F579" s="25"/>
      <c r="G579" s="26"/>
      <c r="H579" s="19">
        <f>MAX(0,H578-648000)</f>
        <v>568410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6.25">
      <c r="A580" s="28" t="s">
        <v>17</v>
      </c>
      <c r="B580" s="25"/>
      <c r="C580" s="25"/>
      <c r="D580" s="25"/>
      <c r="E580" s="25"/>
      <c r="F580" s="25"/>
      <c r="G580" s="26"/>
      <c r="H580" s="20">
        <v>649000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6.25">
      <c r="A581" s="24"/>
      <c r="B581" s="25"/>
      <c r="C581" s="25"/>
      <c r="D581" s="25"/>
      <c r="E581" s="25"/>
      <c r="F581" s="25"/>
      <c r="G581" s="25"/>
      <c r="H581" s="2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>
      <c r="I582" s="1"/>
    </row>
    <row r="583" spans="1:26" ht="15">
      <c r="I583" s="1"/>
    </row>
    <row r="584" spans="1:26" ht="15">
      <c r="I584" s="1"/>
    </row>
    <row r="585" spans="1:26" ht="15">
      <c r="I585" s="1"/>
    </row>
    <row r="586" spans="1:26" ht="15">
      <c r="I586" s="1"/>
    </row>
    <row r="587" spans="1:26" ht="15">
      <c r="I587" s="1"/>
    </row>
    <row r="588" spans="1:26" ht="26.25">
      <c r="A588" s="24" t="s">
        <v>0</v>
      </c>
      <c r="B588" s="25"/>
      <c r="C588" s="25"/>
      <c r="D588" s="25"/>
      <c r="E588" s="25"/>
      <c r="F588" s="25"/>
      <c r="G588" s="25"/>
      <c r="H588" s="2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6.25">
      <c r="A589" s="24" t="s">
        <v>187</v>
      </c>
      <c r="B589" s="25"/>
      <c r="C589" s="25"/>
      <c r="D589" s="25"/>
      <c r="E589" s="25"/>
      <c r="F589" s="25"/>
      <c r="G589" s="25"/>
      <c r="H589" s="2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>
      <c r="A590" s="2" t="s">
        <v>2</v>
      </c>
      <c r="B590" s="2" t="s">
        <v>3</v>
      </c>
      <c r="C590" s="2" t="s">
        <v>4</v>
      </c>
      <c r="D590" s="2" t="s">
        <v>5</v>
      </c>
      <c r="E590" s="2" t="s">
        <v>6</v>
      </c>
      <c r="F590" s="3" t="s">
        <v>7</v>
      </c>
      <c r="G590" s="2" t="s">
        <v>8</v>
      </c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6.25">
      <c r="A591" s="5">
        <v>1</v>
      </c>
      <c r="B591" s="6" t="s">
        <v>188</v>
      </c>
      <c r="C591" s="7" t="s">
        <v>189</v>
      </c>
      <c r="D591" s="6" t="s">
        <v>10</v>
      </c>
      <c r="E591" s="6">
        <v>1</v>
      </c>
      <c r="F591" s="8">
        <v>293000</v>
      </c>
      <c r="G591" s="9">
        <f t="shared" ref="G591:G594" si="30">IFERROR(E591*F591,0)</f>
        <v>293000</v>
      </c>
      <c r="H591" s="1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6.25">
      <c r="A592" s="5">
        <v>2</v>
      </c>
      <c r="B592" s="13" t="s">
        <v>159</v>
      </c>
      <c r="C592" s="12" t="s">
        <v>190</v>
      </c>
      <c r="D592" s="13" t="s">
        <v>12</v>
      </c>
      <c r="E592" s="13">
        <v>1.6</v>
      </c>
      <c r="F592" s="14">
        <v>435000</v>
      </c>
      <c r="G592" s="9">
        <f t="shared" si="30"/>
        <v>696000</v>
      </c>
      <c r="H592" s="1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6.25">
      <c r="A593" s="5">
        <v>3</v>
      </c>
      <c r="B593" s="6" t="s">
        <v>191</v>
      </c>
      <c r="C593" s="16" t="s">
        <v>192</v>
      </c>
      <c r="D593" s="6" t="s">
        <v>10</v>
      </c>
      <c r="E593" s="6">
        <v>1.1000000000000001</v>
      </c>
      <c r="F593" s="8">
        <v>293000</v>
      </c>
      <c r="G593" s="9">
        <f t="shared" si="30"/>
        <v>322300</v>
      </c>
      <c r="H593" s="1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6.25">
      <c r="A594" s="5">
        <v>4</v>
      </c>
      <c r="B594" s="17" t="s">
        <v>14</v>
      </c>
      <c r="C594" s="10"/>
      <c r="D594" s="10"/>
      <c r="E594" s="10"/>
      <c r="F594" s="10"/>
      <c r="G594" s="18">
        <f t="shared" si="30"/>
        <v>0</v>
      </c>
      <c r="H594" s="1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6.25">
      <c r="A595" s="27" t="s">
        <v>15</v>
      </c>
      <c r="B595" s="25"/>
      <c r="C595" s="25"/>
      <c r="D595" s="25"/>
      <c r="E595" s="25"/>
      <c r="F595" s="25"/>
      <c r="G595" s="26"/>
      <c r="H595" s="19">
        <f>SUM(G591:G594)</f>
        <v>1311300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6.25">
      <c r="A596" s="27" t="s">
        <v>16</v>
      </c>
      <c r="B596" s="25"/>
      <c r="C596" s="25"/>
      <c r="D596" s="25"/>
      <c r="E596" s="25"/>
      <c r="F596" s="25"/>
      <c r="G596" s="26"/>
      <c r="H596" s="19">
        <f>MAX(0,H595-648000)</f>
        <v>663300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6.25">
      <c r="A597" s="28" t="s">
        <v>17</v>
      </c>
      <c r="B597" s="25"/>
      <c r="C597" s="25"/>
      <c r="D597" s="25"/>
      <c r="E597" s="25"/>
      <c r="F597" s="25"/>
      <c r="G597" s="26"/>
      <c r="H597" s="20">
        <v>649000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6.25">
      <c r="A598" s="24"/>
      <c r="B598" s="25"/>
      <c r="C598" s="25"/>
      <c r="D598" s="25"/>
      <c r="E598" s="25"/>
      <c r="F598" s="25"/>
      <c r="G598" s="25"/>
      <c r="H598" s="2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>
      <c r="I599" s="1"/>
    </row>
    <row r="600" spans="1:26" ht="15">
      <c r="I600" s="1"/>
    </row>
    <row r="601" spans="1:26" ht="15">
      <c r="I601" s="1"/>
    </row>
    <row r="602" spans="1:26" ht="15">
      <c r="I602" s="1"/>
    </row>
    <row r="603" spans="1:26" ht="15">
      <c r="I603" s="1"/>
    </row>
    <row r="604" spans="1:26" ht="15">
      <c r="I604" s="1"/>
    </row>
    <row r="605" spans="1:26" ht="26.25">
      <c r="A605" s="24" t="s">
        <v>0</v>
      </c>
      <c r="B605" s="25"/>
      <c r="C605" s="25"/>
      <c r="D605" s="25"/>
      <c r="E605" s="25"/>
      <c r="F605" s="25"/>
      <c r="G605" s="25"/>
      <c r="H605" s="2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6.25">
      <c r="A606" s="24" t="s">
        <v>193</v>
      </c>
      <c r="B606" s="25"/>
      <c r="C606" s="25"/>
      <c r="D606" s="25"/>
      <c r="E606" s="25"/>
      <c r="F606" s="25"/>
      <c r="G606" s="25"/>
      <c r="H606" s="2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>
      <c r="A607" s="2" t="s">
        <v>2</v>
      </c>
      <c r="B607" s="2" t="s">
        <v>3</v>
      </c>
      <c r="C607" s="2" t="s">
        <v>4</v>
      </c>
      <c r="D607" s="2" t="s">
        <v>5</v>
      </c>
      <c r="E607" s="2" t="s">
        <v>6</v>
      </c>
      <c r="F607" s="3" t="s">
        <v>7</v>
      </c>
      <c r="G607" s="2" t="s">
        <v>8</v>
      </c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6.25">
      <c r="A608" s="5">
        <v>1</v>
      </c>
      <c r="B608" s="6" t="s">
        <v>194</v>
      </c>
      <c r="C608" s="7" t="s">
        <v>195</v>
      </c>
      <c r="D608" s="6" t="s">
        <v>10</v>
      </c>
      <c r="E608" s="6">
        <v>1.32</v>
      </c>
      <c r="F608" s="8">
        <v>293000</v>
      </c>
      <c r="G608" s="9">
        <f t="shared" ref="G608:G611" si="31">IFERROR(E608*F608,0)</f>
        <v>386760</v>
      </c>
      <c r="H608" s="1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6.25">
      <c r="A609" s="5">
        <v>2</v>
      </c>
      <c r="B609" s="13" t="s">
        <v>150</v>
      </c>
      <c r="C609" s="12" t="s">
        <v>196</v>
      </c>
      <c r="D609" s="13" t="s">
        <v>12</v>
      </c>
      <c r="E609" s="13">
        <v>1.2</v>
      </c>
      <c r="F609" s="14">
        <v>435000</v>
      </c>
      <c r="G609" s="9">
        <f t="shared" si="31"/>
        <v>522000</v>
      </c>
      <c r="H609" s="1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6.25">
      <c r="A610" s="5">
        <v>3</v>
      </c>
      <c r="B610" s="6" t="s">
        <v>197</v>
      </c>
      <c r="C610" s="16" t="s">
        <v>198</v>
      </c>
      <c r="D610" s="6" t="s">
        <v>10</v>
      </c>
      <c r="E610" s="6">
        <v>1</v>
      </c>
      <c r="F610" s="8">
        <v>293000</v>
      </c>
      <c r="G610" s="9">
        <f t="shared" si="31"/>
        <v>293000</v>
      </c>
      <c r="H610" s="1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6.25">
      <c r="A611" s="5">
        <v>4</v>
      </c>
      <c r="B611" s="17" t="s">
        <v>14</v>
      </c>
      <c r="C611" s="10"/>
      <c r="D611" s="10"/>
      <c r="E611" s="10"/>
      <c r="F611" s="10"/>
      <c r="G611" s="18">
        <f t="shared" si="31"/>
        <v>0</v>
      </c>
      <c r="H611" s="1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6.25">
      <c r="A612" s="27" t="s">
        <v>15</v>
      </c>
      <c r="B612" s="25"/>
      <c r="C612" s="25"/>
      <c r="D612" s="25"/>
      <c r="E612" s="25"/>
      <c r="F612" s="25"/>
      <c r="G612" s="26"/>
      <c r="H612" s="19">
        <f>SUM(G608:G611)</f>
        <v>1201760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6.25">
      <c r="A613" s="27" t="s">
        <v>16</v>
      </c>
      <c r="B613" s="25"/>
      <c r="C613" s="25"/>
      <c r="D613" s="25"/>
      <c r="E613" s="25"/>
      <c r="F613" s="25"/>
      <c r="G613" s="26"/>
      <c r="H613" s="19">
        <f>MAX(0,H612-648000)</f>
        <v>553760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6.25">
      <c r="A614" s="28" t="s">
        <v>17</v>
      </c>
      <c r="B614" s="25"/>
      <c r="C614" s="25"/>
      <c r="D614" s="25"/>
      <c r="E614" s="25"/>
      <c r="F614" s="25"/>
      <c r="G614" s="26"/>
      <c r="H614" s="20">
        <v>649000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6.25">
      <c r="A615" s="24"/>
      <c r="B615" s="25"/>
      <c r="C615" s="25"/>
      <c r="D615" s="25"/>
      <c r="E615" s="25"/>
      <c r="F615" s="25"/>
      <c r="G615" s="25"/>
      <c r="H615" s="2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>
      <c r="I616" s="1"/>
    </row>
    <row r="617" spans="1:26" ht="15">
      <c r="I617" s="1"/>
    </row>
    <row r="618" spans="1:26" ht="15">
      <c r="I618" s="1"/>
    </row>
    <row r="619" spans="1:26" ht="15">
      <c r="I619" s="1"/>
    </row>
    <row r="620" spans="1:26" ht="15">
      <c r="I620" s="1"/>
    </row>
    <row r="621" spans="1:26" ht="15">
      <c r="I621" s="1"/>
    </row>
    <row r="622" spans="1:26" ht="15">
      <c r="I622" s="1"/>
    </row>
    <row r="623" spans="1:26" ht="26.25">
      <c r="A623" s="24" t="s">
        <v>0</v>
      </c>
      <c r="B623" s="25"/>
      <c r="C623" s="25"/>
      <c r="D623" s="25"/>
      <c r="E623" s="25"/>
      <c r="F623" s="25"/>
      <c r="G623" s="25"/>
      <c r="H623" s="2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6.25">
      <c r="A624" s="24" t="s">
        <v>199</v>
      </c>
      <c r="B624" s="25"/>
      <c r="C624" s="25"/>
      <c r="D624" s="25"/>
      <c r="E624" s="25"/>
      <c r="F624" s="25"/>
      <c r="G624" s="25"/>
      <c r="H624" s="2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>
      <c r="A625" s="2" t="s">
        <v>2</v>
      </c>
      <c r="B625" s="2" t="s">
        <v>3</v>
      </c>
      <c r="C625" s="2" t="s">
        <v>4</v>
      </c>
      <c r="D625" s="2" t="s">
        <v>5</v>
      </c>
      <c r="E625" s="2" t="s">
        <v>6</v>
      </c>
      <c r="F625" s="3" t="s">
        <v>7</v>
      </c>
      <c r="G625" s="2" t="s">
        <v>8</v>
      </c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6.25">
      <c r="A626" s="5">
        <v>1</v>
      </c>
      <c r="B626" s="6" t="s">
        <v>200</v>
      </c>
      <c r="C626" s="7" t="s">
        <v>201</v>
      </c>
      <c r="D626" s="6" t="s">
        <v>10</v>
      </c>
      <c r="E626" s="6">
        <v>1</v>
      </c>
      <c r="F626" s="8">
        <v>293000</v>
      </c>
      <c r="G626" s="9">
        <f t="shared" ref="G626:G629" si="32">IFERROR(E626*F626,0)</f>
        <v>293000</v>
      </c>
      <c r="H626" s="1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6.25">
      <c r="A627" s="5">
        <v>2</v>
      </c>
      <c r="B627" s="13" t="s">
        <v>202</v>
      </c>
      <c r="C627" s="12" t="s">
        <v>203</v>
      </c>
      <c r="D627" s="13" t="s">
        <v>12</v>
      </c>
      <c r="E627" s="13">
        <v>1.4</v>
      </c>
      <c r="F627" s="14">
        <v>435000</v>
      </c>
      <c r="G627" s="9">
        <f t="shared" si="32"/>
        <v>609000</v>
      </c>
      <c r="H627" s="1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6.25">
      <c r="A628" s="5">
        <v>3</v>
      </c>
      <c r="B628" s="6" t="s">
        <v>175</v>
      </c>
      <c r="C628" s="16" t="s">
        <v>204</v>
      </c>
      <c r="D628" s="6" t="s">
        <v>127</v>
      </c>
      <c r="E628" s="6">
        <v>1.2</v>
      </c>
      <c r="F628" s="8">
        <v>293000</v>
      </c>
      <c r="G628" s="9">
        <f t="shared" si="32"/>
        <v>351600</v>
      </c>
      <c r="H628" s="1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6.25">
      <c r="A629" s="5">
        <v>4</v>
      </c>
      <c r="B629" s="17" t="s">
        <v>14</v>
      </c>
      <c r="C629" s="10"/>
      <c r="D629" s="10"/>
      <c r="E629" s="10"/>
      <c r="F629" s="10"/>
      <c r="G629" s="18">
        <f t="shared" si="32"/>
        <v>0</v>
      </c>
      <c r="H629" s="1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6.25">
      <c r="A630" s="27" t="s">
        <v>15</v>
      </c>
      <c r="B630" s="25"/>
      <c r="C630" s="25"/>
      <c r="D630" s="25"/>
      <c r="E630" s="25"/>
      <c r="F630" s="25"/>
      <c r="G630" s="26"/>
      <c r="H630" s="19">
        <f>SUM(G626:G629)</f>
        <v>1253600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6.25">
      <c r="A631" s="27" t="s">
        <v>16</v>
      </c>
      <c r="B631" s="25"/>
      <c r="C631" s="25"/>
      <c r="D631" s="25"/>
      <c r="E631" s="25"/>
      <c r="F631" s="25"/>
      <c r="G631" s="26"/>
      <c r="H631" s="19">
        <f>MAX(0,H630-648000)</f>
        <v>605600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6.25">
      <c r="A632" s="28" t="s">
        <v>17</v>
      </c>
      <c r="B632" s="25"/>
      <c r="C632" s="25"/>
      <c r="D632" s="25"/>
      <c r="E632" s="25"/>
      <c r="F632" s="25"/>
      <c r="G632" s="26"/>
      <c r="H632" s="20">
        <v>649000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6.25">
      <c r="A633" s="24"/>
      <c r="B633" s="25"/>
      <c r="C633" s="25"/>
      <c r="D633" s="25"/>
      <c r="E633" s="25"/>
      <c r="F633" s="25"/>
      <c r="G633" s="25"/>
      <c r="H633" s="2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>
      <c r="I634" s="1"/>
    </row>
    <row r="635" spans="1:26" ht="15">
      <c r="I635" s="1"/>
    </row>
    <row r="636" spans="1:26" ht="15">
      <c r="I636" s="1"/>
    </row>
    <row r="637" spans="1:26" ht="15">
      <c r="I637" s="1"/>
    </row>
    <row r="638" spans="1:26" ht="15">
      <c r="I638" s="1"/>
    </row>
    <row r="639" spans="1:26" ht="15">
      <c r="I639" s="1"/>
    </row>
    <row r="640" spans="1:26" ht="15">
      <c r="I640" s="1"/>
    </row>
    <row r="641" spans="1:26" ht="15">
      <c r="I641" s="1"/>
    </row>
    <row r="642" spans="1:26" ht="15">
      <c r="I642" s="1"/>
    </row>
    <row r="643" spans="1:26" ht="15">
      <c r="I643" s="1"/>
    </row>
    <row r="644" spans="1:26" ht="26.25">
      <c r="A644" s="24" t="s">
        <v>0</v>
      </c>
      <c r="B644" s="25"/>
      <c r="C644" s="25"/>
      <c r="D644" s="25"/>
      <c r="E644" s="25"/>
      <c r="F644" s="25"/>
      <c r="G644" s="25"/>
      <c r="H644" s="2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6.25">
      <c r="A645" s="24" t="s">
        <v>205</v>
      </c>
      <c r="B645" s="25"/>
      <c r="C645" s="25"/>
      <c r="D645" s="25"/>
      <c r="E645" s="25"/>
      <c r="F645" s="25"/>
      <c r="G645" s="25"/>
      <c r="H645" s="2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>
      <c r="A646" s="2" t="s">
        <v>2</v>
      </c>
      <c r="B646" s="2" t="s">
        <v>3</v>
      </c>
      <c r="C646" s="2" t="s">
        <v>4</v>
      </c>
      <c r="D646" s="2" t="s">
        <v>5</v>
      </c>
      <c r="E646" s="2" t="s">
        <v>6</v>
      </c>
      <c r="F646" s="3" t="s">
        <v>7</v>
      </c>
      <c r="G646" s="2" t="s">
        <v>8</v>
      </c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6.25">
      <c r="A647" s="5">
        <v>1</v>
      </c>
      <c r="B647" s="6" t="s">
        <v>206</v>
      </c>
      <c r="C647" s="7" t="s">
        <v>207</v>
      </c>
      <c r="D647" s="6" t="s">
        <v>10</v>
      </c>
      <c r="E647" s="6">
        <v>0.96</v>
      </c>
      <c r="F647" s="8">
        <v>293000</v>
      </c>
      <c r="G647" s="9">
        <f t="shared" ref="G647:G650" si="33">IFERROR(E647*F647,0)</f>
        <v>281280</v>
      </c>
      <c r="H647" s="1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6.25">
      <c r="A648" s="5">
        <v>2</v>
      </c>
      <c r="B648" s="13" t="s">
        <v>53</v>
      </c>
      <c r="C648" s="12" t="s">
        <v>208</v>
      </c>
      <c r="D648" s="13" t="s">
        <v>12</v>
      </c>
      <c r="E648" s="13">
        <v>1.5</v>
      </c>
      <c r="F648" s="14">
        <v>435000</v>
      </c>
      <c r="G648" s="9">
        <f t="shared" si="33"/>
        <v>652500</v>
      </c>
      <c r="H648" s="1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6.25">
      <c r="A649" s="5">
        <v>3</v>
      </c>
      <c r="B649" s="6" t="s">
        <v>46</v>
      </c>
      <c r="C649" s="16" t="s">
        <v>209</v>
      </c>
      <c r="D649" s="6" t="s">
        <v>10</v>
      </c>
      <c r="E649" s="6">
        <v>1</v>
      </c>
      <c r="F649" s="8">
        <v>293000</v>
      </c>
      <c r="G649" s="9">
        <f t="shared" si="33"/>
        <v>293000</v>
      </c>
      <c r="H649" s="1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6.25">
      <c r="A650" s="5">
        <v>4</v>
      </c>
      <c r="B650" s="17" t="s">
        <v>14</v>
      </c>
      <c r="C650" s="10"/>
      <c r="D650" s="10"/>
      <c r="E650" s="10"/>
      <c r="F650" s="10"/>
      <c r="G650" s="18">
        <f t="shared" si="33"/>
        <v>0</v>
      </c>
      <c r="H650" s="1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6.25">
      <c r="A651" s="27" t="s">
        <v>15</v>
      </c>
      <c r="B651" s="25"/>
      <c r="C651" s="25"/>
      <c r="D651" s="25"/>
      <c r="E651" s="25"/>
      <c r="F651" s="25"/>
      <c r="G651" s="26"/>
      <c r="H651" s="19">
        <f>SUM(G647:G650)</f>
        <v>1226780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6.25">
      <c r="A652" s="27" t="s">
        <v>16</v>
      </c>
      <c r="B652" s="25"/>
      <c r="C652" s="25"/>
      <c r="D652" s="25"/>
      <c r="E652" s="25"/>
      <c r="F652" s="25"/>
      <c r="G652" s="26"/>
      <c r="H652" s="19">
        <f>MAX(0,H651-648000)</f>
        <v>578780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6.25">
      <c r="A653" s="28" t="s">
        <v>17</v>
      </c>
      <c r="B653" s="25"/>
      <c r="C653" s="25"/>
      <c r="D653" s="25"/>
      <c r="E653" s="25"/>
      <c r="F653" s="25"/>
      <c r="G653" s="26"/>
      <c r="H653" s="20">
        <v>649000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6.25">
      <c r="A654" s="24"/>
      <c r="B654" s="25"/>
      <c r="C654" s="25"/>
      <c r="D654" s="25"/>
      <c r="E654" s="25"/>
      <c r="F654" s="25"/>
      <c r="G654" s="25"/>
      <c r="H654" s="2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>
      <c r="I655" s="1"/>
    </row>
    <row r="656" spans="1:26" ht="15">
      <c r="I656" s="1"/>
    </row>
    <row r="657" spans="1:26" ht="15">
      <c r="I657" s="1"/>
    </row>
    <row r="658" spans="1:26" ht="15">
      <c r="I658" s="1"/>
    </row>
    <row r="659" spans="1:26" ht="15">
      <c r="I659" s="1"/>
    </row>
    <row r="660" spans="1:26" ht="15">
      <c r="I660" s="1"/>
    </row>
    <row r="661" spans="1:26" ht="26.25">
      <c r="A661" s="24" t="s">
        <v>0</v>
      </c>
      <c r="B661" s="25"/>
      <c r="C661" s="25"/>
      <c r="D661" s="25"/>
      <c r="E661" s="25"/>
      <c r="F661" s="25"/>
      <c r="G661" s="25"/>
      <c r="H661" s="2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6.25">
      <c r="A662" s="24" t="s">
        <v>210</v>
      </c>
      <c r="B662" s="25"/>
      <c r="C662" s="25"/>
      <c r="D662" s="25"/>
      <c r="E662" s="25"/>
      <c r="F662" s="25"/>
      <c r="G662" s="25"/>
      <c r="H662" s="2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>
      <c r="A663" s="2" t="s">
        <v>2</v>
      </c>
      <c r="B663" s="2" t="s">
        <v>3</v>
      </c>
      <c r="C663" s="2" t="s">
        <v>4</v>
      </c>
      <c r="D663" s="2" t="s">
        <v>5</v>
      </c>
      <c r="E663" s="2" t="s">
        <v>6</v>
      </c>
      <c r="F663" s="3" t="s">
        <v>7</v>
      </c>
      <c r="G663" s="2" t="s">
        <v>8</v>
      </c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6.25">
      <c r="A664" s="5">
        <v>1</v>
      </c>
      <c r="B664" s="6" t="s">
        <v>211</v>
      </c>
      <c r="C664" s="7" t="s">
        <v>212</v>
      </c>
      <c r="D664" s="6" t="s">
        <v>10</v>
      </c>
      <c r="E664" s="6">
        <v>1.19</v>
      </c>
      <c r="F664" s="8">
        <v>293000</v>
      </c>
      <c r="G664" s="9">
        <f t="shared" ref="G664:G667" si="34">IFERROR(E664*F664,0)</f>
        <v>348670</v>
      </c>
      <c r="H664" s="1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6.25">
      <c r="A665" s="5">
        <v>2</v>
      </c>
      <c r="B665" s="13" t="s">
        <v>213</v>
      </c>
      <c r="C665" s="12" t="s">
        <v>214</v>
      </c>
      <c r="D665" s="13" t="s">
        <v>12</v>
      </c>
      <c r="E665" s="13">
        <v>1.4</v>
      </c>
      <c r="F665" s="14">
        <v>435000</v>
      </c>
      <c r="G665" s="9">
        <f t="shared" si="34"/>
        <v>609000</v>
      </c>
      <c r="H665" s="1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6.25">
      <c r="A666" s="5">
        <v>3</v>
      </c>
      <c r="B666" s="6" t="s">
        <v>215</v>
      </c>
      <c r="C666" s="16" t="s">
        <v>216</v>
      </c>
      <c r="D666" s="6" t="s">
        <v>10</v>
      </c>
      <c r="E666" s="6">
        <v>1</v>
      </c>
      <c r="F666" s="8">
        <v>293000</v>
      </c>
      <c r="G666" s="9">
        <f t="shared" si="34"/>
        <v>293000</v>
      </c>
      <c r="H666" s="1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6.25">
      <c r="A667" s="5">
        <v>4</v>
      </c>
      <c r="B667" s="17" t="s">
        <v>14</v>
      </c>
      <c r="C667" s="10"/>
      <c r="D667" s="10"/>
      <c r="E667" s="10"/>
      <c r="F667" s="10"/>
      <c r="G667" s="18">
        <f t="shared" si="34"/>
        <v>0</v>
      </c>
      <c r="H667" s="1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6.25">
      <c r="A668" s="27" t="s">
        <v>15</v>
      </c>
      <c r="B668" s="25"/>
      <c r="C668" s="25"/>
      <c r="D668" s="25"/>
      <c r="E668" s="25"/>
      <c r="F668" s="25"/>
      <c r="G668" s="26"/>
      <c r="H668" s="19">
        <f>SUM(G664:G667)</f>
        <v>1250670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6.25">
      <c r="A669" s="27" t="s">
        <v>16</v>
      </c>
      <c r="B669" s="25"/>
      <c r="C669" s="25"/>
      <c r="D669" s="25"/>
      <c r="E669" s="25"/>
      <c r="F669" s="25"/>
      <c r="G669" s="26"/>
      <c r="H669" s="19">
        <f>MAX(0,H668-648000)</f>
        <v>602670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6.25">
      <c r="A670" s="28" t="s">
        <v>17</v>
      </c>
      <c r="B670" s="25"/>
      <c r="C670" s="25"/>
      <c r="D670" s="25"/>
      <c r="E670" s="25"/>
      <c r="F670" s="25"/>
      <c r="G670" s="26"/>
      <c r="H670" s="20">
        <v>649000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6.25">
      <c r="A671" s="24"/>
      <c r="B671" s="25"/>
      <c r="C671" s="25"/>
      <c r="D671" s="25"/>
      <c r="E671" s="25"/>
      <c r="F671" s="25"/>
      <c r="G671" s="25"/>
      <c r="H671" s="2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>
      <c r="I672" s="1"/>
    </row>
    <row r="673" spans="1:26" ht="15">
      <c r="I673" s="1"/>
    </row>
    <row r="674" spans="1:26" ht="15">
      <c r="I674" s="1"/>
    </row>
    <row r="675" spans="1:26" ht="15">
      <c r="I675" s="1"/>
    </row>
    <row r="676" spans="1:26" ht="15">
      <c r="I676" s="1"/>
    </row>
    <row r="677" spans="1:26" ht="15">
      <c r="I677" s="1"/>
    </row>
    <row r="678" spans="1:26" ht="15">
      <c r="I678" s="1"/>
    </row>
    <row r="679" spans="1:26" ht="15">
      <c r="I679" s="1"/>
    </row>
    <row r="680" spans="1:26" ht="15">
      <c r="I680" s="1"/>
    </row>
    <row r="681" spans="1:26" ht="26.25">
      <c r="A681" s="24" t="s">
        <v>0</v>
      </c>
      <c r="B681" s="25"/>
      <c r="C681" s="25"/>
      <c r="D681" s="25"/>
      <c r="E681" s="25"/>
      <c r="F681" s="25"/>
      <c r="G681" s="25"/>
      <c r="H681" s="2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6.25">
      <c r="A682" s="24" t="s">
        <v>217</v>
      </c>
      <c r="B682" s="25"/>
      <c r="C682" s="25"/>
      <c r="D682" s="25"/>
      <c r="E682" s="25"/>
      <c r="F682" s="25"/>
      <c r="G682" s="25"/>
      <c r="H682" s="2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>
      <c r="A683" s="2" t="s">
        <v>2</v>
      </c>
      <c r="B683" s="2" t="s">
        <v>3</v>
      </c>
      <c r="C683" s="2" t="s">
        <v>4</v>
      </c>
      <c r="D683" s="2" t="s">
        <v>5</v>
      </c>
      <c r="E683" s="2" t="s">
        <v>6</v>
      </c>
      <c r="F683" s="3" t="s">
        <v>7</v>
      </c>
      <c r="G683" s="2" t="s">
        <v>8</v>
      </c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6.25">
      <c r="A684" s="5">
        <v>1</v>
      </c>
      <c r="B684" s="6" t="s">
        <v>25</v>
      </c>
      <c r="C684" s="7" t="s">
        <v>218</v>
      </c>
      <c r="D684" s="6" t="s">
        <v>10</v>
      </c>
      <c r="E684" s="6">
        <v>0.95</v>
      </c>
      <c r="F684" s="8">
        <v>293000</v>
      </c>
      <c r="G684" s="9">
        <f t="shared" ref="G684:G687" si="35">IFERROR(E684*F684,0)</f>
        <v>278350</v>
      </c>
      <c r="H684" s="1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6.25">
      <c r="A685" s="5">
        <v>2</v>
      </c>
      <c r="B685" s="13" t="s">
        <v>167</v>
      </c>
      <c r="C685" s="12" t="s">
        <v>219</v>
      </c>
      <c r="D685" s="13" t="s">
        <v>12</v>
      </c>
      <c r="E685" s="13">
        <v>1.4</v>
      </c>
      <c r="F685" s="14">
        <v>435000</v>
      </c>
      <c r="G685" s="9">
        <f t="shared" si="35"/>
        <v>609000</v>
      </c>
      <c r="H685" s="1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6.25">
      <c r="A686" s="5">
        <v>3</v>
      </c>
      <c r="B686" s="6" t="s">
        <v>29</v>
      </c>
      <c r="C686" s="16" t="s">
        <v>220</v>
      </c>
      <c r="D686" s="6" t="s">
        <v>10</v>
      </c>
      <c r="E686" s="6">
        <v>1.5</v>
      </c>
      <c r="F686" s="8">
        <v>293000</v>
      </c>
      <c r="G686" s="9">
        <f t="shared" si="35"/>
        <v>439500</v>
      </c>
      <c r="H686" s="1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6.25">
      <c r="A687" s="5">
        <v>4</v>
      </c>
      <c r="B687" s="17" t="s">
        <v>14</v>
      </c>
      <c r="C687" s="10"/>
      <c r="D687" s="10"/>
      <c r="E687" s="10"/>
      <c r="F687" s="10"/>
      <c r="G687" s="18">
        <f t="shared" si="35"/>
        <v>0</v>
      </c>
      <c r="H687" s="1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6.25">
      <c r="A688" s="27" t="s">
        <v>15</v>
      </c>
      <c r="B688" s="25"/>
      <c r="C688" s="25"/>
      <c r="D688" s="25"/>
      <c r="E688" s="25"/>
      <c r="F688" s="25"/>
      <c r="G688" s="26"/>
      <c r="H688" s="19">
        <f>SUM(G684:G687)</f>
        <v>1326850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6.25">
      <c r="A689" s="27" t="s">
        <v>16</v>
      </c>
      <c r="B689" s="25"/>
      <c r="C689" s="25"/>
      <c r="D689" s="25"/>
      <c r="E689" s="25"/>
      <c r="F689" s="25"/>
      <c r="G689" s="26"/>
      <c r="H689" s="19">
        <f>MAX(0,H688-648000)</f>
        <v>678850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6.25">
      <c r="A690" s="28" t="s">
        <v>17</v>
      </c>
      <c r="B690" s="25"/>
      <c r="C690" s="25"/>
      <c r="D690" s="25"/>
      <c r="E690" s="25"/>
      <c r="F690" s="25"/>
      <c r="G690" s="26"/>
      <c r="H690" s="20">
        <v>649000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6.25">
      <c r="A691" s="24"/>
      <c r="B691" s="25"/>
      <c r="C691" s="25"/>
      <c r="D691" s="25"/>
      <c r="E691" s="25"/>
      <c r="F691" s="25"/>
      <c r="G691" s="25"/>
      <c r="H691" s="2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>
      <c r="I692" s="1"/>
    </row>
    <row r="693" spans="1:26" ht="15">
      <c r="I693" s="1"/>
    </row>
    <row r="694" spans="1:26" ht="15">
      <c r="I694" s="1"/>
    </row>
    <row r="695" spans="1:26" ht="15">
      <c r="I695" s="1"/>
    </row>
    <row r="696" spans="1:26" ht="15">
      <c r="I696" s="1"/>
    </row>
    <row r="697" spans="1:26" ht="15">
      <c r="I697" s="1"/>
    </row>
    <row r="698" spans="1:26" ht="15">
      <c r="I698" s="1"/>
    </row>
    <row r="699" spans="1:26" ht="26.25">
      <c r="A699" s="24" t="s">
        <v>0</v>
      </c>
      <c r="B699" s="25"/>
      <c r="C699" s="25"/>
      <c r="D699" s="25"/>
      <c r="E699" s="25"/>
      <c r="F699" s="25"/>
      <c r="G699" s="25"/>
      <c r="H699" s="2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6.25">
      <c r="A700" s="24" t="s">
        <v>221</v>
      </c>
      <c r="B700" s="25"/>
      <c r="C700" s="25"/>
      <c r="D700" s="25"/>
      <c r="E700" s="25"/>
      <c r="F700" s="25"/>
      <c r="G700" s="25"/>
      <c r="H700" s="2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>
      <c r="A701" s="2" t="s">
        <v>2</v>
      </c>
      <c r="B701" s="2" t="s">
        <v>3</v>
      </c>
      <c r="C701" s="2" t="s">
        <v>4</v>
      </c>
      <c r="D701" s="2" t="s">
        <v>5</v>
      </c>
      <c r="E701" s="2" t="s">
        <v>6</v>
      </c>
      <c r="F701" s="3" t="s">
        <v>7</v>
      </c>
      <c r="G701" s="2" t="s">
        <v>8</v>
      </c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6.25">
      <c r="A702" s="5">
        <v>1</v>
      </c>
      <c r="B702" s="6" t="s">
        <v>222</v>
      </c>
      <c r="C702" s="7" t="s">
        <v>223</v>
      </c>
      <c r="D702" s="6" t="s">
        <v>10</v>
      </c>
      <c r="E702" s="6">
        <v>1</v>
      </c>
      <c r="F702" s="8">
        <v>293000</v>
      </c>
      <c r="G702" s="9">
        <f t="shared" ref="G702:G705" si="36">IFERROR(E702*F702,0)</f>
        <v>293000</v>
      </c>
      <c r="H702" s="1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6.25">
      <c r="A703" s="5">
        <v>2</v>
      </c>
      <c r="B703" s="13" t="s">
        <v>206</v>
      </c>
      <c r="C703" s="12" t="s">
        <v>224</v>
      </c>
      <c r="D703" s="13" t="s">
        <v>12</v>
      </c>
      <c r="E703" s="13">
        <v>1.5</v>
      </c>
      <c r="F703" s="14">
        <v>435000</v>
      </c>
      <c r="G703" s="9">
        <f t="shared" si="36"/>
        <v>652500</v>
      </c>
      <c r="H703" s="1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6.25">
      <c r="A704" s="5">
        <v>3</v>
      </c>
      <c r="B704" s="6" t="s">
        <v>225</v>
      </c>
      <c r="C704" s="16">
        <v>4318</v>
      </c>
      <c r="D704" s="6" t="s">
        <v>10</v>
      </c>
      <c r="E704" s="6">
        <v>1</v>
      </c>
      <c r="F704" s="8">
        <v>293000</v>
      </c>
      <c r="G704" s="9">
        <f t="shared" si="36"/>
        <v>293000</v>
      </c>
      <c r="H704" s="1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6.25">
      <c r="A705" s="5">
        <v>4</v>
      </c>
      <c r="B705" s="17" t="s">
        <v>14</v>
      </c>
      <c r="C705" s="10"/>
      <c r="D705" s="10"/>
      <c r="E705" s="10"/>
      <c r="F705" s="10"/>
      <c r="G705" s="18">
        <f t="shared" si="36"/>
        <v>0</v>
      </c>
      <c r="H705" s="1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6.25">
      <c r="A706" s="27" t="s">
        <v>15</v>
      </c>
      <c r="B706" s="25"/>
      <c r="C706" s="25"/>
      <c r="D706" s="25"/>
      <c r="E706" s="25"/>
      <c r="F706" s="25"/>
      <c r="G706" s="26"/>
      <c r="H706" s="19">
        <f>SUM(G702:G705)</f>
        <v>1238500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6.25">
      <c r="A707" s="27" t="s">
        <v>16</v>
      </c>
      <c r="B707" s="25"/>
      <c r="C707" s="25"/>
      <c r="D707" s="25"/>
      <c r="E707" s="25"/>
      <c r="F707" s="25"/>
      <c r="G707" s="26"/>
      <c r="H707" s="19">
        <f>MAX(0,H706-648000)</f>
        <v>590500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6.25">
      <c r="A708" s="28" t="s">
        <v>17</v>
      </c>
      <c r="B708" s="25"/>
      <c r="C708" s="25"/>
      <c r="D708" s="25"/>
      <c r="E708" s="25"/>
      <c r="F708" s="25"/>
      <c r="G708" s="26"/>
      <c r="H708" s="20">
        <v>649000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6.25">
      <c r="A709" s="24"/>
      <c r="B709" s="25"/>
      <c r="C709" s="25"/>
      <c r="D709" s="25"/>
      <c r="E709" s="25"/>
      <c r="F709" s="25"/>
      <c r="G709" s="25"/>
      <c r="H709" s="2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>
      <c r="I710" s="1"/>
    </row>
    <row r="711" spans="1:26" ht="15">
      <c r="I711" s="1"/>
    </row>
    <row r="712" spans="1:26" ht="15">
      <c r="I712" s="1"/>
    </row>
    <row r="713" spans="1:26" ht="15">
      <c r="I713" s="1"/>
    </row>
    <row r="714" spans="1:26" ht="15">
      <c r="I714" s="1"/>
    </row>
    <row r="715" spans="1:26" ht="15">
      <c r="I715" s="1"/>
    </row>
    <row r="716" spans="1:26" ht="26.25">
      <c r="A716" s="24" t="s">
        <v>0</v>
      </c>
      <c r="B716" s="25"/>
      <c r="C716" s="25"/>
      <c r="D716" s="25"/>
      <c r="E716" s="25"/>
      <c r="F716" s="25"/>
      <c r="G716" s="25"/>
      <c r="H716" s="2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6.25">
      <c r="A717" s="24" t="s">
        <v>226</v>
      </c>
      <c r="B717" s="25"/>
      <c r="C717" s="25"/>
      <c r="D717" s="25"/>
      <c r="E717" s="25"/>
      <c r="F717" s="25"/>
      <c r="G717" s="25"/>
      <c r="H717" s="2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>
      <c r="A718" s="2" t="s">
        <v>2</v>
      </c>
      <c r="B718" s="2" t="s">
        <v>3</v>
      </c>
      <c r="C718" s="2" t="s">
        <v>4</v>
      </c>
      <c r="D718" s="2" t="s">
        <v>5</v>
      </c>
      <c r="E718" s="2" t="s">
        <v>6</v>
      </c>
      <c r="F718" s="3" t="s">
        <v>7</v>
      </c>
      <c r="G718" s="2" t="s">
        <v>8</v>
      </c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6.25">
      <c r="A719" s="5">
        <v>1</v>
      </c>
      <c r="B719" s="6" t="s">
        <v>227</v>
      </c>
      <c r="C719" s="7" t="s">
        <v>228</v>
      </c>
      <c r="D719" s="6" t="s">
        <v>10</v>
      </c>
      <c r="E719" s="6">
        <v>0.9</v>
      </c>
      <c r="F719" s="8">
        <v>293000</v>
      </c>
      <c r="G719" s="9">
        <f t="shared" ref="G719:G722" si="37">IFERROR(E719*F719,0)</f>
        <v>263700</v>
      </c>
      <c r="H719" s="1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6.25">
      <c r="A720" s="5">
        <v>2</v>
      </c>
      <c r="B720" s="13" t="s">
        <v>229</v>
      </c>
      <c r="C720" s="12" t="s">
        <v>230</v>
      </c>
      <c r="D720" s="13" t="s">
        <v>12</v>
      </c>
      <c r="E720" s="13">
        <v>1.45</v>
      </c>
      <c r="F720" s="14">
        <v>435000</v>
      </c>
      <c r="G720" s="9">
        <f t="shared" si="37"/>
        <v>630750</v>
      </c>
      <c r="H720" s="1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6.25">
      <c r="A721" s="5">
        <v>3</v>
      </c>
      <c r="B721" s="6" t="s">
        <v>231</v>
      </c>
      <c r="C721" s="16" t="s">
        <v>232</v>
      </c>
      <c r="D721" s="6" t="s">
        <v>10</v>
      </c>
      <c r="E721" s="6">
        <v>1.1299999999999999</v>
      </c>
      <c r="F721" s="8">
        <v>293000</v>
      </c>
      <c r="G721" s="9">
        <f t="shared" si="37"/>
        <v>331089.99999999994</v>
      </c>
      <c r="H721" s="1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6.25">
      <c r="A722" s="5">
        <v>4</v>
      </c>
      <c r="B722" s="17" t="s">
        <v>14</v>
      </c>
      <c r="C722" s="10"/>
      <c r="D722" s="10"/>
      <c r="E722" s="10"/>
      <c r="F722" s="10"/>
      <c r="G722" s="18">
        <f t="shared" si="37"/>
        <v>0</v>
      </c>
      <c r="H722" s="1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6.25">
      <c r="A723" s="27" t="s">
        <v>15</v>
      </c>
      <c r="B723" s="25"/>
      <c r="C723" s="25"/>
      <c r="D723" s="25"/>
      <c r="E723" s="25"/>
      <c r="F723" s="25"/>
      <c r="G723" s="26"/>
      <c r="H723" s="19">
        <f>SUM(G719:G722)</f>
        <v>1225540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6.25">
      <c r="A724" s="27" t="s">
        <v>16</v>
      </c>
      <c r="B724" s="25"/>
      <c r="C724" s="25"/>
      <c r="D724" s="25"/>
      <c r="E724" s="25"/>
      <c r="F724" s="25"/>
      <c r="G724" s="26"/>
      <c r="H724" s="19">
        <f>MAX(0,H723-648000)</f>
        <v>577540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6.25">
      <c r="A725" s="28" t="s">
        <v>17</v>
      </c>
      <c r="B725" s="25"/>
      <c r="C725" s="25"/>
      <c r="D725" s="25"/>
      <c r="E725" s="25"/>
      <c r="F725" s="25"/>
      <c r="G725" s="26"/>
      <c r="H725" s="20">
        <v>649000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6.25">
      <c r="A726" s="24"/>
      <c r="B726" s="25"/>
      <c r="C726" s="25"/>
      <c r="D726" s="25"/>
      <c r="E726" s="25"/>
      <c r="F726" s="25"/>
      <c r="G726" s="25"/>
      <c r="H726" s="2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>
      <c r="I727" s="1"/>
    </row>
    <row r="728" spans="1:26" ht="15">
      <c r="I728" s="1"/>
    </row>
    <row r="729" spans="1:26" ht="15">
      <c r="I729" s="1"/>
    </row>
    <row r="730" spans="1:26" ht="15">
      <c r="I730" s="1"/>
    </row>
    <row r="731" spans="1:26" ht="15">
      <c r="I731" s="1"/>
    </row>
    <row r="732" spans="1:26" ht="15">
      <c r="I732" s="1"/>
    </row>
    <row r="733" spans="1:26" ht="26.25">
      <c r="A733" s="24" t="s">
        <v>0</v>
      </c>
      <c r="B733" s="25"/>
      <c r="C733" s="25"/>
      <c r="D733" s="25"/>
      <c r="E733" s="25"/>
      <c r="F733" s="25"/>
      <c r="G733" s="25"/>
      <c r="H733" s="2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6.25">
      <c r="A734" s="24" t="s">
        <v>233</v>
      </c>
      <c r="B734" s="25"/>
      <c r="C734" s="25"/>
      <c r="D734" s="25"/>
      <c r="E734" s="25"/>
      <c r="F734" s="25"/>
      <c r="G734" s="25"/>
      <c r="H734" s="2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>
      <c r="A735" s="2" t="s">
        <v>2</v>
      </c>
      <c r="B735" s="2" t="s">
        <v>3</v>
      </c>
      <c r="C735" s="2" t="s">
        <v>4</v>
      </c>
      <c r="D735" s="2" t="s">
        <v>5</v>
      </c>
      <c r="E735" s="2" t="s">
        <v>6</v>
      </c>
      <c r="F735" s="3" t="s">
        <v>7</v>
      </c>
      <c r="G735" s="2" t="s">
        <v>8</v>
      </c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6.25">
      <c r="A736" s="5">
        <v>1</v>
      </c>
      <c r="B736" s="6" t="s">
        <v>234</v>
      </c>
      <c r="C736" s="7" t="s">
        <v>235</v>
      </c>
      <c r="D736" s="6" t="s">
        <v>10</v>
      </c>
      <c r="E736" s="6">
        <v>1.07</v>
      </c>
      <c r="F736" s="8">
        <v>293000</v>
      </c>
      <c r="G736" s="9">
        <f t="shared" ref="G736:G739" si="38">IFERROR(E736*F736,0)</f>
        <v>313510</v>
      </c>
      <c r="H736" s="1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6.25">
      <c r="A737" s="5">
        <v>2</v>
      </c>
      <c r="B737" s="13" t="s">
        <v>236</v>
      </c>
      <c r="C737" s="12" t="s">
        <v>237</v>
      </c>
      <c r="D737" s="13" t="s">
        <v>12</v>
      </c>
      <c r="E737" s="13">
        <v>1.45</v>
      </c>
      <c r="F737" s="14">
        <v>435000</v>
      </c>
      <c r="G737" s="9">
        <f t="shared" si="38"/>
        <v>630750</v>
      </c>
      <c r="H737" s="1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6.25">
      <c r="A738" s="5">
        <v>3</v>
      </c>
      <c r="B738" s="6" t="s">
        <v>229</v>
      </c>
      <c r="C738" s="16" t="s">
        <v>238</v>
      </c>
      <c r="D738" s="6" t="s">
        <v>10</v>
      </c>
      <c r="E738" s="6">
        <v>1</v>
      </c>
      <c r="F738" s="8">
        <v>293000</v>
      </c>
      <c r="G738" s="9">
        <f t="shared" si="38"/>
        <v>293000</v>
      </c>
      <c r="H738" s="1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6.25">
      <c r="A739" s="5">
        <v>4</v>
      </c>
      <c r="B739" s="17" t="s">
        <v>14</v>
      </c>
      <c r="C739" s="10"/>
      <c r="D739" s="10"/>
      <c r="E739" s="10"/>
      <c r="F739" s="10"/>
      <c r="G739" s="18">
        <f t="shared" si="38"/>
        <v>0</v>
      </c>
      <c r="H739" s="1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6.25">
      <c r="A740" s="27" t="s">
        <v>15</v>
      </c>
      <c r="B740" s="25"/>
      <c r="C740" s="25"/>
      <c r="D740" s="25"/>
      <c r="E740" s="25"/>
      <c r="F740" s="25"/>
      <c r="G740" s="26"/>
      <c r="H740" s="19">
        <f>SUM(G736:G739)</f>
        <v>1237260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6.25">
      <c r="A741" s="27" t="s">
        <v>16</v>
      </c>
      <c r="B741" s="25"/>
      <c r="C741" s="25"/>
      <c r="D741" s="25"/>
      <c r="E741" s="25"/>
      <c r="F741" s="25"/>
      <c r="G741" s="26"/>
      <c r="H741" s="19">
        <f>MAX(0,H740-648000)</f>
        <v>589260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6.25">
      <c r="A742" s="28" t="s">
        <v>17</v>
      </c>
      <c r="B742" s="25"/>
      <c r="C742" s="25"/>
      <c r="D742" s="25"/>
      <c r="E742" s="25"/>
      <c r="F742" s="25"/>
      <c r="G742" s="26"/>
      <c r="H742" s="20">
        <v>649000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6.25">
      <c r="A743" s="24"/>
      <c r="B743" s="25"/>
      <c r="C743" s="25"/>
      <c r="D743" s="25"/>
      <c r="E743" s="25"/>
      <c r="F743" s="25"/>
      <c r="G743" s="25"/>
      <c r="H743" s="2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>
      <c r="I744" s="1"/>
    </row>
    <row r="745" spans="1:26" ht="15">
      <c r="I745" s="1"/>
    </row>
    <row r="746" spans="1:26" ht="15">
      <c r="I746" s="1"/>
    </row>
    <row r="747" spans="1:26" ht="15">
      <c r="I747" s="1"/>
    </row>
    <row r="748" spans="1:26" ht="15">
      <c r="I748" s="1"/>
    </row>
    <row r="749" spans="1:26" ht="26.25">
      <c r="A749" s="24" t="s">
        <v>0</v>
      </c>
      <c r="B749" s="25"/>
      <c r="C749" s="25"/>
      <c r="D749" s="25"/>
      <c r="E749" s="25"/>
      <c r="F749" s="25"/>
      <c r="G749" s="25"/>
      <c r="H749" s="2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6.25">
      <c r="A750" s="24" t="s">
        <v>239</v>
      </c>
      <c r="B750" s="25"/>
      <c r="C750" s="25"/>
      <c r="D750" s="25"/>
      <c r="E750" s="25"/>
      <c r="F750" s="25"/>
      <c r="G750" s="25"/>
      <c r="H750" s="2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>
      <c r="A751" s="2" t="s">
        <v>2</v>
      </c>
      <c r="B751" s="2" t="s">
        <v>3</v>
      </c>
      <c r="C751" s="2" t="s">
        <v>4</v>
      </c>
      <c r="D751" s="2" t="s">
        <v>5</v>
      </c>
      <c r="E751" s="2" t="s">
        <v>6</v>
      </c>
      <c r="F751" s="3" t="s">
        <v>7</v>
      </c>
      <c r="G751" s="2" t="s">
        <v>8</v>
      </c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6.25">
      <c r="A752" s="5">
        <v>1</v>
      </c>
      <c r="B752" s="6" t="s">
        <v>31</v>
      </c>
      <c r="C752" s="7" t="s">
        <v>240</v>
      </c>
      <c r="D752" s="6" t="s">
        <v>10</v>
      </c>
      <c r="E752" s="6">
        <v>1</v>
      </c>
      <c r="F752" s="8">
        <v>293000</v>
      </c>
      <c r="G752" s="9">
        <f t="shared" ref="G752:G755" si="39">IFERROR(E752*F752,0)</f>
        <v>293000</v>
      </c>
      <c r="H752" s="1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6.25">
      <c r="A753" s="5">
        <v>2</v>
      </c>
      <c r="B753" s="13" t="s">
        <v>213</v>
      </c>
      <c r="C753" s="12" t="s">
        <v>214</v>
      </c>
      <c r="D753" s="13" t="s">
        <v>12</v>
      </c>
      <c r="E753" s="13">
        <v>1.3</v>
      </c>
      <c r="F753" s="14">
        <v>435000</v>
      </c>
      <c r="G753" s="9">
        <f t="shared" si="39"/>
        <v>565500</v>
      </c>
      <c r="H753" s="1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6.25">
      <c r="A754" s="5">
        <v>3</v>
      </c>
      <c r="B754" s="6" t="s">
        <v>106</v>
      </c>
      <c r="C754" s="16" t="s">
        <v>241</v>
      </c>
      <c r="D754" s="6" t="s">
        <v>10</v>
      </c>
      <c r="E754" s="6">
        <v>1.21</v>
      </c>
      <c r="F754" s="8">
        <v>293000</v>
      </c>
      <c r="G754" s="9">
        <f t="shared" si="39"/>
        <v>354530</v>
      </c>
      <c r="H754" s="1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6.25">
      <c r="A755" s="5">
        <v>4</v>
      </c>
      <c r="B755" s="17" t="s">
        <v>14</v>
      </c>
      <c r="C755" s="10"/>
      <c r="D755" s="10"/>
      <c r="E755" s="10"/>
      <c r="F755" s="10"/>
      <c r="G755" s="18">
        <f t="shared" si="39"/>
        <v>0</v>
      </c>
      <c r="H755" s="1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6.25">
      <c r="A756" s="27" t="s">
        <v>15</v>
      </c>
      <c r="B756" s="25"/>
      <c r="C756" s="25"/>
      <c r="D756" s="25"/>
      <c r="E756" s="25"/>
      <c r="F756" s="25"/>
      <c r="G756" s="26"/>
      <c r="H756" s="19">
        <f>SUM(G752:G755)</f>
        <v>1213030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6.25">
      <c r="A757" s="27" t="s">
        <v>16</v>
      </c>
      <c r="B757" s="25"/>
      <c r="C757" s="25"/>
      <c r="D757" s="25"/>
      <c r="E757" s="25"/>
      <c r="F757" s="25"/>
      <c r="G757" s="26"/>
      <c r="H757" s="19">
        <f>MAX(0,H756-648000)</f>
        <v>565030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6.25">
      <c r="A758" s="28" t="s">
        <v>17</v>
      </c>
      <c r="B758" s="25"/>
      <c r="C758" s="25"/>
      <c r="D758" s="25"/>
      <c r="E758" s="25"/>
      <c r="F758" s="25"/>
      <c r="G758" s="26"/>
      <c r="H758" s="20">
        <v>649000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6.25">
      <c r="A759" s="24"/>
      <c r="B759" s="25"/>
      <c r="C759" s="25"/>
      <c r="D759" s="25"/>
      <c r="E759" s="25"/>
      <c r="F759" s="25"/>
      <c r="G759" s="25"/>
      <c r="H759" s="2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>
      <c r="I760" s="1"/>
    </row>
    <row r="761" spans="1:26" ht="15">
      <c r="I761" s="1"/>
    </row>
    <row r="762" spans="1:26" ht="15">
      <c r="I762" s="1"/>
    </row>
    <row r="763" spans="1:26" ht="15">
      <c r="I763" s="1"/>
    </row>
    <row r="764" spans="1:26" ht="15">
      <c r="I764" s="1"/>
    </row>
    <row r="765" spans="1:26" ht="15">
      <c r="I765" s="1"/>
    </row>
    <row r="766" spans="1:26" ht="15">
      <c r="I766" s="1"/>
    </row>
    <row r="767" spans="1:26" ht="15">
      <c r="I767" s="1"/>
    </row>
    <row r="768" spans="1:26" ht="15">
      <c r="I768" s="1"/>
    </row>
    <row r="769" spans="1:26" ht="26.25">
      <c r="A769" s="24" t="s">
        <v>0</v>
      </c>
      <c r="B769" s="25"/>
      <c r="C769" s="25"/>
      <c r="D769" s="25"/>
      <c r="E769" s="25"/>
      <c r="F769" s="25"/>
      <c r="G769" s="25"/>
      <c r="H769" s="2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6.25">
      <c r="A770" s="24" t="s">
        <v>242</v>
      </c>
      <c r="B770" s="25"/>
      <c r="C770" s="25"/>
      <c r="D770" s="25"/>
      <c r="E770" s="25"/>
      <c r="F770" s="25"/>
      <c r="G770" s="25"/>
      <c r="H770" s="2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>
      <c r="A771" s="2" t="s">
        <v>2</v>
      </c>
      <c r="B771" s="2" t="s">
        <v>3</v>
      </c>
      <c r="C771" s="2" t="s">
        <v>4</v>
      </c>
      <c r="D771" s="2" t="s">
        <v>5</v>
      </c>
      <c r="E771" s="2" t="s">
        <v>6</v>
      </c>
      <c r="F771" s="3" t="s">
        <v>7</v>
      </c>
      <c r="G771" s="2" t="s">
        <v>8</v>
      </c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6.25">
      <c r="A772" s="5">
        <v>1</v>
      </c>
      <c r="B772" s="6" t="s">
        <v>243</v>
      </c>
      <c r="C772" s="7" t="s">
        <v>244</v>
      </c>
      <c r="D772" s="6" t="s">
        <v>10</v>
      </c>
      <c r="E772" s="6">
        <v>1.1599999999999999</v>
      </c>
      <c r="F772" s="8">
        <v>293000</v>
      </c>
      <c r="G772" s="9">
        <f t="shared" ref="G772:G775" si="40">IFERROR(E772*F772,0)</f>
        <v>339880</v>
      </c>
      <c r="H772" s="1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6.25">
      <c r="A773" s="5">
        <v>2</v>
      </c>
      <c r="B773" s="13" t="s">
        <v>245</v>
      </c>
      <c r="C773" s="12" t="s">
        <v>246</v>
      </c>
      <c r="D773" s="13" t="s">
        <v>12</v>
      </c>
      <c r="E773" s="13">
        <v>1.25</v>
      </c>
      <c r="F773" s="14">
        <v>435000</v>
      </c>
      <c r="G773" s="9">
        <f t="shared" si="40"/>
        <v>543750</v>
      </c>
      <c r="H773" s="1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6.25">
      <c r="A774" s="5">
        <v>3</v>
      </c>
      <c r="B774" s="6" t="s">
        <v>53</v>
      </c>
      <c r="C774" s="16" t="s">
        <v>247</v>
      </c>
      <c r="D774" s="6" t="s">
        <v>10</v>
      </c>
      <c r="E774" s="6">
        <v>1.25</v>
      </c>
      <c r="F774" s="8">
        <v>293000</v>
      </c>
      <c r="G774" s="9">
        <f t="shared" si="40"/>
        <v>366250</v>
      </c>
      <c r="H774" s="1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6.25">
      <c r="A775" s="5">
        <v>4</v>
      </c>
      <c r="B775" s="17" t="s">
        <v>14</v>
      </c>
      <c r="C775" s="10"/>
      <c r="D775" s="10"/>
      <c r="E775" s="10"/>
      <c r="F775" s="10"/>
      <c r="G775" s="18">
        <f t="shared" si="40"/>
        <v>0</v>
      </c>
      <c r="H775" s="1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6.25">
      <c r="A776" s="27" t="s">
        <v>15</v>
      </c>
      <c r="B776" s="25"/>
      <c r="C776" s="25"/>
      <c r="D776" s="25"/>
      <c r="E776" s="25"/>
      <c r="F776" s="25"/>
      <c r="G776" s="26"/>
      <c r="H776" s="19">
        <f>SUM(G772:G775)</f>
        <v>1249880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6.25">
      <c r="A777" s="27" t="s">
        <v>16</v>
      </c>
      <c r="B777" s="25"/>
      <c r="C777" s="25"/>
      <c r="D777" s="25"/>
      <c r="E777" s="25"/>
      <c r="F777" s="25"/>
      <c r="G777" s="26"/>
      <c r="H777" s="19">
        <f>MAX(0,H776-648000)</f>
        <v>601880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6.25">
      <c r="A778" s="28" t="s">
        <v>17</v>
      </c>
      <c r="B778" s="25"/>
      <c r="C778" s="25"/>
      <c r="D778" s="25"/>
      <c r="E778" s="25"/>
      <c r="F778" s="25"/>
      <c r="G778" s="26"/>
      <c r="H778" s="20">
        <v>649000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6.25">
      <c r="A779" s="24"/>
      <c r="B779" s="25"/>
      <c r="C779" s="25"/>
      <c r="D779" s="25"/>
      <c r="E779" s="25"/>
      <c r="F779" s="25"/>
      <c r="G779" s="25"/>
      <c r="H779" s="2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>
      <c r="I780" s="1"/>
    </row>
    <row r="781" spans="1:26" ht="15">
      <c r="I781" s="1"/>
    </row>
    <row r="782" spans="1:26" ht="15">
      <c r="I782" s="1"/>
    </row>
    <row r="783" spans="1:26" ht="15">
      <c r="I783" s="1"/>
    </row>
    <row r="784" spans="1:26" ht="15">
      <c r="I784" s="1"/>
    </row>
    <row r="785" spans="1:26" ht="15">
      <c r="I785" s="1"/>
    </row>
    <row r="786" spans="1:26" ht="15">
      <c r="I786" s="1"/>
    </row>
    <row r="787" spans="1:26" ht="15">
      <c r="I787" s="1"/>
    </row>
    <row r="788" spans="1:26" ht="15">
      <c r="I788" s="1"/>
    </row>
    <row r="789" spans="1:26" ht="15">
      <c r="I789" s="1"/>
    </row>
    <row r="790" spans="1:26" ht="15">
      <c r="I790" s="1"/>
    </row>
    <row r="791" spans="1:26" ht="26.25">
      <c r="A791" s="24" t="s">
        <v>0</v>
      </c>
      <c r="B791" s="25"/>
      <c r="C791" s="25"/>
      <c r="D791" s="25"/>
      <c r="E791" s="25"/>
      <c r="F791" s="25"/>
      <c r="G791" s="25"/>
      <c r="H791" s="2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6.25">
      <c r="A792" s="24" t="s">
        <v>248</v>
      </c>
      <c r="B792" s="25"/>
      <c r="C792" s="25"/>
      <c r="D792" s="25"/>
      <c r="E792" s="25"/>
      <c r="F792" s="25"/>
      <c r="G792" s="25"/>
      <c r="H792" s="2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>
      <c r="A793" s="2" t="s">
        <v>2</v>
      </c>
      <c r="B793" s="2" t="s">
        <v>3</v>
      </c>
      <c r="C793" s="2" t="s">
        <v>4</v>
      </c>
      <c r="D793" s="2" t="s">
        <v>5</v>
      </c>
      <c r="E793" s="2" t="s">
        <v>6</v>
      </c>
      <c r="F793" s="3" t="s">
        <v>7</v>
      </c>
      <c r="G793" s="2" t="s">
        <v>8</v>
      </c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6.25">
      <c r="A794" s="5">
        <v>1</v>
      </c>
      <c r="B794" s="6" t="s">
        <v>249</v>
      </c>
      <c r="C794" s="7" t="s">
        <v>250</v>
      </c>
      <c r="D794" s="6" t="s">
        <v>10</v>
      </c>
      <c r="E794" s="6">
        <v>1.5</v>
      </c>
      <c r="F794" s="8">
        <v>293000</v>
      </c>
      <c r="G794" s="9">
        <f t="shared" ref="G794:G797" si="41">IFERROR(E794*F794,0)</f>
        <v>439500</v>
      </c>
      <c r="H794" s="1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6.25">
      <c r="A795" s="5">
        <v>2</v>
      </c>
      <c r="B795" s="13" t="s">
        <v>24</v>
      </c>
      <c r="C795" s="12" t="s">
        <v>28</v>
      </c>
      <c r="D795" s="13" t="s">
        <v>12</v>
      </c>
      <c r="E795" s="13">
        <v>1.39</v>
      </c>
      <c r="F795" s="14">
        <v>435000</v>
      </c>
      <c r="G795" s="9">
        <f t="shared" si="41"/>
        <v>604650</v>
      </c>
      <c r="H795" s="1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6.25">
      <c r="A796" s="5">
        <v>3</v>
      </c>
      <c r="B796" s="6" t="s">
        <v>163</v>
      </c>
      <c r="C796" s="16" t="s">
        <v>251</v>
      </c>
      <c r="D796" s="6" t="s">
        <v>10</v>
      </c>
      <c r="E796" s="6">
        <v>0.79</v>
      </c>
      <c r="F796" s="8">
        <v>293000</v>
      </c>
      <c r="G796" s="9">
        <f t="shared" si="41"/>
        <v>231470</v>
      </c>
      <c r="H796" s="1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6.25">
      <c r="A797" s="5">
        <v>4</v>
      </c>
      <c r="B797" s="17" t="s">
        <v>14</v>
      </c>
      <c r="C797" s="10"/>
      <c r="D797" s="10"/>
      <c r="E797" s="10"/>
      <c r="F797" s="10"/>
      <c r="G797" s="18">
        <f t="shared" si="41"/>
        <v>0</v>
      </c>
      <c r="H797" s="1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6.25">
      <c r="A798" s="27" t="s">
        <v>15</v>
      </c>
      <c r="B798" s="25"/>
      <c r="C798" s="25"/>
      <c r="D798" s="25"/>
      <c r="E798" s="25"/>
      <c r="F798" s="25"/>
      <c r="G798" s="26"/>
      <c r="H798" s="19">
        <f>SUM(G794:G797)</f>
        <v>1275620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6.25">
      <c r="A799" s="27" t="s">
        <v>16</v>
      </c>
      <c r="B799" s="25"/>
      <c r="C799" s="25"/>
      <c r="D799" s="25"/>
      <c r="E799" s="25"/>
      <c r="F799" s="25"/>
      <c r="G799" s="26"/>
      <c r="H799" s="19">
        <f>MAX(0,H798-648000)</f>
        <v>627620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6.25">
      <c r="A800" s="28" t="s">
        <v>17</v>
      </c>
      <c r="B800" s="25"/>
      <c r="C800" s="25"/>
      <c r="D800" s="25"/>
      <c r="E800" s="25"/>
      <c r="F800" s="25"/>
      <c r="G800" s="26"/>
      <c r="H800" s="20">
        <v>649000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6.25">
      <c r="A801" s="24"/>
      <c r="B801" s="25"/>
      <c r="C801" s="25"/>
      <c r="D801" s="25"/>
      <c r="E801" s="25"/>
      <c r="F801" s="25"/>
      <c r="G801" s="25"/>
      <c r="H801" s="2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>
      <c r="I802" s="1"/>
    </row>
    <row r="803" spans="1:26" ht="15">
      <c r="I803" s="1"/>
    </row>
    <row r="804" spans="1:26" ht="15">
      <c r="I804" s="1"/>
    </row>
    <row r="805" spans="1:26" ht="15">
      <c r="I805" s="1"/>
    </row>
    <row r="806" spans="1:26" ht="15">
      <c r="I806" s="1"/>
    </row>
    <row r="807" spans="1:26" ht="15">
      <c r="I807" s="1"/>
    </row>
    <row r="808" spans="1:26" ht="26.25">
      <c r="A808" s="24" t="s">
        <v>0</v>
      </c>
      <c r="B808" s="25"/>
      <c r="C808" s="25"/>
      <c r="D808" s="25"/>
      <c r="E808" s="25"/>
      <c r="F808" s="25"/>
      <c r="G808" s="25"/>
      <c r="H808" s="2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6.25">
      <c r="A809" s="24" t="s">
        <v>252</v>
      </c>
      <c r="B809" s="25"/>
      <c r="C809" s="25"/>
      <c r="D809" s="25"/>
      <c r="E809" s="25"/>
      <c r="F809" s="25"/>
      <c r="G809" s="25"/>
      <c r="H809" s="2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>
      <c r="A810" s="2" t="s">
        <v>2</v>
      </c>
      <c r="B810" s="2" t="s">
        <v>3</v>
      </c>
      <c r="C810" s="2" t="s">
        <v>4</v>
      </c>
      <c r="D810" s="2" t="s">
        <v>5</v>
      </c>
      <c r="E810" s="2" t="s">
        <v>6</v>
      </c>
      <c r="F810" s="3" t="s">
        <v>7</v>
      </c>
      <c r="G810" s="2" t="s">
        <v>8</v>
      </c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6.25">
      <c r="A811" s="5">
        <v>1</v>
      </c>
      <c r="B811" s="6" t="s">
        <v>253</v>
      </c>
      <c r="C811" s="7" t="s">
        <v>254</v>
      </c>
      <c r="D811" s="6" t="s">
        <v>10</v>
      </c>
      <c r="E811" s="6">
        <v>0.9</v>
      </c>
      <c r="F811" s="8">
        <v>293000</v>
      </c>
      <c r="G811" s="9">
        <f t="shared" ref="G811:G814" si="42">IFERROR(E811*F811,0)</f>
        <v>263700</v>
      </c>
      <c r="H811" s="1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6.25">
      <c r="A812" s="5">
        <v>2</v>
      </c>
      <c r="B812" s="13" t="s">
        <v>53</v>
      </c>
      <c r="C812" s="12" t="s">
        <v>255</v>
      </c>
      <c r="D812" s="13" t="s">
        <v>12</v>
      </c>
      <c r="E812" s="13">
        <v>1.36</v>
      </c>
      <c r="F812" s="14">
        <v>435000</v>
      </c>
      <c r="G812" s="9">
        <f t="shared" si="42"/>
        <v>591600</v>
      </c>
      <c r="H812" s="1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6.25">
      <c r="A813" s="5">
        <v>3</v>
      </c>
      <c r="B813" s="6" t="s">
        <v>29</v>
      </c>
      <c r="C813" s="16" t="s">
        <v>256</v>
      </c>
      <c r="D813" s="6" t="s">
        <v>10</v>
      </c>
      <c r="E813" s="6">
        <v>1.03</v>
      </c>
      <c r="F813" s="8">
        <v>293000</v>
      </c>
      <c r="G813" s="9">
        <f t="shared" si="42"/>
        <v>301790</v>
      </c>
      <c r="H813" s="1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6.25">
      <c r="A814" s="5">
        <v>4</v>
      </c>
      <c r="B814" s="17" t="s">
        <v>14</v>
      </c>
      <c r="C814" s="10"/>
      <c r="D814" s="10"/>
      <c r="E814" s="10"/>
      <c r="F814" s="10"/>
      <c r="G814" s="18">
        <f t="shared" si="42"/>
        <v>0</v>
      </c>
      <c r="H814" s="1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6.25">
      <c r="A815" s="27" t="s">
        <v>15</v>
      </c>
      <c r="B815" s="25"/>
      <c r="C815" s="25"/>
      <c r="D815" s="25"/>
      <c r="E815" s="25"/>
      <c r="F815" s="25"/>
      <c r="G815" s="26"/>
      <c r="H815" s="19">
        <f>SUM(G811:G814)</f>
        <v>1157090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6.25">
      <c r="A816" s="27" t="s">
        <v>16</v>
      </c>
      <c r="B816" s="25"/>
      <c r="C816" s="25"/>
      <c r="D816" s="25"/>
      <c r="E816" s="25"/>
      <c r="F816" s="25"/>
      <c r="G816" s="26"/>
      <c r="H816" s="19">
        <f>MAX(0,H815-648000)</f>
        <v>509090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6.25">
      <c r="A817" s="28" t="s">
        <v>17</v>
      </c>
      <c r="B817" s="25"/>
      <c r="C817" s="25"/>
      <c r="D817" s="25"/>
      <c r="E817" s="25"/>
      <c r="F817" s="25"/>
      <c r="G817" s="26"/>
      <c r="H817" s="20">
        <v>649000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6.25">
      <c r="A818" s="24"/>
      <c r="B818" s="25"/>
      <c r="C818" s="25"/>
      <c r="D818" s="25"/>
      <c r="E818" s="25"/>
      <c r="F818" s="25"/>
      <c r="G818" s="25"/>
      <c r="H818" s="2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>
      <c r="I819" s="1"/>
    </row>
    <row r="820" spans="1:26" ht="15">
      <c r="I820" s="1"/>
    </row>
    <row r="821" spans="1:26" ht="15">
      <c r="I821" s="1"/>
    </row>
    <row r="822" spans="1:26" ht="15">
      <c r="I822" s="1"/>
    </row>
    <row r="823" spans="1:26" ht="15">
      <c r="I823" s="1"/>
    </row>
    <row r="824" spans="1:26" ht="15">
      <c r="I824" s="1"/>
    </row>
    <row r="825" spans="1:26" ht="15">
      <c r="I825" s="1"/>
    </row>
    <row r="826" spans="1:26" ht="15">
      <c r="I826" s="1"/>
    </row>
    <row r="827" spans="1:26" ht="15">
      <c r="I827" s="1"/>
    </row>
    <row r="828" spans="1:26" ht="26.25">
      <c r="A828" s="24" t="s">
        <v>0</v>
      </c>
      <c r="B828" s="25"/>
      <c r="C828" s="25"/>
      <c r="D828" s="25"/>
      <c r="E828" s="25"/>
      <c r="F828" s="25"/>
      <c r="G828" s="25"/>
      <c r="H828" s="2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6.25">
      <c r="A829" s="24" t="s">
        <v>257</v>
      </c>
      <c r="B829" s="25"/>
      <c r="C829" s="25"/>
      <c r="D829" s="25"/>
      <c r="E829" s="25"/>
      <c r="F829" s="25"/>
      <c r="G829" s="25"/>
      <c r="H829" s="2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>
      <c r="A830" s="2" t="s">
        <v>2</v>
      </c>
      <c r="B830" s="2" t="s">
        <v>3</v>
      </c>
      <c r="C830" s="2" t="s">
        <v>4</v>
      </c>
      <c r="D830" s="2" t="s">
        <v>5</v>
      </c>
      <c r="E830" s="2" t="s">
        <v>6</v>
      </c>
      <c r="F830" s="3" t="s">
        <v>7</v>
      </c>
      <c r="G830" s="2" t="s">
        <v>8</v>
      </c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6.25">
      <c r="A831" s="5">
        <v>1</v>
      </c>
      <c r="B831" s="6" t="s">
        <v>73</v>
      </c>
      <c r="C831" s="7" t="s">
        <v>258</v>
      </c>
      <c r="D831" s="6" t="s">
        <v>10</v>
      </c>
      <c r="E831" s="6">
        <v>1.3</v>
      </c>
      <c r="F831" s="8">
        <v>293000</v>
      </c>
      <c r="G831" s="9">
        <f t="shared" ref="G831:G834" si="43">IFERROR(E831*F831,0)</f>
        <v>380900</v>
      </c>
      <c r="H831" s="1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6.25">
      <c r="A832" s="5">
        <v>2</v>
      </c>
      <c r="B832" s="13" t="s">
        <v>44</v>
      </c>
      <c r="C832" s="12" t="s">
        <v>259</v>
      </c>
      <c r="D832" s="13" t="s">
        <v>12</v>
      </c>
      <c r="E832" s="13">
        <v>1.25</v>
      </c>
      <c r="F832" s="14">
        <v>435000</v>
      </c>
      <c r="G832" s="9">
        <f t="shared" si="43"/>
        <v>543750</v>
      </c>
      <c r="H832" s="1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6.25">
      <c r="A833" s="5">
        <v>3</v>
      </c>
      <c r="B833" s="6" t="s">
        <v>39</v>
      </c>
      <c r="C833" s="16" t="s">
        <v>260</v>
      </c>
      <c r="D833" s="6" t="s">
        <v>10</v>
      </c>
      <c r="E833" s="6">
        <v>1.35</v>
      </c>
      <c r="F833" s="8">
        <v>293000</v>
      </c>
      <c r="G833" s="9">
        <f t="shared" si="43"/>
        <v>395550</v>
      </c>
      <c r="H833" s="1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6.25">
      <c r="A834" s="5">
        <v>4</v>
      </c>
      <c r="B834" s="17" t="s">
        <v>14</v>
      </c>
      <c r="C834" s="10"/>
      <c r="D834" s="10"/>
      <c r="E834" s="10"/>
      <c r="F834" s="10"/>
      <c r="G834" s="18">
        <f t="shared" si="43"/>
        <v>0</v>
      </c>
      <c r="H834" s="1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6.25">
      <c r="A835" s="27" t="s">
        <v>15</v>
      </c>
      <c r="B835" s="25"/>
      <c r="C835" s="25"/>
      <c r="D835" s="25"/>
      <c r="E835" s="25"/>
      <c r="F835" s="25"/>
      <c r="G835" s="26"/>
      <c r="H835" s="19">
        <f>SUM(G831:G834)</f>
        <v>1320200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6.25">
      <c r="A836" s="27" t="s">
        <v>16</v>
      </c>
      <c r="B836" s="25"/>
      <c r="C836" s="25"/>
      <c r="D836" s="25"/>
      <c r="E836" s="25"/>
      <c r="F836" s="25"/>
      <c r="G836" s="26"/>
      <c r="H836" s="19">
        <f>MAX(0,H835-648000)</f>
        <v>672200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6.25">
      <c r="A837" s="28" t="s">
        <v>17</v>
      </c>
      <c r="B837" s="25"/>
      <c r="C837" s="25"/>
      <c r="D837" s="25"/>
      <c r="E837" s="25"/>
      <c r="F837" s="25"/>
      <c r="G837" s="26"/>
      <c r="H837" s="20">
        <v>649000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6.25">
      <c r="A838" s="24"/>
      <c r="B838" s="25"/>
      <c r="C838" s="25"/>
      <c r="D838" s="25"/>
      <c r="E838" s="25"/>
      <c r="F838" s="25"/>
      <c r="G838" s="25"/>
      <c r="H838" s="2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>
      <c r="I839" s="1"/>
    </row>
    <row r="840" spans="1:26" ht="15">
      <c r="I840" s="1"/>
    </row>
    <row r="841" spans="1:26" ht="15">
      <c r="I841" s="1"/>
    </row>
    <row r="842" spans="1:26" ht="15">
      <c r="I842" s="1"/>
    </row>
    <row r="843" spans="1:26" ht="15">
      <c r="I843" s="1"/>
    </row>
    <row r="844" spans="1:26" ht="26.25">
      <c r="A844" s="24" t="s">
        <v>0</v>
      </c>
      <c r="B844" s="25"/>
      <c r="C844" s="25"/>
      <c r="D844" s="25"/>
      <c r="E844" s="25"/>
      <c r="F844" s="25"/>
      <c r="G844" s="25"/>
      <c r="H844" s="2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6.25">
      <c r="A845" s="24" t="s">
        <v>261</v>
      </c>
      <c r="B845" s="25"/>
      <c r="C845" s="25"/>
      <c r="D845" s="25"/>
      <c r="E845" s="25"/>
      <c r="F845" s="25"/>
      <c r="G845" s="25"/>
      <c r="H845" s="2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>
      <c r="A846" s="2" t="s">
        <v>2</v>
      </c>
      <c r="B846" s="2" t="s">
        <v>3</v>
      </c>
      <c r="C846" s="2" t="s">
        <v>4</v>
      </c>
      <c r="D846" s="2" t="s">
        <v>5</v>
      </c>
      <c r="E846" s="2" t="s">
        <v>6</v>
      </c>
      <c r="F846" s="3" t="s">
        <v>7</v>
      </c>
      <c r="G846" s="2" t="s">
        <v>8</v>
      </c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6.25">
      <c r="A847" s="5">
        <v>1</v>
      </c>
      <c r="B847" s="6" t="s">
        <v>262</v>
      </c>
      <c r="C847" s="7" t="s">
        <v>263</v>
      </c>
      <c r="D847" s="6" t="s">
        <v>10</v>
      </c>
      <c r="E847" s="6">
        <v>1.2</v>
      </c>
      <c r="F847" s="8">
        <v>293000</v>
      </c>
      <c r="G847" s="9">
        <f t="shared" ref="G847:G850" si="44">IFERROR(E847*F847,0)</f>
        <v>351600</v>
      </c>
      <c r="H847" s="1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6.25">
      <c r="A848" s="5">
        <v>2</v>
      </c>
      <c r="B848" s="13" t="s">
        <v>82</v>
      </c>
      <c r="C848" s="12" t="s">
        <v>264</v>
      </c>
      <c r="D848" s="13" t="s">
        <v>12</v>
      </c>
      <c r="E848" s="13">
        <v>1.34</v>
      </c>
      <c r="F848" s="14">
        <v>435000</v>
      </c>
      <c r="G848" s="9">
        <f t="shared" si="44"/>
        <v>582900</v>
      </c>
      <c r="H848" s="1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6.25">
      <c r="A849" s="5">
        <v>3</v>
      </c>
      <c r="B849" s="6" t="s">
        <v>225</v>
      </c>
      <c r="C849" s="16" t="s">
        <v>265</v>
      </c>
      <c r="D849" s="6" t="s">
        <v>10</v>
      </c>
      <c r="E849" s="6">
        <v>1.22</v>
      </c>
      <c r="F849" s="8">
        <v>293000</v>
      </c>
      <c r="G849" s="9">
        <f t="shared" si="44"/>
        <v>357460</v>
      </c>
      <c r="H849" s="1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6.25">
      <c r="A850" s="5">
        <v>4</v>
      </c>
      <c r="B850" s="17" t="s">
        <v>14</v>
      </c>
      <c r="C850" s="10"/>
      <c r="D850" s="10"/>
      <c r="E850" s="10"/>
      <c r="F850" s="10"/>
      <c r="G850" s="18">
        <f t="shared" si="44"/>
        <v>0</v>
      </c>
      <c r="H850" s="1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6.25">
      <c r="A851" s="27" t="s">
        <v>15</v>
      </c>
      <c r="B851" s="25"/>
      <c r="C851" s="25"/>
      <c r="D851" s="25"/>
      <c r="E851" s="25"/>
      <c r="F851" s="25"/>
      <c r="G851" s="26"/>
      <c r="H851" s="19">
        <f>SUM(G847:G850)</f>
        <v>1291960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6.25">
      <c r="A852" s="27" t="s">
        <v>16</v>
      </c>
      <c r="B852" s="25"/>
      <c r="C852" s="25"/>
      <c r="D852" s="25"/>
      <c r="E852" s="25"/>
      <c r="F852" s="25"/>
      <c r="G852" s="26"/>
      <c r="H852" s="19">
        <f>MAX(0,H851-648000)</f>
        <v>643960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6.25">
      <c r="A853" s="28" t="s">
        <v>17</v>
      </c>
      <c r="B853" s="25"/>
      <c r="C853" s="25"/>
      <c r="D853" s="25"/>
      <c r="E853" s="25"/>
      <c r="F853" s="25"/>
      <c r="G853" s="26"/>
      <c r="H853" s="20">
        <v>649000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6.25">
      <c r="A854" s="24"/>
      <c r="B854" s="25"/>
      <c r="C854" s="25"/>
      <c r="D854" s="25"/>
      <c r="E854" s="25"/>
      <c r="F854" s="25"/>
      <c r="G854" s="25"/>
      <c r="H854" s="2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>
      <c r="I855" s="1"/>
    </row>
    <row r="856" spans="1:26" ht="15">
      <c r="I856" s="1"/>
    </row>
    <row r="857" spans="1:26" ht="15">
      <c r="I857" s="1"/>
    </row>
    <row r="858" spans="1:26" ht="15">
      <c r="I858" s="1"/>
    </row>
    <row r="859" spans="1:26" ht="15">
      <c r="I859" s="1"/>
    </row>
    <row r="860" spans="1:26" ht="15">
      <c r="I860" s="1"/>
    </row>
    <row r="861" spans="1:26" ht="15">
      <c r="I861" s="1"/>
    </row>
    <row r="862" spans="1:26" ht="15">
      <c r="I862" s="1"/>
    </row>
    <row r="863" spans="1:26" ht="26.25">
      <c r="A863" s="24" t="s">
        <v>0</v>
      </c>
      <c r="B863" s="25"/>
      <c r="C863" s="25"/>
      <c r="D863" s="25"/>
      <c r="E863" s="25"/>
      <c r="F863" s="25"/>
      <c r="G863" s="25"/>
      <c r="H863" s="2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6.25">
      <c r="A864" s="24" t="s">
        <v>266</v>
      </c>
      <c r="B864" s="25"/>
      <c r="C864" s="25"/>
      <c r="D864" s="25"/>
      <c r="E864" s="25"/>
      <c r="F864" s="25"/>
      <c r="G864" s="25"/>
      <c r="H864" s="2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>
      <c r="A865" s="2" t="s">
        <v>2</v>
      </c>
      <c r="B865" s="2" t="s">
        <v>3</v>
      </c>
      <c r="C865" s="2" t="s">
        <v>4</v>
      </c>
      <c r="D865" s="2" t="s">
        <v>5</v>
      </c>
      <c r="E865" s="2" t="s">
        <v>6</v>
      </c>
      <c r="F865" s="3" t="s">
        <v>7</v>
      </c>
      <c r="G865" s="2" t="s">
        <v>8</v>
      </c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6.25">
      <c r="A866" s="5">
        <v>1</v>
      </c>
      <c r="B866" s="6" t="s">
        <v>21</v>
      </c>
      <c r="C866" s="7" t="s">
        <v>267</v>
      </c>
      <c r="D866" s="6" t="s">
        <v>10</v>
      </c>
      <c r="E866" s="6">
        <v>1</v>
      </c>
      <c r="F866" s="8">
        <v>293000</v>
      </c>
      <c r="G866" s="9">
        <f t="shared" ref="G866:G869" si="45">IFERROR(E866*F866,0)</f>
        <v>293000</v>
      </c>
      <c r="H866" s="1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6.25">
      <c r="A867" s="5">
        <v>2</v>
      </c>
      <c r="B867" s="13" t="s">
        <v>200</v>
      </c>
      <c r="C867" s="12" t="s">
        <v>268</v>
      </c>
      <c r="D867" s="13" t="s">
        <v>12</v>
      </c>
      <c r="E867" s="13">
        <v>0.8</v>
      </c>
      <c r="F867" s="14">
        <v>435000</v>
      </c>
      <c r="G867" s="9">
        <f t="shared" si="45"/>
        <v>348000</v>
      </c>
      <c r="H867" s="1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6.25">
      <c r="A868" s="5">
        <v>3</v>
      </c>
      <c r="B868" s="6" t="s">
        <v>269</v>
      </c>
      <c r="C868" s="16" t="s">
        <v>270</v>
      </c>
      <c r="D868" s="6" t="s">
        <v>10</v>
      </c>
      <c r="E868" s="6">
        <v>1.8</v>
      </c>
      <c r="F868" s="8">
        <v>293000</v>
      </c>
      <c r="G868" s="9">
        <f t="shared" si="45"/>
        <v>527400</v>
      </c>
      <c r="H868" s="1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6.25">
      <c r="A869" s="5">
        <v>4</v>
      </c>
      <c r="B869" s="17" t="s">
        <v>14</v>
      </c>
      <c r="C869" s="10"/>
      <c r="D869" s="10"/>
      <c r="E869" s="10"/>
      <c r="F869" s="10"/>
      <c r="G869" s="18">
        <f t="shared" si="45"/>
        <v>0</v>
      </c>
      <c r="H869" s="1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6.25">
      <c r="A870" s="27" t="s">
        <v>15</v>
      </c>
      <c r="B870" s="25"/>
      <c r="C870" s="25"/>
      <c r="D870" s="25"/>
      <c r="E870" s="25"/>
      <c r="F870" s="25"/>
      <c r="G870" s="26"/>
      <c r="H870" s="19">
        <f>SUM(G866:G869)</f>
        <v>1168400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6.25">
      <c r="A871" s="27" t="s">
        <v>16</v>
      </c>
      <c r="B871" s="25"/>
      <c r="C871" s="25"/>
      <c r="D871" s="25"/>
      <c r="E871" s="25"/>
      <c r="F871" s="25"/>
      <c r="G871" s="26"/>
      <c r="H871" s="19">
        <f>MAX(0,H870-648000)</f>
        <v>520400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6.25">
      <c r="A872" s="28" t="s">
        <v>17</v>
      </c>
      <c r="B872" s="25"/>
      <c r="C872" s="25"/>
      <c r="D872" s="25"/>
      <c r="E872" s="25"/>
      <c r="F872" s="25"/>
      <c r="G872" s="26"/>
      <c r="H872" s="20">
        <v>649000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6.25">
      <c r="A873" s="24"/>
      <c r="B873" s="25"/>
      <c r="C873" s="25"/>
      <c r="D873" s="25"/>
      <c r="E873" s="25"/>
      <c r="F873" s="25"/>
      <c r="G873" s="25"/>
      <c r="H873" s="2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>
      <c r="I874" s="1"/>
    </row>
    <row r="875" spans="1:26" ht="15">
      <c r="I875" s="1"/>
    </row>
    <row r="876" spans="1:26" ht="15">
      <c r="I876" s="1"/>
    </row>
    <row r="877" spans="1:26" ht="15">
      <c r="I877" s="1"/>
    </row>
    <row r="878" spans="1:26" ht="15">
      <c r="I878" s="1"/>
    </row>
    <row r="879" spans="1:26" ht="15">
      <c r="I879" s="1"/>
    </row>
    <row r="880" spans="1:26" ht="15">
      <c r="I880" s="1"/>
    </row>
    <row r="881" spans="1:26" ht="26.25">
      <c r="A881" s="24" t="s">
        <v>0</v>
      </c>
      <c r="B881" s="25"/>
      <c r="C881" s="25"/>
      <c r="D881" s="25"/>
      <c r="E881" s="25"/>
      <c r="F881" s="25"/>
      <c r="G881" s="25"/>
      <c r="H881" s="2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6.25">
      <c r="A882" s="24" t="s">
        <v>271</v>
      </c>
      <c r="B882" s="25"/>
      <c r="C882" s="25"/>
      <c r="D882" s="25"/>
      <c r="E882" s="25"/>
      <c r="F882" s="25"/>
      <c r="G882" s="25"/>
      <c r="H882" s="2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>
      <c r="A883" s="2" t="s">
        <v>2</v>
      </c>
      <c r="B883" s="2" t="s">
        <v>3</v>
      </c>
      <c r="C883" s="2" t="s">
        <v>4</v>
      </c>
      <c r="D883" s="2" t="s">
        <v>5</v>
      </c>
      <c r="E883" s="2" t="s">
        <v>6</v>
      </c>
      <c r="F883" s="3" t="s">
        <v>7</v>
      </c>
      <c r="G883" s="2" t="s">
        <v>8</v>
      </c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6.25">
      <c r="A884" s="5">
        <v>1</v>
      </c>
      <c r="B884" s="6" t="s">
        <v>53</v>
      </c>
      <c r="C884" s="7">
        <v>6769</v>
      </c>
      <c r="D884" s="6" t="s">
        <v>10</v>
      </c>
      <c r="E884" s="6">
        <v>0.83</v>
      </c>
      <c r="F884" s="8">
        <v>293000</v>
      </c>
      <c r="G884" s="9">
        <f t="shared" ref="G884:G887" si="46">IFERROR(E884*F884,0)</f>
        <v>243190</v>
      </c>
      <c r="H884" s="1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6.25">
      <c r="A885" s="5">
        <v>2</v>
      </c>
      <c r="B885" s="13" t="s">
        <v>229</v>
      </c>
      <c r="C885" s="12" t="s">
        <v>272</v>
      </c>
      <c r="D885" s="13" t="s">
        <v>12</v>
      </c>
      <c r="E885" s="13">
        <v>1.23</v>
      </c>
      <c r="F885" s="14">
        <v>435000</v>
      </c>
      <c r="G885" s="9">
        <f t="shared" si="46"/>
        <v>535050</v>
      </c>
      <c r="H885" s="1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6.25">
      <c r="A886" s="5">
        <v>3</v>
      </c>
      <c r="B886" s="6" t="s">
        <v>31</v>
      </c>
      <c r="C886" s="16" t="s">
        <v>273</v>
      </c>
      <c r="D886" s="6" t="s">
        <v>10</v>
      </c>
      <c r="E886" s="6">
        <v>1.75</v>
      </c>
      <c r="F886" s="8">
        <v>293000</v>
      </c>
      <c r="G886" s="9">
        <f t="shared" si="46"/>
        <v>512750</v>
      </c>
      <c r="H886" s="1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6.25">
      <c r="A887" s="5">
        <v>4</v>
      </c>
      <c r="B887" s="17" t="s">
        <v>14</v>
      </c>
      <c r="C887" s="10"/>
      <c r="D887" s="10"/>
      <c r="E887" s="10"/>
      <c r="F887" s="10"/>
      <c r="G887" s="18">
        <f t="shared" si="46"/>
        <v>0</v>
      </c>
      <c r="H887" s="1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6.25">
      <c r="A888" s="27" t="s">
        <v>15</v>
      </c>
      <c r="B888" s="25"/>
      <c r="C888" s="25"/>
      <c r="D888" s="25"/>
      <c r="E888" s="25"/>
      <c r="F888" s="25"/>
      <c r="G888" s="26"/>
      <c r="H888" s="19">
        <f>SUM(G884:G887)</f>
        <v>1290990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6.25">
      <c r="A889" s="27" t="s">
        <v>16</v>
      </c>
      <c r="B889" s="25"/>
      <c r="C889" s="25"/>
      <c r="D889" s="25"/>
      <c r="E889" s="25"/>
      <c r="F889" s="25"/>
      <c r="G889" s="26"/>
      <c r="H889" s="19">
        <f>MAX(0,H888-648000)</f>
        <v>642990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6.25">
      <c r="A890" s="28" t="s">
        <v>17</v>
      </c>
      <c r="B890" s="25"/>
      <c r="C890" s="25"/>
      <c r="D890" s="25"/>
      <c r="E890" s="25"/>
      <c r="F890" s="25"/>
      <c r="G890" s="26"/>
      <c r="H890" s="20">
        <v>649000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6.25">
      <c r="A891" s="24"/>
      <c r="B891" s="25"/>
      <c r="C891" s="25"/>
      <c r="D891" s="25"/>
      <c r="E891" s="25"/>
      <c r="F891" s="25"/>
      <c r="G891" s="25"/>
      <c r="H891" s="2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>
      <c r="I892" s="1"/>
    </row>
    <row r="893" spans="1:26" ht="15">
      <c r="I893" s="1"/>
    </row>
    <row r="894" spans="1:26" ht="15">
      <c r="I894" s="1"/>
    </row>
    <row r="895" spans="1:26" ht="15">
      <c r="I895" s="1"/>
    </row>
    <row r="896" spans="1:26" ht="15">
      <c r="I896" s="1"/>
    </row>
    <row r="897" spans="1:26" ht="15">
      <c r="I897" s="1"/>
    </row>
    <row r="898" spans="1:26" ht="15">
      <c r="I898" s="1"/>
    </row>
    <row r="899" spans="1:26" ht="15">
      <c r="I899" s="1"/>
    </row>
    <row r="900" spans="1:26" ht="26.25">
      <c r="A900" s="24" t="s">
        <v>0</v>
      </c>
      <c r="B900" s="25"/>
      <c r="C900" s="25"/>
      <c r="D900" s="25"/>
      <c r="E900" s="25"/>
      <c r="F900" s="25"/>
      <c r="G900" s="25"/>
      <c r="H900" s="2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6.25">
      <c r="A901" s="24" t="s">
        <v>274</v>
      </c>
      <c r="B901" s="25"/>
      <c r="C901" s="25"/>
      <c r="D901" s="25"/>
      <c r="E901" s="25"/>
      <c r="F901" s="25"/>
      <c r="G901" s="25"/>
      <c r="H901" s="2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>
      <c r="A902" s="2" t="s">
        <v>2</v>
      </c>
      <c r="B902" s="2" t="s">
        <v>3</v>
      </c>
      <c r="C902" s="2" t="s">
        <v>4</v>
      </c>
      <c r="D902" s="2" t="s">
        <v>5</v>
      </c>
      <c r="E902" s="2" t="s">
        <v>6</v>
      </c>
      <c r="F902" s="3" t="s">
        <v>7</v>
      </c>
      <c r="G902" s="2" t="s">
        <v>8</v>
      </c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6.25">
      <c r="A903" s="5">
        <v>1</v>
      </c>
      <c r="B903" s="6" t="s">
        <v>275</v>
      </c>
      <c r="C903" s="7" t="s">
        <v>276</v>
      </c>
      <c r="D903" s="6" t="s">
        <v>10</v>
      </c>
      <c r="E903" s="6">
        <v>1.3</v>
      </c>
      <c r="F903" s="8">
        <v>293000</v>
      </c>
      <c r="G903" s="9">
        <f t="shared" ref="G903:G906" si="47">IFERROR(E903*F903,0)</f>
        <v>380900</v>
      </c>
      <c r="H903" s="1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6.25">
      <c r="A904" s="5">
        <v>2</v>
      </c>
      <c r="B904" s="13" t="s">
        <v>277</v>
      </c>
      <c r="C904" s="12" t="s">
        <v>278</v>
      </c>
      <c r="D904" s="13" t="s">
        <v>12</v>
      </c>
      <c r="E904" s="13">
        <v>1.2</v>
      </c>
      <c r="F904" s="14">
        <v>435000</v>
      </c>
      <c r="G904" s="9">
        <f t="shared" si="47"/>
        <v>522000</v>
      </c>
      <c r="H904" s="1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6.25">
      <c r="A905" s="5">
        <v>3</v>
      </c>
      <c r="B905" s="6" t="s">
        <v>211</v>
      </c>
      <c r="C905" s="16" t="s">
        <v>279</v>
      </c>
      <c r="D905" s="6" t="s">
        <v>10</v>
      </c>
      <c r="E905" s="6">
        <v>1</v>
      </c>
      <c r="F905" s="8">
        <v>293000</v>
      </c>
      <c r="G905" s="9">
        <f t="shared" si="47"/>
        <v>293000</v>
      </c>
      <c r="H905" s="1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6.25">
      <c r="A906" s="5">
        <v>4</v>
      </c>
      <c r="B906" s="17" t="s">
        <v>14</v>
      </c>
      <c r="C906" s="10"/>
      <c r="D906" s="10"/>
      <c r="E906" s="10"/>
      <c r="F906" s="10"/>
      <c r="G906" s="18">
        <f t="shared" si="47"/>
        <v>0</v>
      </c>
      <c r="H906" s="1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6.25">
      <c r="A907" s="27" t="s">
        <v>15</v>
      </c>
      <c r="B907" s="25"/>
      <c r="C907" s="25"/>
      <c r="D907" s="25"/>
      <c r="E907" s="25"/>
      <c r="F907" s="25"/>
      <c r="G907" s="26"/>
      <c r="H907" s="19">
        <f>SUM(G903:G906)</f>
        <v>1195900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6.25">
      <c r="A908" s="27" t="s">
        <v>16</v>
      </c>
      <c r="B908" s="25"/>
      <c r="C908" s="25"/>
      <c r="D908" s="25"/>
      <c r="E908" s="25"/>
      <c r="F908" s="25"/>
      <c r="G908" s="26"/>
      <c r="H908" s="19">
        <f>MAX(0,H907-648000)</f>
        <v>547900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6.25">
      <c r="A909" s="28" t="s">
        <v>17</v>
      </c>
      <c r="B909" s="25"/>
      <c r="C909" s="25"/>
      <c r="D909" s="25"/>
      <c r="E909" s="25"/>
      <c r="F909" s="25"/>
      <c r="G909" s="26"/>
      <c r="H909" s="20">
        <v>649000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6.25">
      <c r="A910" s="24"/>
      <c r="B910" s="25"/>
      <c r="C910" s="25"/>
      <c r="D910" s="25"/>
      <c r="E910" s="25"/>
      <c r="F910" s="25"/>
      <c r="G910" s="25"/>
      <c r="H910" s="2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>
      <c r="I911" s="1"/>
    </row>
    <row r="912" spans="1:26" ht="15">
      <c r="I912" s="1"/>
    </row>
    <row r="913" spans="1:26" ht="15">
      <c r="I913" s="1"/>
    </row>
    <row r="914" spans="1:26" ht="15">
      <c r="I914" s="1"/>
    </row>
    <row r="915" spans="1:26" ht="15">
      <c r="I915" s="1"/>
    </row>
    <row r="916" spans="1:26" ht="26.25">
      <c r="A916" s="24" t="s">
        <v>0</v>
      </c>
      <c r="B916" s="25"/>
      <c r="C916" s="25"/>
      <c r="D916" s="25"/>
      <c r="E916" s="25"/>
      <c r="F916" s="25"/>
      <c r="G916" s="25"/>
      <c r="H916" s="2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6.25">
      <c r="A917" s="24" t="s">
        <v>280</v>
      </c>
      <c r="B917" s="25"/>
      <c r="C917" s="25"/>
      <c r="D917" s="25"/>
      <c r="E917" s="25"/>
      <c r="F917" s="25"/>
      <c r="G917" s="25"/>
      <c r="H917" s="2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>
      <c r="A918" s="2" t="s">
        <v>2</v>
      </c>
      <c r="B918" s="2" t="s">
        <v>3</v>
      </c>
      <c r="C918" s="2" t="s">
        <v>4</v>
      </c>
      <c r="D918" s="2" t="s">
        <v>5</v>
      </c>
      <c r="E918" s="2" t="s">
        <v>6</v>
      </c>
      <c r="F918" s="3" t="s">
        <v>7</v>
      </c>
      <c r="G918" s="2" t="s">
        <v>8</v>
      </c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6.25">
      <c r="A919" s="5">
        <v>1</v>
      </c>
      <c r="B919" s="6" t="s">
        <v>53</v>
      </c>
      <c r="C919" s="7" t="s">
        <v>281</v>
      </c>
      <c r="D919" s="6" t="s">
        <v>10</v>
      </c>
      <c r="E919" s="6">
        <v>1.46</v>
      </c>
      <c r="F919" s="8">
        <v>293000</v>
      </c>
      <c r="G919" s="9">
        <f t="shared" ref="G919:G922" si="48">IFERROR(E919*F919,0)</f>
        <v>427780</v>
      </c>
      <c r="H919" s="1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6.25">
      <c r="A920" s="5">
        <v>2</v>
      </c>
      <c r="B920" s="13" t="s">
        <v>175</v>
      </c>
      <c r="C920" s="12" t="s">
        <v>282</v>
      </c>
      <c r="D920" s="13" t="s">
        <v>12</v>
      </c>
      <c r="E920" s="13">
        <v>1.3</v>
      </c>
      <c r="F920" s="14">
        <v>435000</v>
      </c>
      <c r="G920" s="9">
        <f t="shared" si="48"/>
        <v>565500</v>
      </c>
      <c r="H920" s="1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6.25">
      <c r="A921" s="5">
        <v>3</v>
      </c>
      <c r="B921" s="6" t="s">
        <v>29</v>
      </c>
      <c r="C921" s="16" t="s">
        <v>283</v>
      </c>
      <c r="D921" s="6" t="s">
        <v>10</v>
      </c>
      <c r="E921" s="6">
        <v>0.9</v>
      </c>
      <c r="F921" s="8">
        <v>293000</v>
      </c>
      <c r="G921" s="9">
        <f t="shared" si="48"/>
        <v>263700</v>
      </c>
      <c r="H921" s="1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6.25">
      <c r="A922" s="5">
        <v>4</v>
      </c>
      <c r="B922" s="17" t="s">
        <v>14</v>
      </c>
      <c r="C922" s="10"/>
      <c r="D922" s="10"/>
      <c r="E922" s="10"/>
      <c r="F922" s="10"/>
      <c r="G922" s="18">
        <f t="shared" si="48"/>
        <v>0</v>
      </c>
      <c r="H922" s="1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6.25">
      <c r="A923" s="27" t="s">
        <v>15</v>
      </c>
      <c r="B923" s="25"/>
      <c r="C923" s="25"/>
      <c r="D923" s="25"/>
      <c r="E923" s="25"/>
      <c r="F923" s="25"/>
      <c r="G923" s="26"/>
      <c r="H923" s="19">
        <f>SUM(G919:G922)</f>
        <v>1256980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6.25">
      <c r="A924" s="27" t="s">
        <v>16</v>
      </c>
      <c r="B924" s="25"/>
      <c r="C924" s="25"/>
      <c r="D924" s="25"/>
      <c r="E924" s="25"/>
      <c r="F924" s="25"/>
      <c r="G924" s="26"/>
      <c r="H924" s="19">
        <f>MAX(0,H923-648000)</f>
        <v>608980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6.25">
      <c r="A925" s="28" t="s">
        <v>17</v>
      </c>
      <c r="B925" s="25"/>
      <c r="C925" s="25"/>
      <c r="D925" s="25"/>
      <c r="E925" s="25"/>
      <c r="F925" s="25"/>
      <c r="G925" s="26"/>
      <c r="H925" s="20">
        <v>649000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6.25">
      <c r="A926" s="24"/>
      <c r="B926" s="25"/>
      <c r="C926" s="25"/>
      <c r="D926" s="25"/>
      <c r="E926" s="25"/>
      <c r="F926" s="25"/>
      <c r="G926" s="25"/>
      <c r="H926" s="2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>
      <c r="I927" s="1"/>
    </row>
    <row r="928" spans="1:26" ht="15">
      <c r="I928" s="1"/>
    </row>
    <row r="929" spans="1:26" ht="15">
      <c r="I929" s="1"/>
    </row>
    <row r="930" spans="1:26" ht="15">
      <c r="I930" s="1"/>
    </row>
    <row r="931" spans="1:26" ht="15">
      <c r="I931" s="1"/>
    </row>
    <row r="932" spans="1:26" ht="15">
      <c r="I932" s="1"/>
    </row>
    <row r="933" spans="1:26" ht="15">
      <c r="I933" s="1"/>
    </row>
    <row r="934" spans="1:26" ht="15">
      <c r="I934" s="1"/>
    </row>
    <row r="935" spans="1:26" ht="26.25">
      <c r="A935" s="24" t="s">
        <v>0</v>
      </c>
      <c r="B935" s="25"/>
      <c r="C935" s="25"/>
      <c r="D935" s="25"/>
      <c r="E935" s="25"/>
      <c r="F935" s="25"/>
      <c r="G935" s="25"/>
      <c r="H935" s="2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6.25">
      <c r="A936" s="24" t="s">
        <v>284</v>
      </c>
      <c r="B936" s="25"/>
      <c r="C936" s="25"/>
      <c r="D936" s="25"/>
      <c r="E936" s="25"/>
      <c r="F936" s="25"/>
      <c r="G936" s="25"/>
      <c r="H936" s="2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>
      <c r="A937" s="2" t="s">
        <v>2</v>
      </c>
      <c r="B937" s="2" t="s">
        <v>3</v>
      </c>
      <c r="C937" s="2" t="s">
        <v>4</v>
      </c>
      <c r="D937" s="2" t="s">
        <v>5</v>
      </c>
      <c r="E937" s="2" t="s">
        <v>6</v>
      </c>
      <c r="F937" s="3" t="s">
        <v>7</v>
      </c>
      <c r="G937" s="2" t="s">
        <v>8</v>
      </c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6.25">
      <c r="A938" s="5">
        <v>1</v>
      </c>
      <c r="B938" s="6" t="s">
        <v>285</v>
      </c>
      <c r="C938" s="7" t="s">
        <v>286</v>
      </c>
      <c r="D938" s="6" t="s">
        <v>10</v>
      </c>
      <c r="E938" s="6">
        <v>1.5</v>
      </c>
      <c r="F938" s="8">
        <v>293000</v>
      </c>
      <c r="G938" s="9">
        <f t="shared" ref="G938:G941" si="49">IFERROR(E938*F938,0)</f>
        <v>439500</v>
      </c>
      <c r="H938" s="1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6.25">
      <c r="A939" s="5">
        <v>2</v>
      </c>
      <c r="B939" s="13" t="s">
        <v>287</v>
      </c>
      <c r="C939" s="12" t="s">
        <v>288</v>
      </c>
      <c r="D939" s="13" t="s">
        <v>12</v>
      </c>
      <c r="E939" s="13">
        <v>1.3</v>
      </c>
      <c r="F939" s="14">
        <v>435000</v>
      </c>
      <c r="G939" s="9">
        <f t="shared" si="49"/>
        <v>565500</v>
      </c>
      <c r="H939" s="1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6.25">
      <c r="A940" s="5">
        <v>3</v>
      </c>
      <c r="B940" s="6" t="s">
        <v>25</v>
      </c>
      <c r="C940" s="16" t="s">
        <v>289</v>
      </c>
      <c r="D940" s="6" t="s">
        <v>10</v>
      </c>
      <c r="E940" s="6">
        <v>0.7</v>
      </c>
      <c r="F940" s="8">
        <v>293000</v>
      </c>
      <c r="G940" s="9">
        <f t="shared" si="49"/>
        <v>205100</v>
      </c>
      <c r="H940" s="1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6.25">
      <c r="A941" s="5">
        <v>4</v>
      </c>
      <c r="B941" s="17" t="s">
        <v>14</v>
      </c>
      <c r="C941" s="10"/>
      <c r="D941" s="10"/>
      <c r="E941" s="10"/>
      <c r="F941" s="10"/>
      <c r="G941" s="18">
        <f t="shared" si="49"/>
        <v>0</v>
      </c>
      <c r="H941" s="1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6.25">
      <c r="A942" s="27" t="s">
        <v>15</v>
      </c>
      <c r="B942" s="25"/>
      <c r="C942" s="25"/>
      <c r="D942" s="25"/>
      <c r="E942" s="25"/>
      <c r="F942" s="25"/>
      <c r="G942" s="26"/>
      <c r="H942" s="19">
        <f>SUM(G938:G941)</f>
        <v>1210100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6.25">
      <c r="A943" s="27" t="s">
        <v>16</v>
      </c>
      <c r="B943" s="25"/>
      <c r="C943" s="25"/>
      <c r="D943" s="25"/>
      <c r="E943" s="25"/>
      <c r="F943" s="25"/>
      <c r="G943" s="26"/>
      <c r="H943" s="19">
        <f>MAX(0,H942-648000)</f>
        <v>562100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6.25">
      <c r="A944" s="28" t="s">
        <v>17</v>
      </c>
      <c r="B944" s="25"/>
      <c r="C944" s="25"/>
      <c r="D944" s="25"/>
      <c r="E944" s="25"/>
      <c r="F944" s="25"/>
      <c r="G944" s="26"/>
      <c r="H944" s="20">
        <v>649000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6.25">
      <c r="A945" s="24"/>
      <c r="B945" s="25"/>
      <c r="C945" s="25"/>
      <c r="D945" s="25"/>
      <c r="E945" s="25"/>
      <c r="F945" s="25"/>
      <c r="G945" s="25"/>
      <c r="H945" s="2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>
      <c r="I946" s="1"/>
    </row>
    <row r="947" spans="1:26" ht="15">
      <c r="I947" s="1"/>
    </row>
    <row r="948" spans="1:26" ht="15">
      <c r="I948" s="1"/>
    </row>
    <row r="949" spans="1:26" ht="15">
      <c r="I949" s="1"/>
    </row>
    <row r="950" spans="1:26" ht="15">
      <c r="I950" s="1"/>
    </row>
    <row r="951" spans="1:26" ht="15">
      <c r="I951" s="1"/>
    </row>
    <row r="952" spans="1:26" ht="15">
      <c r="I952" s="1"/>
    </row>
    <row r="953" spans="1:26" ht="26.25">
      <c r="A953" s="24" t="s">
        <v>0</v>
      </c>
      <c r="B953" s="25"/>
      <c r="C953" s="25"/>
      <c r="D953" s="25"/>
      <c r="E953" s="25"/>
      <c r="F953" s="25"/>
      <c r="G953" s="25"/>
      <c r="H953" s="2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6.25">
      <c r="A954" s="24" t="s">
        <v>290</v>
      </c>
      <c r="B954" s="25"/>
      <c r="C954" s="25"/>
      <c r="D954" s="25"/>
      <c r="E954" s="25"/>
      <c r="F954" s="25"/>
      <c r="G954" s="25"/>
      <c r="H954" s="2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>
      <c r="A955" s="2" t="s">
        <v>2</v>
      </c>
      <c r="B955" s="2" t="s">
        <v>3</v>
      </c>
      <c r="C955" s="2" t="s">
        <v>4</v>
      </c>
      <c r="D955" s="2" t="s">
        <v>5</v>
      </c>
      <c r="E955" s="2" t="s">
        <v>6</v>
      </c>
      <c r="F955" s="3" t="s">
        <v>7</v>
      </c>
      <c r="G955" s="2" t="s">
        <v>8</v>
      </c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6.25">
      <c r="A956" s="5">
        <v>1</v>
      </c>
      <c r="B956" s="6" t="s">
        <v>285</v>
      </c>
      <c r="C956" s="7" t="s">
        <v>286</v>
      </c>
      <c r="D956" s="6" t="s">
        <v>10</v>
      </c>
      <c r="E956" s="6">
        <v>1.5</v>
      </c>
      <c r="F956" s="8">
        <v>293000</v>
      </c>
      <c r="G956" s="9">
        <f t="shared" ref="G956:G959" si="50">IFERROR(E956*F956,0)</f>
        <v>439500</v>
      </c>
      <c r="H956" s="1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6.25">
      <c r="A957" s="5">
        <v>2</v>
      </c>
      <c r="B957" s="13" t="s">
        <v>291</v>
      </c>
      <c r="C957" s="12" t="s">
        <v>292</v>
      </c>
      <c r="D957" s="13" t="s">
        <v>12</v>
      </c>
      <c r="E957" s="13">
        <v>1</v>
      </c>
      <c r="F957" s="14">
        <v>435000</v>
      </c>
      <c r="G957" s="9">
        <f t="shared" si="50"/>
        <v>435000</v>
      </c>
      <c r="H957" s="1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6.25">
      <c r="A958" s="5">
        <v>3</v>
      </c>
      <c r="B958" s="6" t="s">
        <v>293</v>
      </c>
      <c r="C958" s="16" t="s">
        <v>294</v>
      </c>
      <c r="D958" s="6" t="s">
        <v>10</v>
      </c>
      <c r="E958" s="6">
        <v>1.2</v>
      </c>
      <c r="F958" s="8">
        <v>293000</v>
      </c>
      <c r="G958" s="9">
        <f t="shared" si="50"/>
        <v>351600</v>
      </c>
      <c r="H958" s="1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6.25">
      <c r="A959" s="5">
        <v>4</v>
      </c>
      <c r="B959" s="17" t="s">
        <v>14</v>
      </c>
      <c r="C959" s="10"/>
      <c r="D959" s="10"/>
      <c r="E959" s="10"/>
      <c r="F959" s="10"/>
      <c r="G959" s="18">
        <f t="shared" si="50"/>
        <v>0</v>
      </c>
      <c r="H959" s="1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6.25">
      <c r="A960" s="27" t="s">
        <v>15</v>
      </c>
      <c r="B960" s="25"/>
      <c r="C960" s="25"/>
      <c r="D960" s="25"/>
      <c r="E960" s="25"/>
      <c r="F960" s="25"/>
      <c r="G960" s="26"/>
      <c r="H960" s="19">
        <f>SUM(G956:G959)</f>
        <v>1226100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6.25">
      <c r="A961" s="27" t="s">
        <v>16</v>
      </c>
      <c r="B961" s="25"/>
      <c r="C961" s="25"/>
      <c r="D961" s="25"/>
      <c r="E961" s="25"/>
      <c r="F961" s="25"/>
      <c r="G961" s="26"/>
      <c r="H961" s="19">
        <f>MAX(0,H960-648000)</f>
        <v>578100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6.25">
      <c r="A962" s="28" t="s">
        <v>17</v>
      </c>
      <c r="B962" s="25"/>
      <c r="C962" s="25"/>
      <c r="D962" s="25"/>
      <c r="E962" s="25"/>
      <c r="F962" s="25"/>
      <c r="G962" s="26"/>
      <c r="H962" s="20">
        <v>649000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6.25">
      <c r="A963" s="24"/>
      <c r="B963" s="25"/>
      <c r="C963" s="25"/>
      <c r="D963" s="25"/>
      <c r="E963" s="25"/>
      <c r="F963" s="25"/>
      <c r="G963" s="25"/>
      <c r="H963" s="2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>
      <c r="I964" s="1"/>
    </row>
    <row r="965" spans="1:26" ht="15">
      <c r="I965" s="1"/>
    </row>
    <row r="966" spans="1:26" ht="15">
      <c r="I966" s="1"/>
    </row>
    <row r="967" spans="1:26" ht="15">
      <c r="I967" s="1"/>
    </row>
    <row r="968" spans="1:26" ht="15">
      <c r="I968" s="1"/>
    </row>
    <row r="969" spans="1:26" ht="15">
      <c r="I969" s="1"/>
    </row>
    <row r="970" spans="1:26" ht="15">
      <c r="I970" s="1"/>
    </row>
    <row r="971" spans="1:26" ht="26.25">
      <c r="A971" s="24" t="s">
        <v>0</v>
      </c>
      <c r="B971" s="25"/>
      <c r="C971" s="25"/>
      <c r="D971" s="25"/>
      <c r="E971" s="25"/>
      <c r="F971" s="25"/>
      <c r="G971" s="25"/>
      <c r="H971" s="2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6.25">
      <c r="A972" s="24" t="s">
        <v>295</v>
      </c>
      <c r="B972" s="25"/>
      <c r="C972" s="25"/>
      <c r="D972" s="25"/>
      <c r="E972" s="25"/>
      <c r="F972" s="25"/>
      <c r="G972" s="25"/>
      <c r="H972" s="2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>
      <c r="A973" s="2" t="s">
        <v>2</v>
      </c>
      <c r="B973" s="2" t="s">
        <v>3</v>
      </c>
      <c r="C973" s="2" t="s">
        <v>4</v>
      </c>
      <c r="D973" s="2" t="s">
        <v>5</v>
      </c>
      <c r="E973" s="2" t="s">
        <v>6</v>
      </c>
      <c r="F973" s="3" t="s">
        <v>7</v>
      </c>
      <c r="G973" s="2" t="s">
        <v>8</v>
      </c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6.25">
      <c r="A974" s="5">
        <v>1</v>
      </c>
      <c r="B974" s="6" t="s">
        <v>296</v>
      </c>
      <c r="C974" s="7" t="s">
        <v>297</v>
      </c>
      <c r="D974" s="6" t="s">
        <v>10</v>
      </c>
      <c r="E974" s="6">
        <v>0.68</v>
      </c>
      <c r="F974" s="8">
        <v>293000</v>
      </c>
      <c r="G974" s="9">
        <f t="shared" ref="G974:G977" si="51">IFERROR(E974*F974,0)</f>
        <v>199240</v>
      </c>
      <c r="H974" s="1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6.25">
      <c r="A975" s="5">
        <v>2</v>
      </c>
      <c r="B975" s="13" t="s">
        <v>298</v>
      </c>
      <c r="C975" s="12" t="s">
        <v>299</v>
      </c>
      <c r="D975" s="13" t="s">
        <v>12</v>
      </c>
      <c r="E975" s="13">
        <v>1.4</v>
      </c>
      <c r="F975" s="14">
        <v>435000</v>
      </c>
      <c r="G975" s="9">
        <f t="shared" si="51"/>
        <v>609000</v>
      </c>
      <c r="H975" s="1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6.25">
      <c r="A976" s="5">
        <v>3</v>
      </c>
      <c r="B976" s="6" t="s">
        <v>167</v>
      </c>
      <c r="C976" s="16" t="s">
        <v>300</v>
      </c>
      <c r="D976" s="6" t="s">
        <v>10</v>
      </c>
      <c r="E976" s="6">
        <v>1.56</v>
      </c>
      <c r="F976" s="8">
        <v>293000</v>
      </c>
      <c r="G976" s="9">
        <f t="shared" si="51"/>
        <v>457080</v>
      </c>
      <c r="H976" s="1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6.25">
      <c r="A977" s="5">
        <v>4</v>
      </c>
      <c r="B977" s="17" t="s">
        <v>14</v>
      </c>
      <c r="C977" s="10"/>
      <c r="D977" s="10"/>
      <c r="E977" s="10"/>
      <c r="F977" s="10"/>
      <c r="G977" s="18">
        <f t="shared" si="51"/>
        <v>0</v>
      </c>
      <c r="H977" s="1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6.25">
      <c r="A978" s="27" t="s">
        <v>15</v>
      </c>
      <c r="B978" s="25"/>
      <c r="C978" s="25"/>
      <c r="D978" s="25"/>
      <c r="E978" s="25"/>
      <c r="F978" s="25"/>
      <c r="G978" s="26"/>
      <c r="H978" s="19">
        <f>SUM(G974:G977)</f>
        <v>1265320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6.25">
      <c r="A979" s="27" t="s">
        <v>16</v>
      </c>
      <c r="B979" s="25"/>
      <c r="C979" s="25"/>
      <c r="D979" s="25"/>
      <c r="E979" s="25"/>
      <c r="F979" s="25"/>
      <c r="G979" s="26"/>
      <c r="H979" s="19">
        <f>MAX(0,H978-648000)</f>
        <v>617320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6.25">
      <c r="A980" s="28" t="s">
        <v>17</v>
      </c>
      <c r="B980" s="25"/>
      <c r="C980" s="25"/>
      <c r="D980" s="25"/>
      <c r="E980" s="25"/>
      <c r="F980" s="25"/>
      <c r="G980" s="26"/>
      <c r="H980" s="20">
        <v>649000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6.25">
      <c r="A981" s="24"/>
      <c r="B981" s="25"/>
      <c r="C981" s="25"/>
      <c r="D981" s="25"/>
      <c r="E981" s="25"/>
      <c r="F981" s="25"/>
      <c r="G981" s="25"/>
      <c r="H981" s="2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91" spans="1:26" ht="26.25">
      <c r="A991" s="24" t="s">
        <v>0</v>
      </c>
      <c r="B991" s="25"/>
      <c r="C991" s="25"/>
      <c r="D991" s="25"/>
      <c r="E991" s="25"/>
      <c r="F991" s="25"/>
      <c r="G991" s="25"/>
      <c r="H991" s="2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6.25">
      <c r="A992" s="24" t="s">
        <v>301</v>
      </c>
      <c r="B992" s="25"/>
      <c r="C992" s="25"/>
      <c r="D992" s="25"/>
      <c r="E992" s="25"/>
      <c r="F992" s="25"/>
      <c r="G992" s="25"/>
      <c r="H992" s="2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>
      <c r="A993" s="2" t="s">
        <v>2</v>
      </c>
      <c r="B993" s="2" t="s">
        <v>3</v>
      </c>
      <c r="C993" s="2" t="s">
        <v>4</v>
      </c>
      <c r="D993" s="2" t="s">
        <v>5</v>
      </c>
      <c r="E993" s="2" t="s">
        <v>6</v>
      </c>
      <c r="F993" s="3" t="s">
        <v>7</v>
      </c>
      <c r="G993" s="2" t="s">
        <v>8</v>
      </c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6.25">
      <c r="A994" s="5">
        <v>1</v>
      </c>
      <c r="B994" s="13" t="s">
        <v>298</v>
      </c>
      <c r="C994" s="7" t="s">
        <v>302</v>
      </c>
      <c r="D994" s="6" t="s">
        <v>10</v>
      </c>
      <c r="E994" s="6">
        <v>1.65</v>
      </c>
      <c r="F994" s="8">
        <v>293000</v>
      </c>
      <c r="G994" s="9">
        <f t="shared" ref="G994:G997" si="52">IFERROR(E994*F994,0)</f>
        <v>483450</v>
      </c>
      <c r="H994" s="1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6.25">
      <c r="A995" s="5">
        <v>2</v>
      </c>
      <c r="B995" s="13" t="s">
        <v>303</v>
      </c>
      <c r="C995" s="12" t="s">
        <v>304</v>
      </c>
      <c r="D995" s="13" t="s">
        <v>12</v>
      </c>
      <c r="E995" s="13">
        <v>1.5</v>
      </c>
      <c r="F995" s="14">
        <v>435000</v>
      </c>
      <c r="G995" s="9">
        <f t="shared" si="52"/>
        <v>652500</v>
      </c>
      <c r="H995" s="1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6.25">
      <c r="A996" s="5">
        <v>3</v>
      </c>
      <c r="B996" s="6" t="s">
        <v>225</v>
      </c>
      <c r="C996" s="16" t="s">
        <v>305</v>
      </c>
      <c r="D996" s="6" t="s">
        <v>10</v>
      </c>
      <c r="E996" s="6">
        <v>0.7</v>
      </c>
      <c r="F996" s="8">
        <v>293000</v>
      </c>
      <c r="G996" s="9">
        <f t="shared" si="52"/>
        <v>205100</v>
      </c>
      <c r="H996" s="1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6.25">
      <c r="A997" s="5">
        <v>4</v>
      </c>
      <c r="B997" s="17" t="s">
        <v>14</v>
      </c>
      <c r="C997" s="10"/>
      <c r="D997" s="10"/>
      <c r="E997" s="10"/>
      <c r="F997" s="10"/>
      <c r="G997" s="18">
        <f t="shared" si="52"/>
        <v>0</v>
      </c>
      <c r="H997" s="1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6.25">
      <c r="A998" s="27" t="s">
        <v>15</v>
      </c>
      <c r="B998" s="25"/>
      <c r="C998" s="25"/>
      <c r="D998" s="25"/>
      <c r="E998" s="25"/>
      <c r="F998" s="25"/>
      <c r="G998" s="26"/>
      <c r="H998" s="19">
        <f>SUM(G994:G997)</f>
        <v>1341050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6.25">
      <c r="A999" s="27" t="s">
        <v>16</v>
      </c>
      <c r="B999" s="25"/>
      <c r="C999" s="25"/>
      <c r="D999" s="25"/>
      <c r="E999" s="25"/>
      <c r="F999" s="25"/>
      <c r="G999" s="26"/>
      <c r="H999" s="19">
        <f>MAX(0,H998-648000)</f>
        <v>693050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6.25">
      <c r="A1000" s="28" t="s">
        <v>17</v>
      </c>
      <c r="B1000" s="25"/>
      <c r="C1000" s="25"/>
      <c r="D1000" s="25"/>
      <c r="E1000" s="25"/>
      <c r="F1000" s="25"/>
      <c r="G1000" s="26"/>
      <c r="H1000" s="20">
        <v>649000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6.25">
      <c r="A1001" s="24"/>
      <c r="B1001" s="25"/>
      <c r="C1001" s="25"/>
      <c r="D1001" s="25"/>
      <c r="E1001" s="25"/>
      <c r="F1001" s="25"/>
      <c r="G1001" s="25"/>
      <c r="H1001" s="2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6.25">
      <c r="A1002" s="23"/>
      <c r="B1002" s="23"/>
      <c r="C1002" s="23"/>
      <c r="D1002" s="23"/>
      <c r="E1002" s="23"/>
      <c r="F1002" s="23"/>
      <c r="G1002" s="23"/>
      <c r="H1002" s="23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6.25">
      <c r="A1003" s="23"/>
      <c r="B1003" s="23"/>
      <c r="C1003" s="23"/>
      <c r="D1003" s="23"/>
      <c r="E1003" s="23"/>
      <c r="F1003" s="23"/>
      <c r="G1003" s="23"/>
      <c r="H1003" s="23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6.25">
      <c r="A1004" s="23"/>
      <c r="B1004" s="23"/>
      <c r="C1004" s="23"/>
      <c r="D1004" s="23"/>
      <c r="E1004" s="23"/>
      <c r="F1004" s="23"/>
      <c r="G1004" s="23"/>
      <c r="H1004" s="23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6.25">
      <c r="A1005" s="23"/>
      <c r="B1005" s="23"/>
      <c r="C1005" s="23"/>
      <c r="D1005" s="23"/>
      <c r="E1005" s="23"/>
      <c r="F1005" s="23"/>
      <c r="G1005" s="23"/>
      <c r="H1005" s="23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6.25">
      <c r="A1006" s="23"/>
      <c r="B1006" s="23"/>
      <c r="C1006" s="23"/>
      <c r="D1006" s="23"/>
      <c r="E1006" s="23"/>
      <c r="F1006" s="23"/>
      <c r="G1006" s="23"/>
      <c r="H1006" s="23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6.25">
      <c r="A1007" s="23"/>
      <c r="B1007" s="23"/>
      <c r="C1007" s="23"/>
      <c r="D1007" s="23"/>
      <c r="E1007" s="23"/>
      <c r="F1007" s="23"/>
      <c r="G1007" s="23"/>
      <c r="H1007" s="23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9" spans="1:26" ht="26.25">
      <c r="A1009" s="24" t="s">
        <v>0</v>
      </c>
      <c r="B1009" s="25"/>
      <c r="C1009" s="25"/>
      <c r="D1009" s="25"/>
      <c r="E1009" s="25"/>
      <c r="F1009" s="25"/>
      <c r="G1009" s="25"/>
      <c r="H1009" s="26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6.25">
      <c r="A1010" s="24" t="s">
        <v>306</v>
      </c>
      <c r="B1010" s="25"/>
      <c r="C1010" s="25"/>
      <c r="D1010" s="25"/>
      <c r="E1010" s="25"/>
      <c r="F1010" s="25"/>
      <c r="G1010" s="25"/>
      <c r="H1010" s="26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8.75">
      <c r="A1011" s="2" t="s">
        <v>2</v>
      </c>
      <c r="B1011" s="2" t="s">
        <v>3</v>
      </c>
      <c r="C1011" s="2" t="s">
        <v>4</v>
      </c>
      <c r="D1011" s="2" t="s">
        <v>5</v>
      </c>
      <c r="E1011" s="2" t="s">
        <v>6</v>
      </c>
      <c r="F1011" s="3" t="s">
        <v>7</v>
      </c>
      <c r="G1011" s="2" t="s">
        <v>8</v>
      </c>
      <c r="H1011" s="4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6.25">
      <c r="A1012" s="5">
        <v>1</v>
      </c>
      <c r="B1012" s="13" t="s">
        <v>68</v>
      </c>
      <c r="C1012" s="7" t="s">
        <v>307</v>
      </c>
      <c r="D1012" s="6" t="s">
        <v>10</v>
      </c>
      <c r="E1012" s="6">
        <v>2</v>
      </c>
      <c r="F1012" s="8">
        <v>293000</v>
      </c>
      <c r="G1012" s="9">
        <f t="shared" ref="G1012:G1015" si="53">IFERROR(E1012*F1012,0)</f>
        <v>586000</v>
      </c>
      <c r="H1012" s="10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6.25">
      <c r="A1013" s="5">
        <v>2</v>
      </c>
      <c r="B1013" s="13" t="s">
        <v>150</v>
      </c>
      <c r="C1013" s="12">
        <v>4305</v>
      </c>
      <c r="D1013" s="13" t="s">
        <v>12</v>
      </c>
      <c r="E1013" s="13">
        <v>0.7</v>
      </c>
      <c r="F1013" s="14">
        <v>435000</v>
      </c>
      <c r="G1013" s="9">
        <f t="shared" si="53"/>
        <v>304500</v>
      </c>
      <c r="H1013" s="10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6.25">
      <c r="A1014" s="5">
        <v>3</v>
      </c>
      <c r="B1014" s="6" t="s">
        <v>175</v>
      </c>
      <c r="C1014" s="16" t="s">
        <v>308</v>
      </c>
      <c r="D1014" s="13" t="s">
        <v>12</v>
      </c>
      <c r="E1014" s="6">
        <v>0.63</v>
      </c>
      <c r="F1014" s="14">
        <v>435000</v>
      </c>
      <c r="G1014" s="9">
        <f t="shared" si="53"/>
        <v>274050</v>
      </c>
      <c r="H1014" s="10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6.25">
      <c r="A1015" s="5">
        <v>4</v>
      </c>
      <c r="B1015" s="17" t="s">
        <v>14</v>
      </c>
      <c r="C1015" s="10"/>
      <c r="D1015" s="10"/>
      <c r="E1015" s="10"/>
      <c r="F1015" s="10"/>
      <c r="G1015" s="18">
        <f t="shared" si="53"/>
        <v>0</v>
      </c>
      <c r="H1015" s="10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6.25">
      <c r="A1016" s="27" t="s">
        <v>15</v>
      </c>
      <c r="B1016" s="25"/>
      <c r="C1016" s="25"/>
      <c r="D1016" s="25"/>
      <c r="E1016" s="25"/>
      <c r="F1016" s="25"/>
      <c r="G1016" s="26"/>
      <c r="H1016" s="19">
        <f>SUM(G1012:G1015)</f>
        <v>1164550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6.25">
      <c r="A1017" s="27" t="s">
        <v>16</v>
      </c>
      <c r="B1017" s="25"/>
      <c r="C1017" s="25"/>
      <c r="D1017" s="25"/>
      <c r="E1017" s="25"/>
      <c r="F1017" s="25"/>
      <c r="G1017" s="26"/>
      <c r="H1017" s="19">
        <f>MAX(0,H1016-648000)</f>
        <v>516550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6.25">
      <c r="A1018" s="28" t="s">
        <v>17</v>
      </c>
      <c r="B1018" s="25"/>
      <c r="C1018" s="25"/>
      <c r="D1018" s="25"/>
      <c r="E1018" s="25"/>
      <c r="F1018" s="25"/>
      <c r="G1018" s="26"/>
      <c r="H1018" s="20">
        <v>649000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6.25">
      <c r="A1019" s="24"/>
      <c r="B1019" s="25"/>
      <c r="C1019" s="25"/>
      <c r="D1019" s="25"/>
      <c r="E1019" s="25"/>
      <c r="F1019" s="25"/>
      <c r="G1019" s="25"/>
      <c r="H1019" s="26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6.25">
      <c r="A1020" s="23"/>
      <c r="B1020" s="23"/>
      <c r="C1020" s="23"/>
      <c r="D1020" s="23"/>
      <c r="E1020" s="23"/>
      <c r="F1020" s="23"/>
      <c r="G1020" s="23"/>
      <c r="H1020" s="23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6.25">
      <c r="A1021" s="23"/>
      <c r="B1021" s="23"/>
      <c r="C1021" s="23"/>
      <c r="D1021" s="23"/>
      <c r="E1021" s="23"/>
      <c r="F1021" s="23"/>
      <c r="G1021" s="23"/>
      <c r="H1021" s="23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6.25">
      <c r="A1022" s="23"/>
      <c r="B1022" s="23"/>
      <c r="C1022" s="23"/>
      <c r="D1022" s="23"/>
      <c r="E1022" s="23"/>
      <c r="F1022" s="23"/>
      <c r="G1022" s="23"/>
      <c r="H1022" s="23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6.25">
      <c r="A1023" s="23"/>
      <c r="B1023" s="23"/>
      <c r="C1023" s="23"/>
      <c r="D1023" s="23"/>
      <c r="E1023" s="23"/>
      <c r="F1023" s="23"/>
      <c r="G1023" s="23"/>
      <c r="H1023" s="23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6.25">
      <c r="A1024" s="23"/>
      <c r="B1024" s="23"/>
      <c r="C1024" s="23"/>
      <c r="D1024" s="23"/>
      <c r="E1024" s="23"/>
      <c r="F1024" s="23"/>
      <c r="G1024" s="23"/>
      <c r="H1024" s="23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6.25">
      <c r="A1025" s="24" t="s">
        <v>0</v>
      </c>
      <c r="B1025" s="25"/>
      <c r="C1025" s="25"/>
      <c r="D1025" s="25"/>
      <c r="E1025" s="25"/>
      <c r="F1025" s="25"/>
      <c r="G1025" s="25"/>
      <c r="H1025" s="26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6.25">
      <c r="A1026" s="24" t="s">
        <v>309</v>
      </c>
      <c r="B1026" s="25"/>
      <c r="C1026" s="25"/>
      <c r="D1026" s="25"/>
      <c r="E1026" s="25"/>
      <c r="F1026" s="25"/>
      <c r="G1026" s="25"/>
      <c r="H1026" s="26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8.75">
      <c r="A1027" s="2" t="s">
        <v>2</v>
      </c>
      <c r="B1027" s="2" t="s">
        <v>3</v>
      </c>
      <c r="C1027" s="2" t="s">
        <v>4</v>
      </c>
      <c r="D1027" s="2" t="s">
        <v>5</v>
      </c>
      <c r="E1027" s="2" t="s">
        <v>6</v>
      </c>
      <c r="F1027" s="3" t="s">
        <v>7</v>
      </c>
      <c r="G1027" s="2" t="s">
        <v>8</v>
      </c>
      <c r="H1027" s="4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6.25">
      <c r="A1028" s="5">
        <v>1</v>
      </c>
      <c r="B1028" s="6" t="s">
        <v>310</v>
      </c>
      <c r="C1028" s="7" t="s">
        <v>311</v>
      </c>
      <c r="D1028" s="6" t="s">
        <v>127</v>
      </c>
      <c r="E1028" s="6">
        <v>2</v>
      </c>
      <c r="F1028" s="8">
        <v>293000</v>
      </c>
      <c r="G1028" s="9">
        <f t="shared" ref="G1028:G1030" si="54">IFERROR(E1028*F1028,0)</f>
        <v>586000</v>
      </c>
      <c r="H1028" s="10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6.25">
      <c r="A1029" s="5">
        <v>2</v>
      </c>
      <c r="B1029" s="13" t="s">
        <v>44</v>
      </c>
      <c r="C1029" s="12" t="s">
        <v>312</v>
      </c>
      <c r="D1029" s="13" t="s">
        <v>12</v>
      </c>
      <c r="E1029" s="13">
        <v>1.43</v>
      </c>
      <c r="F1029" s="14">
        <v>435000</v>
      </c>
      <c r="G1029" s="9">
        <f t="shared" si="54"/>
        <v>622050</v>
      </c>
      <c r="H1029" s="10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6.25">
      <c r="A1030" s="5">
        <v>3</v>
      </c>
      <c r="B1030" s="17" t="s">
        <v>14</v>
      </c>
      <c r="C1030" s="10"/>
      <c r="D1030" s="10"/>
      <c r="E1030" s="10"/>
      <c r="F1030" s="10"/>
      <c r="G1030" s="18">
        <f t="shared" si="54"/>
        <v>0</v>
      </c>
      <c r="H1030" s="10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6.25">
      <c r="A1031" s="27" t="s">
        <v>15</v>
      </c>
      <c r="B1031" s="25"/>
      <c r="C1031" s="25"/>
      <c r="D1031" s="25"/>
      <c r="E1031" s="25"/>
      <c r="F1031" s="25"/>
      <c r="G1031" s="26"/>
      <c r="H1031" s="19">
        <f>SUM(G1028:G1030)</f>
        <v>1208050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6.25">
      <c r="A1032" s="27" t="s">
        <v>16</v>
      </c>
      <c r="B1032" s="25"/>
      <c r="C1032" s="25"/>
      <c r="D1032" s="25"/>
      <c r="E1032" s="25"/>
      <c r="F1032" s="25"/>
      <c r="G1032" s="26"/>
      <c r="H1032" s="19">
        <f>MAX(0,H1031-648000)</f>
        <v>560050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6.25">
      <c r="A1033" s="28" t="s">
        <v>17</v>
      </c>
      <c r="B1033" s="25"/>
      <c r="C1033" s="25"/>
      <c r="D1033" s="25"/>
      <c r="E1033" s="25"/>
      <c r="F1033" s="25"/>
      <c r="G1033" s="26"/>
      <c r="H1033" s="20">
        <v>649000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6.25">
      <c r="A1034" s="24"/>
      <c r="B1034" s="25"/>
      <c r="C1034" s="25"/>
      <c r="D1034" s="25"/>
      <c r="E1034" s="25"/>
      <c r="F1034" s="25"/>
      <c r="G1034" s="25"/>
      <c r="H1034" s="26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6.25">
      <c r="A1035" s="23"/>
      <c r="B1035" s="23"/>
      <c r="C1035" s="23"/>
      <c r="D1035" s="23"/>
      <c r="E1035" s="23"/>
      <c r="F1035" s="23"/>
      <c r="G1035" s="23"/>
      <c r="H1035" s="23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6.25">
      <c r="A1036" s="23"/>
      <c r="B1036" s="23"/>
      <c r="C1036" s="23"/>
      <c r="D1036" s="23"/>
      <c r="E1036" s="23"/>
      <c r="F1036" s="23"/>
      <c r="G1036" s="23"/>
      <c r="H1036" s="23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6.25">
      <c r="A1037" s="23"/>
      <c r="B1037" s="23"/>
      <c r="C1037" s="23"/>
      <c r="D1037" s="23"/>
      <c r="E1037" s="23"/>
      <c r="F1037" s="23"/>
      <c r="G1037" s="23"/>
      <c r="H1037" s="23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6.25">
      <c r="A1038" s="23"/>
      <c r="B1038" s="23"/>
      <c r="C1038" s="23"/>
      <c r="D1038" s="23"/>
      <c r="E1038" s="23"/>
      <c r="F1038" s="23"/>
      <c r="G1038" s="23"/>
      <c r="H1038" s="23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6.25">
      <c r="A1039" s="23"/>
      <c r="B1039" s="23"/>
      <c r="C1039" s="23"/>
      <c r="D1039" s="23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6.25">
      <c r="A1040" s="24" t="s">
        <v>0</v>
      </c>
      <c r="B1040" s="25"/>
      <c r="C1040" s="25"/>
      <c r="D1040" s="25"/>
      <c r="E1040" s="25"/>
      <c r="F1040" s="25"/>
      <c r="G1040" s="25"/>
      <c r="H1040" s="26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6.25">
      <c r="A1041" s="24" t="s">
        <v>313</v>
      </c>
      <c r="B1041" s="25"/>
      <c r="C1041" s="25"/>
      <c r="D1041" s="25"/>
      <c r="E1041" s="25"/>
      <c r="F1041" s="25"/>
      <c r="G1041" s="25"/>
      <c r="H1041" s="26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8.75">
      <c r="A1042" s="2" t="s">
        <v>2</v>
      </c>
      <c r="B1042" s="2" t="s">
        <v>3</v>
      </c>
      <c r="C1042" s="2" t="s">
        <v>4</v>
      </c>
      <c r="D1042" s="2" t="s">
        <v>5</v>
      </c>
      <c r="E1042" s="2" t="s">
        <v>6</v>
      </c>
      <c r="F1042" s="3" t="s">
        <v>7</v>
      </c>
      <c r="G1042" s="2" t="s">
        <v>8</v>
      </c>
      <c r="H1042" s="4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6.25">
      <c r="A1043" s="5">
        <v>1</v>
      </c>
      <c r="B1043" s="6" t="s">
        <v>314</v>
      </c>
      <c r="C1043" s="7" t="s">
        <v>315</v>
      </c>
      <c r="D1043" s="6" t="s">
        <v>127</v>
      </c>
      <c r="E1043" s="6">
        <v>2</v>
      </c>
      <c r="F1043" s="8">
        <v>293000</v>
      </c>
      <c r="G1043" s="9">
        <f t="shared" ref="G1043:G1045" si="55">IFERROR(E1043*F1043,0)</f>
        <v>586000</v>
      </c>
      <c r="H1043" s="10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6.25">
      <c r="A1044" s="5">
        <v>2</v>
      </c>
      <c r="B1044" s="13" t="s">
        <v>316</v>
      </c>
      <c r="C1044" s="12" t="s">
        <v>317</v>
      </c>
      <c r="D1044" s="13" t="s">
        <v>12</v>
      </c>
      <c r="E1044" s="13">
        <v>1.63</v>
      </c>
      <c r="F1044" s="14">
        <v>435000</v>
      </c>
      <c r="G1044" s="9">
        <f t="shared" si="55"/>
        <v>709050</v>
      </c>
      <c r="H1044" s="10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6.25">
      <c r="A1045" s="5">
        <v>3</v>
      </c>
      <c r="B1045" s="17" t="s">
        <v>14</v>
      </c>
      <c r="C1045" s="10"/>
      <c r="D1045" s="10"/>
      <c r="E1045" s="10"/>
      <c r="F1045" s="10"/>
      <c r="G1045" s="18">
        <f t="shared" si="55"/>
        <v>0</v>
      </c>
      <c r="H1045" s="10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6.25">
      <c r="A1046" s="27" t="s">
        <v>15</v>
      </c>
      <c r="B1046" s="25"/>
      <c r="C1046" s="25"/>
      <c r="D1046" s="25"/>
      <c r="E1046" s="25"/>
      <c r="F1046" s="25"/>
      <c r="G1046" s="26"/>
      <c r="H1046" s="19">
        <f>SUM(G1043:G1045)</f>
        <v>1295050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6.25">
      <c r="A1047" s="27" t="s">
        <v>16</v>
      </c>
      <c r="B1047" s="25"/>
      <c r="C1047" s="25"/>
      <c r="D1047" s="25"/>
      <c r="E1047" s="25"/>
      <c r="F1047" s="25"/>
      <c r="G1047" s="26"/>
      <c r="H1047" s="19">
        <f>MAX(0,H1046-648000)</f>
        <v>647050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6.25">
      <c r="A1048" s="28" t="s">
        <v>17</v>
      </c>
      <c r="B1048" s="25"/>
      <c r="C1048" s="25"/>
      <c r="D1048" s="25"/>
      <c r="E1048" s="25"/>
      <c r="F1048" s="25"/>
      <c r="G1048" s="26"/>
      <c r="H1048" s="20">
        <v>649000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6.25">
      <c r="A1049" s="24"/>
      <c r="B1049" s="25"/>
      <c r="C1049" s="25"/>
      <c r="D1049" s="25"/>
      <c r="E1049" s="25"/>
      <c r="F1049" s="25"/>
      <c r="G1049" s="25"/>
      <c r="H1049" s="26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6.25">
      <c r="A1050" s="23"/>
      <c r="B1050" s="23"/>
      <c r="C1050" s="23"/>
      <c r="D1050" s="23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6.25">
      <c r="A1051" s="23"/>
      <c r="B1051" s="23"/>
      <c r="C1051" s="23"/>
      <c r="D1051" s="23"/>
      <c r="E1051" s="23"/>
      <c r="F1051" s="23"/>
      <c r="G1051" s="23"/>
      <c r="H1051" s="23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6.25">
      <c r="A1052" s="23"/>
      <c r="B1052" s="23"/>
      <c r="C1052" s="23"/>
      <c r="D1052" s="23"/>
      <c r="E1052" s="23"/>
      <c r="F1052" s="23"/>
      <c r="G1052" s="23"/>
      <c r="H1052" s="23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6.25">
      <c r="A1053" s="23"/>
      <c r="B1053" s="23"/>
      <c r="C1053" s="23"/>
      <c r="D1053" s="23"/>
      <c r="E1053" s="23"/>
      <c r="F1053" s="23"/>
      <c r="G1053" s="23"/>
      <c r="H1053" s="23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6.25">
      <c r="A1054" s="23"/>
      <c r="B1054" s="23"/>
      <c r="C1054" s="23"/>
      <c r="D1054" s="23"/>
      <c r="E1054" s="23"/>
      <c r="F1054" s="23"/>
      <c r="G1054" s="23"/>
      <c r="H1054" s="23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6.25">
      <c r="A1055" s="23"/>
      <c r="B1055" s="23"/>
      <c r="C1055" s="23"/>
      <c r="D1055" s="23"/>
      <c r="E1055" s="23"/>
      <c r="F1055" s="23"/>
      <c r="G1055" s="23"/>
      <c r="H1055" s="23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6.25">
      <c r="A1056" s="23"/>
      <c r="B1056" s="23"/>
      <c r="C1056" s="23"/>
      <c r="D1056" s="23"/>
      <c r="E1056" s="23"/>
      <c r="F1056" s="23"/>
      <c r="G1056" s="23"/>
      <c r="H1056" s="23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6.25">
      <c r="A1057" s="24" t="s">
        <v>0</v>
      </c>
      <c r="B1057" s="25"/>
      <c r="C1057" s="25"/>
      <c r="D1057" s="25"/>
      <c r="E1057" s="25"/>
      <c r="F1057" s="25"/>
      <c r="G1057" s="25"/>
      <c r="H1057" s="26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6.25">
      <c r="A1058" s="24" t="s">
        <v>318</v>
      </c>
      <c r="B1058" s="25"/>
      <c r="C1058" s="25"/>
      <c r="D1058" s="25"/>
      <c r="E1058" s="25"/>
      <c r="F1058" s="25"/>
      <c r="G1058" s="25"/>
      <c r="H1058" s="26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8.75">
      <c r="A1059" s="2" t="s">
        <v>2</v>
      </c>
      <c r="B1059" s="2" t="s">
        <v>3</v>
      </c>
      <c r="C1059" s="2" t="s">
        <v>4</v>
      </c>
      <c r="D1059" s="2" t="s">
        <v>5</v>
      </c>
      <c r="E1059" s="2" t="s">
        <v>6</v>
      </c>
      <c r="F1059" s="3" t="s">
        <v>7</v>
      </c>
      <c r="G1059" s="2" t="s">
        <v>8</v>
      </c>
      <c r="H1059" s="4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6.25">
      <c r="A1060" s="5">
        <v>1</v>
      </c>
      <c r="B1060" s="6" t="s">
        <v>213</v>
      </c>
      <c r="C1060" s="7" t="s">
        <v>319</v>
      </c>
      <c r="D1060" s="6" t="s">
        <v>127</v>
      </c>
      <c r="E1060" s="6">
        <v>2.2000000000000002</v>
      </c>
      <c r="F1060" s="8">
        <v>293000</v>
      </c>
      <c r="G1060" s="9">
        <f t="shared" ref="G1060:G1062" si="56">IFERROR(E1060*F1060,0)</f>
        <v>644600</v>
      </c>
      <c r="H1060" s="10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6.25">
      <c r="A1061" s="5">
        <v>2</v>
      </c>
      <c r="B1061" s="13" t="s">
        <v>320</v>
      </c>
      <c r="C1061" s="12" t="s">
        <v>321</v>
      </c>
      <c r="D1061" s="13" t="s">
        <v>12</v>
      </c>
      <c r="E1061" s="13">
        <v>1.27</v>
      </c>
      <c r="F1061" s="14">
        <v>435000</v>
      </c>
      <c r="G1061" s="9">
        <f t="shared" si="56"/>
        <v>552450</v>
      </c>
      <c r="H1061" s="10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6.25">
      <c r="A1062" s="5">
        <v>3</v>
      </c>
      <c r="B1062" s="17" t="s">
        <v>14</v>
      </c>
      <c r="C1062" s="10"/>
      <c r="D1062" s="10"/>
      <c r="E1062" s="10"/>
      <c r="F1062" s="10"/>
      <c r="G1062" s="18">
        <f t="shared" si="56"/>
        <v>0</v>
      </c>
      <c r="H1062" s="10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6.25">
      <c r="A1063" s="27" t="s">
        <v>15</v>
      </c>
      <c r="B1063" s="25"/>
      <c r="C1063" s="25"/>
      <c r="D1063" s="25"/>
      <c r="E1063" s="25"/>
      <c r="F1063" s="25"/>
      <c r="G1063" s="26"/>
      <c r="H1063" s="19">
        <f>SUM(G1060:G1062)</f>
        <v>1197050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6.25">
      <c r="A1064" s="27" t="s">
        <v>16</v>
      </c>
      <c r="B1064" s="25"/>
      <c r="C1064" s="25"/>
      <c r="D1064" s="25"/>
      <c r="E1064" s="25"/>
      <c r="F1064" s="25"/>
      <c r="G1064" s="26"/>
      <c r="H1064" s="19">
        <f>MAX(0,H1063-648000)</f>
        <v>549050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6.25">
      <c r="A1065" s="28" t="s">
        <v>17</v>
      </c>
      <c r="B1065" s="25"/>
      <c r="C1065" s="25"/>
      <c r="D1065" s="25"/>
      <c r="E1065" s="25"/>
      <c r="F1065" s="25"/>
      <c r="G1065" s="26"/>
      <c r="H1065" s="20">
        <v>649000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6.25">
      <c r="A1066" s="24"/>
      <c r="B1066" s="25"/>
      <c r="C1066" s="25"/>
      <c r="D1066" s="25"/>
      <c r="E1066" s="25"/>
      <c r="F1066" s="25"/>
      <c r="G1066" s="25"/>
      <c r="H1066" s="26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6.25">
      <c r="A1067" s="23"/>
      <c r="B1067" s="23"/>
      <c r="C1067" s="23"/>
      <c r="D1067" s="23"/>
      <c r="E1067" s="23"/>
      <c r="F1067" s="23"/>
      <c r="G1067" s="23"/>
      <c r="H1067" s="23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6.25">
      <c r="A1068" s="23"/>
      <c r="B1068" s="23"/>
      <c r="C1068" s="23"/>
      <c r="D1068" s="23"/>
      <c r="E1068" s="23"/>
      <c r="F1068" s="23"/>
      <c r="G1068" s="23"/>
      <c r="H1068" s="23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6.25">
      <c r="A1069" s="23"/>
      <c r="B1069" s="23"/>
      <c r="C1069" s="23"/>
      <c r="D1069" s="23"/>
      <c r="E1069" s="23"/>
      <c r="F1069" s="23"/>
      <c r="G1069" s="23"/>
      <c r="H1069" s="23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6.25">
      <c r="A1070" s="23"/>
      <c r="B1070" s="23"/>
      <c r="C1070" s="23"/>
      <c r="D1070" s="23"/>
      <c r="E1070" s="23"/>
      <c r="F1070" s="23"/>
      <c r="G1070" s="23"/>
      <c r="H1070" s="23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6.25">
      <c r="A1071" s="23"/>
      <c r="B1071" s="23"/>
      <c r="C1071" s="23"/>
      <c r="D1071" s="23"/>
      <c r="E1071" s="23"/>
      <c r="F1071" s="23"/>
      <c r="G1071" s="23"/>
      <c r="H1071" s="23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6.25">
      <c r="A1072" s="24" t="s">
        <v>0</v>
      </c>
      <c r="B1072" s="25"/>
      <c r="C1072" s="25"/>
      <c r="D1072" s="25"/>
      <c r="E1072" s="25"/>
      <c r="F1072" s="25"/>
      <c r="G1072" s="25"/>
      <c r="H1072" s="26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6.25">
      <c r="A1073" s="24" t="s">
        <v>322</v>
      </c>
      <c r="B1073" s="25"/>
      <c r="C1073" s="25"/>
      <c r="D1073" s="25"/>
      <c r="E1073" s="25"/>
      <c r="F1073" s="25"/>
      <c r="G1073" s="25"/>
      <c r="H1073" s="26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8.75">
      <c r="A1074" s="2" t="s">
        <v>2</v>
      </c>
      <c r="B1074" s="2" t="s">
        <v>3</v>
      </c>
      <c r="C1074" s="2" t="s">
        <v>4</v>
      </c>
      <c r="D1074" s="2" t="s">
        <v>5</v>
      </c>
      <c r="E1074" s="2" t="s">
        <v>6</v>
      </c>
      <c r="F1074" s="3" t="s">
        <v>7</v>
      </c>
      <c r="G1074" s="2" t="s">
        <v>8</v>
      </c>
      <c r="H1074" s="4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6.25">
      <c r="A1075" s="5">
        <v>1</v>
      </c>
      <c r="B1075" s="6" t="s">
        <v>31</v>
      </c>
      <c r="C1075" s="7" t="s">
        <v>323</v>
      </c>
      <c r="D1075" s="6" t="s">
        <v>127</v>
      </c>
      <c r="E1075" s="6">
        <v>1.5</v>
      </c>
      <c r="F1075" s="8">
        <v>293000</v>
      </c>
      <c r="G1075" s="9">
        <f t="shared" ref="G1075:G1077" si="57">IFERROR(E1075*F1075,0)</f>
        <v>439500</v>
      </c>
      <c r="H1075" s="10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6.25">
      <c r="A1076" s="5">
        <v>2</v>
      </c>
      <c r="B1076" s="13" t="s">
        <v>324</v>
      </c>
      <c r="C1076" s="12" t="s">
        <v>325</v>
      </c>
      <c r="D1076" s="13" t="s">
        <v>12</v>
      </c>
      <c r="E1076" s="13">
        <v>2</v>
      </c>
      <c r="F1076" s="14">
        <v>435000</v>
      </c>
      <c r="G1076" s="9">
        <f t="shared" si="57"/>
        <v>870000</v>
      </c>
      <c r="H1076" s="10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6.25">
      <c r="A1077" s="5">
        <v>3</v>
      </c>
      <c r="B1077" s="17" t="s">
        <v>14</v>
      </c>
      <c r="C1077" s="10"/>
      <c r="D1077" s="10"/>
      <c r="E1077" s="10"/>
      <c r="F1077" s="10"/>
      <c r="G1077" s="18">
        <f t="shared" si="57"/>
        <v>0</v>
      </c>
      <c r="H1077" s="10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6.25">
      <c r="A1078" s="27" t="s">
        <v>15</v>
      </c>
      <c r="B1078" s="25"/>
      <c r="C1078" s="25"/>
      <c r="D1078" s="25"/>
      <c r="E1078" s="25"/>
      <c r="F1078" s="25"/>
      <c r="G1078" s="26"/>
      <c r="H1078" s="19">
        <f>SUM(G1075:G1077)</f>
        <v>1309500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6.25">
      <c r="A1079" s="27" t="s">
        <v>16</v>
      </c>
      <c r="B1079" s="25"/>
      <c r="C1079" s="25"/>
      <c r="D1079" s="25"/>
      <c r="E1079" s="25"/>
      <c r="F1079" s="25"/>
      <c r="G1079" s="26"/>
      <c r="H1079" s="19">
        <f>MAX(0,H1078-648000)</f>
        <v>661500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6.25">
      <c r="A1080" s="28" t="s">
        <v>17</v>
      </c>
      <c r="B1080" s="25"/>
      <c r="C1080" s="25"/>
      <c r="D1080" s="25"/>
      <c r="E1080" s="25"/>
      <c r="F1080" s="25"/>
      <c r="G1080" s="26"/>
      <c r="H1080" s="20">
        <v>649000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6.25">
      <c r="A1081" s="24"/>
      <c r="B1081" s="25"/>
      <c r="C1081" s="25"/>
      <c r="D1081" s="25"/>
      <c r="E1081" s="25"/>
      <c r="F1081" s="25"/>
      <c r="G1081" s="25"/>
      <c r="H1081" s="26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6.25">
      <c r="A1082" s="23"/>
      <c r="B1082" s="23"/>
      <c r="C1082" s="23"/>
      <c r="D1082" s="23"/>
      <c r="E1082" s="23"/>
      <c r="F1082" s="23"/>
      <c r="G1082" s="23"/>
      <c r="H1082" s="23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6.25">
      <c r="A1083" s="23"/>
      <c r="B1083" s="23"/>
      <c r="C1083" s="23"/>
      <c r="D1083" s="23"/>
      <c r="E1083" s="23"/>
      <c r="F1083" s="23"/>
      <c r="G1083" s="23"/>
      <c r="H1083" s="23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6.25">
      <c r="A1084" s="23"/>
      <c r="B1084" s="23"/>
      <c r="C1084" s="23"/>
      <c r="D1084" s="23"/>
      <c r="E1084" s="23"/>
      <c r="F1084" s="23"/>
      <c r="G1084" s="23"/>
      <c r="H1084" s="23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6.25">
      <c r="A1085" s="23"/>
      <c r="B1085" s="23"/>
      <c r="C1085" s="23"/>
      <c r="D1085" s="23"/>
      <c r="E1085" s="23"/>
      <c r="F1085" s="23"/>
      <c r="G1085" s="23"/>
      <c r="H1085" s="23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6.25">
      <c r="A1086" s="23"/>
      <c r="B1086" s="23"/>
      <c r="C1086" s="23"/>
      <c r="D1086" s="23"/>
      <c r="E1086" s="23"/>
      <c r="F1086" s="23"/>
      <c r="G1086" s="23"/>
      <c r="H1086" s="23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6.25">
      <c r="A1087" s="23"/>
      <c r="B1087" s="23"/>
      <c r="C1087" s="23"/>
      <c r="D1087" s="23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6.25">
      <c r="A1088" s="23"/>
      <c r="B1088" s="23"/>
      <c r="C1088" s="23"/>
      <c r="D1088" s="23"/>
      <c r="E1088" s="23"/>
      <c r="F1088" s="23"/>
      <c r="G1088" s="23"/>
      <c r="H1088" s="23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6.25">
      <c r="A1089" s="24" t="s">
        <v>0</v>
      </c>
      <c r="B1089" s="25"/>
      <c r="C1089" s="25"/>
      <c r="D1089" s="25"/>
      <c r="E1089" s="25"/>
      <c r="F1089" s="25"/>
      <c r="G1089" s="25"/>
      <c r="H1089" s="26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6.25">
      <c r="A1090" s="24" t="s">
        <v>326</v>
      </c>
      <c r="B1090" s="25"/>
      <c r="C1090" s="25"/>
      <c r="D1090" s="25"/>
      <c r="E1090" s="25"/>
      <c r="F1090" s="25"/>
      <c r="G1090" s="25"/>
      <c r="H1090" s="26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8.75">
      <c r="A1091" s="2" t="s">
        <v>2</v>
      </c>
      <c r="B1091" s="2" t="s">
        <v>3</v>
      </c>
      <c r="C1091" s="2" t="s">
        <v>4</v>
      </c>
      <c r="D1091" s="2" t="s">
        <v>5</v>
      </c>
      <c r="E1091" s="2" t="s">
        <v>6</v>
      </c>
      <c r="F1091" s="3" t="s">
        <v>7</v>
      </c>
      <c r="G1091" s="2" t="s">
        <v>8</v>
      </c>
      <c r="H1091" s="4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6.25">
      <c r="A1092" s="5">
        <v>1</v>
      </c>
      <c r="B1092" s="6" t="s">
        <v>327</v>
      </c>
      <c r="C1092" s="7" t="s">
        <v>328</v>
      </c>
      <c r="D1092" s="6" t="s">
        <v>127</v>
      </c>
      <c r="E1092" s="6">
        <v>1.5</v>
      </c>
      <c r="F1092" s="8">
        <v>293000</v>
      </c>
      <c r="G1092" s="9">
        <f t="shared" ref="G1092:G1094" si="58">IFERROR(E1092*F1092,0)</f>
        <v>439500</v>
      </c>
      <c r="H1092" s="10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6.25">
      <c r="A1093" s="5">
        <v>2</v>
      </c>
      <c r="B1093" s="13" t="s">
        <v>329</v>
      </c>
      <c r="C1093" s="12" t="s">
        <v>330</v>
      </c>
      <c r="D1093" s="13" t="s">
        <v>12</v>
      </c>
      <c r="E1093" s="13">
        <v>2</v>
      </c>
      <c r="F1093" s="14">
        <v>435000</v>
      </c>
      <c r="G1093" s="9">
        <f t="shared" si="58"/>
        <v>870000</v>
      </c>
      <c r="H1093" s="10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6.25">
      <c r="A1094" s="5">
        <v>3</v>
      </c>
      <c r="B1094" s="17" t="s">
        <v>14</v>
      </c>
      <c r="C1094" s="10"/>
      <c r="D1094" s="10"/>
      <c r="E1094" s="10"/>
      <c r="F1094" s="10"/>
      <c r="G1094" s="18">
        <f t="shared" si="58"/>
        <v>0</v>
      </c>
      <c r="H1094" s="10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6.25">
      <c r="A1095" s="27" t="s">
        <v>15</v>
      </c>
      <c r="B1095" s="25"/>
      <c r="C1095" s="25"/>
      <c r="D1095" s="25"/>
      <c r="E1095" s="25"/>
      <c r="F1095" s="25"/>
      <c r="G1095" s="26"/>
      <c r="H1095" s="19">
        <f>SUM(G1092:G1094)</f>
        <v>1309500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6.25">
      <c r="A1096" s="27" t="s">
        <v>16</v>
      </c>
      <c r="B1096" s="25"/>
      <c r="C1096" s="25"/>
      <c r="D1096" s="25"/>
      <c r="E1096" s="25"/>
      <c r="F1096" s="25"/>
      <c r="G1096" s="26"/>
      <c r="H1096" s="19">
        <f>MAX(0,H1095-648000)</f>
        <v>661500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6.25">
      <c r="A1097" s="28" t="s">
        <v>17</v>
      </c>
      <c r="B1097" s="25"/>
      <c r="C1097" s="25"/>
      <c r="D1097" s="25"/>
      <c r="E1097" s="25"/>
      <c r="F1097" s="25"/>
      <c r="G1097" s="26"/>
      <c r="H1097" s="20">
        <v>649000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6.25">
      <c r="A1098" s="24"/>
      <c r="B1098" s="25"/>
      <c r="C1098" s="25"/>
      <c r="D1098" s="25"/>
      <c r="E1098" s="25"/>
      <c r="F1098" s="25"/>
      <c r="G1098" s="25"/>
      <c r="H1098" s="26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6.25">
      <c r="A1099" s="23"/>
      <c r="B1099" s="23"/>
      <c r="C1099" s="23"/>
      <c r="D1099" s="23"/>
      <c r="E1099" s="23"/>
      <c r="F1099" s="23"/>
      <c r="G1099" s="23"/>
      <c r="H1099" s="23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6.25">
      <c r="A1100" s="23"/>
      <c r="B1100" s="23"/>
      <c r="C1100" s="23"/>
      <c r="D1100" s="23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6.25">
      <c r="A1101" s="23"/>
      <c r="B1101" s="23"/>
      <c r="C1101" s="23"/>
      <c r="D1101" s="23"/>
      <c r="E1101" s="23"/>
      <c r="F1101" s="23"/>
      <c r="G1101" s="23"/>
      <c r="H1101" s="23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6.25">
      <c r="A1102" s="23"/>
      <c r="B1102" s="23"/>
      <c r="C1102" s="23"/>
      <c r="D1102" s="23"/>
      <c r="E1102" s="23"/>
      <c r="F1102" s="23"/>
      <c r="G1102" s="23"/>
      <c r="H1102" s="23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6.25">
      <c r="A1103" s="23"/>
      <c r="B1103" s="23"/>
      <c r="C1103" s="23"/>
      <c r="D1103" s="23"/>
      <c r="E1103" s="23"/>
      <c r="F1103" s="23"/>
      <c r="G1103" s="23"/>
      <c r="H1103" s="23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6.25">
      <c r="A1104" s="23"/>
      <c r="B1104" s="23"/>
      <c r="C1104" s="23"/>
      <c r="D1104" s="23"/>
      <c r="E1104" s="23"/>
      <c r="F1104" s="23"/>
      <c r="G1104" s="23"/>
      <c r="H1104" s="23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6.25">
      <c r="A1105" s="23"/>
      <c r="B1105" s="23"/>
      <c r="C1105" s="23"/>
      <c r="D1105" s="23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6.25">
      <c r="A1106" s="24" t="s">
        <v>0</v>
      </c>
      <c r="B1106" s="25"/>
      <c r="C1106" s="25"/>
      <c r="D1106" s="25"/>
      <c r="E1106" s="25"/>
      <c r="F1106" s="25"/>
      <c r="G1106" s="25"/>
      <c r="H1106" s="26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6.25">
      <c r="A1107" s="24" t="s">
        <v>331</v>
      </c>
      <c r="B1107" s="25"/>
      <c r="C1107" s="25"/>
      <c r="D1107" s="25"/>
      <c r="E1107" s="25"/>
      <c r="F1107" s="25"/>
      <c r="G1107" s="25"/>
      <c r="H1107" s="26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8.75">
      <c r="A1108" s="2" t="s">
        <v>2</v>
      </c>
      <c r="B1108" s="2" t="s">
        <v>3</v>
      </c>
      <c r="C1108" s="2" t="s">
        <v>4</v>
      </c>
      <c r="D1108" s="2" t="s">
        <v>5</v>
      </c>
      <c r="E1108" s="2" t="s">
        <v>6</v>
      </c>
      <c r="F1108" s="3" t="s">
        <v>7</v>
      </c>
      <c r="G1108" s="2" t="s">
        <v>8</v>
      </c>
      <c r="H1108" s="4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6.25">
      <c r="A1109" s="5">
        <v>1</v>
      </c>
      <c r="B1109" s="6" t="s">
        <v>332</v>
      </c>
      <c r="C1109" s="7" t="s">
        <v>333</v>
      </c>
      <c r="D1109" s="6" t="s">
        <v>127</v>
      </c>
      <c r="E1109" s="6">
        <v>1.5</v>
      </c>
      <c r="F1109" s="8">
        <v>293000</v>
      </c>
      <c r="G1109" s="9">
        <f t="shared" ref="G1109:G1111" si="59">IFERROR(E1109*F1109,0)</f>
        <v>439500</v>
      </c>
      <c r="H1109" s="10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6.25">
      <c r="A1110" s="5">
        <v>2</v>
      </c>
      <c r="B1110" s="13" t="s">
        <v>329</v>
      </c>
      <c r="C1110" s="12" t="s">
        <v>334</v>
      </c>
      <c r="D1110" s="13" t="s">
        <v>12</v>
      </c>
      <c r="E1110" s="13">
        <v>2</v>
      </c>
      <c r="F1110" s="14">
        <v>435000</v>
      </c>
      <c r="G1110" s="9">
        <f t="shared" si="59"/>
        <v>870000</v>
      </c>
      <c r="H1110" s="10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6.25">
      <c r="A1111" s="5">
        <v>3</v>
      </c>
      <c r="B1111" s="17" t="s">
        <v>14</v>
      </c>
      <c r="C1111" s="10"/>
      <c r="D1111" s="10"/>
      <c r="E1111" s="10"/>
      <c r="F1111" s="10"/>
      <c r="G1111" s="18">
        <f t="shared" si="59"/>
        <v>0</v>
      </c>
      <c r="H1111" s="10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6.25">
      <c r="A1112" s="27" t="s">
        <v>15</v>
      </c>
      <c r="B1112" s="25"/>
      <c r="C1112" s="25"/>
      <c r="D1112" s="25"/>
      <c r="E1112" s="25"/>
      <c r="F1112" s="25"/>
      <c r="G1112" s="26"/>
      <c r="H1112" s="19">
        <f>SUM(G1109:G1111)</f>
        <v>1309500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6.25">
      <c r="A1113" s="27" t="s">
        <v>16</v>
      </c>
      <c r="B1113" s="25"/>
      <c r="C1113" s="25"/>
      <c r="D1113" s="25"/>
      <c r="E1113" s="25"/>
      <c r="F1113" s="25"/>
      <c r="G1113" s="26"/>
      <c r="H1113" s="19">
        <f>MAX(0,H1112-648000)</f>
        <v>661500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6.25">
      <c r="A1114" s="28" t="s">
        <v>17</v>
      </c>
      <c r="B1114" s="25"/>
      <c r="C1114" s="25"/>
      <c r="D1114" s="25"/>
      <c r="E1114" s="25"/>
      <c r="F1114" s="25"/>
      <c r="G1114" s="26"/>
      <c r="H1114" s="20">
        <v>649000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6.25">
      <c r="A1115" s="24"/>
      <c r="B1115" s="25"/>
      <c r="C1115" s="25"/>
      <c r="D1115" s="25"/>
      <c r="E1115" s="25"/>
      <c r="F1115" s="25"/>
      <c r="G1115" s="25"/>
      <c r="H1115" s="26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6.25">
      <c r="A1116" s="23"/>
      <c r="B1116" s="23"/>
      <c r="C1116" s="23"/>
      <c r="D1116" s="23"/>
      <c r="E1116" s="23"/>
      <c r="F1116" s="23"/>
      <c r="G1116" s="23"/>
      <c r="H1116" s="23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6.25">
      <c r="A1117" s="23"/>
      <c r="B1117" s="23"/>
      <c r="C1117" s="23"/>
      <c r="D1117" s="23"/>
      <c r="E1117" s="23"/>
      <c r="F1117" s="23"/>
      <c r="G1117" s="23"/>
      <c r="H1117" s="23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6.25">
      <c r="A1118" s="23"/>
      <c r="B1118" s="23"/>
      <c r="C1118" s="23"/>
      <c r="D1118" s="23"/>
      <c r="E1118" s="23"/>
      <c r="F1118" s="23"/>
      <c r="G1118" s="23"/>
      <c r="H1118" s="23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6.25">
      <c r="A1119" s="23"/>
      <c r="B1119" s="23"/>
      <c r="C1119" s="23"/>
      <c r="D1119" s="23"/>
      <c r="E1119" s="23"/>
      <c r="F1119" s="23"/>
      <c r="G1119" s="23"/>
      <c r="H1119" s="23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6.25">
      <c r="A1120" s="23"/>
      <c r="B1120" s="23"/>
      <c r="C1120" s="23"/>
      <c r="D1120" s="23"/>
      <c r="E1120" s="23"/>
      <c r="F1120" s="23"/>
      <c r="G1120" s="23"/>
      <c r="H1120" s="23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6.25">
      <c r="A1121" s="23"/>
      <c r="B1121" s="23"/>
      <c r="C1121" s="23"/>
      <c r="D1121" s="23"/>
      <c r="E1121" s="23"/>
      <c r="F1121" s="23"/>
      <c r="G1121" s="23"/>
      <c r="H1121" s="23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6.25">
      <c r="A1122" s="23"/>
      <c r="B1122" s="23"/>
      <c r="C1122" s="23"/>
      <c r="D1122" s="23"/>
      <c r="E1122" s="23"/>
      <c r="F1122" s="23"/>
      <c r="G1122" s="23"/>
      <c r="H1122" s="23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6.25">
      <c r="A1123" s="24" t="s">
        <v>0</v>
      </c>
      <c r="B1123" s="25"/>
      <c r="C1123" s="25"/>
      <c r="D1123" s="25"/>
      <c r="E1123" s="25"/>
      <c r="F1123" s="25"/>
      <c r="G1123" s="25"/>
      <c r="H1123" s="26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6.25">
      <c r="A1124" s="24" t="s">
        <v>335</v>
      </c>
      <c r="B1124" s="25"/>
      <c r="C1124" s="25"/>
      <c r="D1124" s="25"/>
      <c r="E1124" s="25"/>
      <c r="F1124" s="25"/>
      <c r="G1124" s="25"/>
      <c r="H1124" s="26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8.75">
      <c r="A1125" s="2" t="s">
        <v>2</v>
      </c>
      <c r="B1125" s="2" t="s">
        <v>3</v>
      </c>
      <c r="C1125" s="2" t="s">
        <v>4</v>
      </c>
      <c r="D1125" s="2" t="s">
        <v>5</v>
      </c>
      <c r="E1125" s="2" t="s">
        <v>6</v>
      </c>
      <c r="F1125" s="3" t="s">
        <v>7</v>
      </c>
      <c r="G1125" s="2" t="s">
        <v>8</v>
      </c>
      <c r="H1125" s="4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6.25">
      <c r="A1126" s="5">
        <v>1</v>
      </c>
      <c r="B1126" s="6" t="s">
        <v>336</v>
      </c>
      <c r="C1126" s="7" t="s">
        <v>337</v>
      </c>
      <c r="D1126" s="6" t="s">
        <v>127</v>
      </c>
      <c r="E1126" s="6">
        <v>1.7</v>
      </c>
      <c r="F1126" s="8">
        <v>293000</v>
      </c>
      <c r="G1126" s="9">
        <f t="shared" ref="G1126:G1128" si="60">IFERROR(E1126*F1126,0)</f>
        <v>498100</v>
      </c>
      <c r="H1126" s="10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6.25">
      <c r="A1127" s="5">
        <v>2</v>
      </c>
      <c r="B1127" s="13" t="s">
        <v>167</v>
      </c>
      <c r="C1127" s="12" t="s">
        <v>338</v>
      </c>
      <c r="D1127" s="13" t="s">
        <v>12</v>
      </c>
      <c r="E1127" s="13">
        <v>1.65</v>
      </c>
      <c r="F1127" s="14">
        <v>435000</v>
      </c>
      <c r="G1127" s="9">
        <f t="shared" si="60"/>
        <v>717750</v>
      </c>
      <c r="H1127" s="10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6.25">
      <c r="A1128" s="5">
        <v>3</v>
      </c>
      <c r="B1128" s="17" t="s">
        <v>14</v>
      </c>
      <c r="C1128" s="10"/>
      <c r="D1128" s="10"/>
      <c r="E1128" s="10"/>
      <c r="F1128" s="10"/>
      <c r="G1128" s="18">
        <f t="shared" si="60"/>
        <v>0</v>
      </c>
      <c r="H1128" s="10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6.25">
      <c r="A1129" s="27" t="s">
        <v>15</v>
      </c>
      <c r="B1129" s="25"/>
      <c r="C1129" s="25"/>
      <c r="D1129" s="25"/>
      <c r="E1129" s="25"/>
      <c r="F1129" s="25"/>
      <c r="G1129" s="26"/>
      <c r="H1129" s="19">
        <f>SUM(G1126:G1128)</f>
        <v>1215850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6.25">
      <c r="A1130" s="27" t="s">
        <v>16</v>
      </c>
      <c r="B1130" s="25"/>
      <c r="C1130" s="25"/>
      <c r="D1130" s="25"/>
      <c r="E1130" s="25"/>
      <c r="F1130" s="25"/>
      <c r="G1130" s="26"/>
      <c r="H1130" s="19">
        <f>MAX(0,H1129-648000)</f>
        <v>567850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6.25">
      <c r="A1131" s="28" t="s">
        <v>17</v>
      </c>
      <c r="B1131" s="25"/>
      <c r="C1131" s="25"/>
      <c r="D1131" s="25"/>
      <c r="E1131" s="25"/>
      <c r="F1131" s="25"/>
      <c r="G1131" s="26"/>
      <c r="H1131" s="20">
        <v>649000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6.25">
      <c r="A1132" s="24"/>
      <c r="B1132" s="25"/>
      <c r="C1132" s="25"/>
      <c r="D1132" s="25"/>
      <c r="E1132" s="25"/>
      <c r="F1132" s="25"/>
      <c r="G1132" s="25"/>
      <c r="H1132" s="26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6.25">
      <c r="A1133" s="23"/>
      <c r="B1133" s="23"/>
      <c r="C1133" s="23"/>
      <c r="D1133" s="23"/>
      <c r="E1133" s="23"/>
      <c r="F1133" s="23"/>
      <c r="G1133" s="23"/>
      <c r="H1133" s="23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6.25">
      <c r="A1134" s="23"/>
      <c r="B1134" s="23"/>
      <c r="C1134" s="23"/>
      <c r="D1134" s="23"/>
      <c r="E1134" s="23"/>
      <c r="F1134" s="23"/>
      <c r="G1134" s="23"/>
      <c r="H1134" s="23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6.25">
      <c r="A1135" s="23"/>
      <c r="B1135" s="23"/>
      <c r="C1135" s="23"/>
      <c r="D1135" s="23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6.25">
      <c r="A1136" s="23"/>
      <c r="B1136" s="23"/>
      <c r="C1136" s="23"/>
      <c r="D1136" s="23"/>
      <c r="E1136" s="23"/>
      <c r="F1136" s="23"/>
      <c r="G1136" s="23"/>
      <c r="H1136" s="23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6.25">
      <c r="A1137" s="23"/>
      <c r="B1137" s="23"/>
      <c r="C1137" s="23"/>
      <c r="D1137" s="23"/>
      <c r="E1137" s="23"/>
      <c r="F1137" s="23"/>
      <c r="G1137" s="23"/>
      <c r="H1137" s="23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6.25">
      <c r="A1138" s="23"/>
      <c r="B1138" s="23"/>
      <c r="C1138" s="23"/>
      <c r="D1138" s="23"/>
      <c r="E1138" s="23"/>
      <c r="F1138" s="23"/>
      <c r="G1138" s="23"/>
      <c r="H1138" s="23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6.25">
      <c r="A1139" s="23"/>
      <c r="B1139" s="23"/>
      <c r="C1139" s="23"/>
      <c r="D1139" s="23"/>
      <c r="E1139" s="23"/>
      <c r="F1139" s="23"/>
      <c r="G1139" s="23"/>
      <c r="H1139" s="23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6.25">
      <c r="A1140" s="23"/>
      <c r="B1140" s="23"/>
      <c r="C1140" s="23"/>
      <c r="D1140" s="23"/>
      <c r="E1140" s="23"/>
      <c r="F1140" s="23"/>
      <c r="G1140" s="23"/>
      <c r="H1140" s="23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6.25">
      <c r="A1141" s="24" t="s">
        <v>0</v>
      </c>
      <c r="B1141" s="25"/>
      <c r="C1141" s="25"/>
      <c r="D1141" s="25"/>
      <c r="E1141" s="25"/>
      <c r="F1141" s="25"/>
      <c r="G1141" s="25"/>
      <c r="H1141" s="26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6.25">
      <c r="A1142" s="24" t="s">
        <v>339</v>
      </c>
      <c r="B1142" s="25"/>
      <c r="C1142" s="25"/>
      <c r="D1142" s="25"/>
      <c r="E1142" s="25"/>
      <c r="F1142" s="25"/>
      <c r="G1142" s="25"/>
      <c r="H1142" s="26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8.75">
      <c r="A1143" s="2" t="s">
        <v>2</v>
      </c>
      <c r="B1143" s="2" t="s">
        <v>3</v>
      </c>
      <c r="C1143" s="2" t="s">
        <v>4</v>
      </c>
      <c r="D1143" s="2" t="s">
        <v>5</v>
      </c>
      <c r="E1143" s="2" t="s">
        <v>6</v>
      </c>
      <c r="F1143" s="3" t="s">
        <v>7</v>
      </c>
      <c r="G1143" s="2" t="s">
        <v>8</v>
      </c>
      <c r="H1143" s="4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6.25">
      <c r="A1144" s="5">
        <v>1</v>
      </c>
      <c r="B1144" s="6" t="s">
        <v>340</v>
      </c>
      <c r="C1144" s="7" t="s">
        <v>341</v>
      </c>
      <c r="D1144" s="6" t="s">
        <v>127</v>
      </c>
      <c r="E1144" s="6">
        <v>2</v>
      </c>
      <c r="F1144" s="8">
        <v>293000</v>
      </c>
      <c r="G1144" s="9">
        <f t="shared" ref="G1144:G1146" si="61">IFERROR(E1144*F1144,0)</f>
        <v>586000</v>
      </c>
      <c r="H1144" s="10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6.25">
      <c r="A1145" s="5">
        <v>2</v>
      </c>
      <c r="B1145" s="13" t="s">
        <v>73</v>
      </c>
      <c r="C1145" s="12" t="s">
        <v>74</v>
      </c>
      <c r="D1145" s="13" t="s">
        <v>12</v>
      </c>
      <c r="E1145" s="13">
        <v>1.5</v>
      </c>
      <c r="F1145" s="14">
        <v>435000</v>
      </c>
      <c r="G1145" s="9">
        <f t="shared" si="61"/>
        <v>652500</v>
      </c>
      <c r="H1145" s="10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6.25">
      <c r="A1146" s="5">
        <v>3</v>
      </c>
      <c r="B1146" s="17" t="s">
        <v>14</v>
      </c>
      <c r="C1146" s="10"/>
      <c r="D1146" s="10"/>
      <c r="E1146" s="10"/>
      <c r="F1146" s="10"/>
      <c r="G1146" s="18">
        <f t="shared" si="61"/>
        <v>0</v>
      </c>
      <c r="H1146" s="10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6.25">
      <c r="A1147" s="27" t="s">
        <v>15</v>
      </c>
      <c r="B1147" s="25"/>
      <c r="C1147" s="25"/>
      <c r="D1147" s="25"/>
      <c r="E1147" s="25"/>
      <c r="F1147" s="25"/>
      <c r="G1147" s="26"/>
      <c r="H1147" s="19">
        <f>SUM(G1144:G1146)</f>
        <v>1238500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6.25">
      <c r="A1148" s="27" t="s">
        <v>16</v>
      </c>
      <c r="B1148" s="25"/>
      <c r="C1148" s="25"/>
      <c r="D1148" s="25"/>
      <c r="E1148" s="25"/>
      <c r="F1148" s="25"/>
      <c r="G1148" s="26"/>
      <c r="H1148" s="19">
        <f>MAX(0,H1147-648000)</f>
        <v>590500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6.25">
      <c r="A1149" s="28" t="s">
        <v>17</v>
      </c>
      <c r="B1149" s="25"/>
      <c r="C1149" s="25"/>
      <c r="D1149" s="25"/>
      <c r="E1149" s="25"/>
      <c r="F1149" s="25"/>
      <c r="G1149" s="26"/>
      <c r="H1149" s="20">
        <v>649000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6.25">
      <c r="A1150" s="24"/>
      <c r="B1150" s="25"/>
      <c r="C1150" s="25"/>
      <c r="D1150" s="25"/>
      <c r="E1150" s="25"/>
      <c r="F1150" s="25"/>
      <c r="G1150" s="25"/>
      <c r="H1150" s="26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6.25">
      <c r="A1151" s="23"/>
      <c r="B1151" s="23"/>
      <c r="C1151" s="23"/>
      <c r="D1151" s="23"/>
      <c r="E1151" s="23"/>
      <c r="F1151" s="23"/>
      <c r="G1151" s="23"/>
      <c r="H1151" s="23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6.25">
      <c r="A1152" s="23"/>
      <c r="B1152" s="23"/>
      <c r="C1152" s="23"/>
      <c r="D1152" s="23"/>
      <c r="E1152" s="23"/>
      <c r="F1152" s="23"/>
      <c r="G1152" s="23"/>
      <c r="H1152" s="23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6.25">
      <c r="A1153" s="23"/>
      <c r="B1153" s="23"/>
      <c r="C1153" s="23"/>
      <c r="D1153" s="23"/>
      <c r="E1153" s="23"/>
      <c r="F1153" s="23"/>
      <c r="G1153" s="23"/>
      <c r="H1153" s="23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6.25">
      <c r="A1154" s="23"/>
      <c r="B1154" s="23"/>
      <c r="C1154" s="23"/>
      <c r="D1154" s="23"/>
      <c r="E1154" s="23"/>
      <c r="F1154" s="23"/>
      <c r="G1154" s="23"/>
      <c r="H1154" s="23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6.25">
      <c r="A1155" s="23"/>
      <c r="B1155" s="23"/>
      <c r="C1155" s="23"/>
      <c r="D1155" s="23"/>
      <c r="E1155" s="23"/>
      <c r="F1155" s="23"/>
      <c r="G1155" s="23"/>
      <c r="H1155" s="23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6.25">
      <c r="A1156" s="23"/>
      <c r="B1156" s="23"/>
      <c r="C1156" s="23"/>
      <c r="D1156" s="23"/>
      <c r="E1156" s="23"/>
      <c r="F1156" s="23"/>
      <c r="G1156" s="23"/>
      <c r="H1156" s="23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6.25">
      <c r="A1157" s="23"/>
      <c r="B1157" s="23"/>
      <c r="C1157" s="23"/>
      <c r="D1157" s="23"/>
      <c r="E1157" s="23"/>
      <c r="F1157" s="23"/>
      <c r="G1157" s="23"/>
      <c r="H1157" s="23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6.25">
      <c r="A1158" s="23"/>
      <c r="B1158" s="23"/>
      <c r="C1158" s="23"/>
      <c r="D1158" s="23"/>
      <c r="E1158" s="23"/>
      <c r="F1158" s="23"/>
      <c r="G1158" s="23"/>
      <c r="H1158" s="23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6.25">
      <c r="A1159" s="23"/>
      <c r="B1159" s="23"/>
      <c r="C1159" s="23"/>
      <c r="D1159" s="23"/>
      <c r="E1159" s="23"/>
      <c r="F1159" s="23"/>
      <c r="G1159" s="23"/>
      <c r="H1159" s="23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6.25">
      <c r="A1160" s="24" t="s">
        <v>0</v>
      </c>
      <c r="B1160" s="25"/>
      <c r="C1160" s="25"/>
      <c r="D1160" s="25"/>
      <c r="E1160" s="25"/>
      <c r="F1160" s="25"/>
      <c r="G1160" s="25"/>
      <c r="H1160" s="26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6.25">
      <c r="A1161" s="24" t="s">
        <v>342</v>
      </c>
      <c r="B1161" s="25"/>
      <c r="C1161" s="25"/>
      <c r="D1161" s="25"/>
      <c r="E1161" s="25"/>
      <c r="F1161" s="25"/>
      <c r="G1161" s="25"/>
      <c r="H1161" s="26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8.75">
      <c r="A1162" s="2" t="s">
        <v>2</v>
      </c>
      <c r="B1162" s="2" t="s">
        <v>3</v>
      </c>
      <c r="C1162" s="2" t="s">
        <v>4</v>
      </c>
      <c r="D1162" s="2" t="s">
        <v>5</v>
      </c>
      <c r="E1162" s="2" t="s">
        <v>6</v>
      </c>
      <c r="F1162" s="3" t="s">
        <v>7</v>
      </c>
      <c r="G1162" s="2" t="s">
        <v>8</v>
      </c>
      <c r="H1162" s="4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6.25">
      <c r="A1163" s="5">
        <v>1</v>
      </c>
      <c r="B1163" s="6" t="s">
        <v>68</v>
      </c>
      <c r="C1163" s="7" t="s">
        <v>343</v>
      </c>
      <c r="D1163" s="6" t="s">
        <v>127</v>
      </c>
      <c r="E1163" s="6">
        <v>1.5</v>
      </c>
      <c r="F1163" s="8">
        <v>293000</v>
      </c>
      <c r="G1163" s="9">
        <f t="shared" ref="G1163:G1165" si="62">IFERROR(E1163*F1163,0)</f>
        <v>439500</v>
      </c>
      <c r="H1163" s="10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6.25">
      <c r="A1164" s="5">
        <v>2</v>
      </c>
      <c r="B1164" s="13" t="s">
        <v>344</v>
      </c>
      <c r="C1164" s="12" t="s">
        <v>345</v>
      </c>
      <c r="D1164" s="13" t="s">
        <v>12</v>
      </c>
      <c r="E1164" s="13">
        <v>1.94</v>
      </c>
      <c r="F1164" s="14">
        <v>435000</v>
      </c>
      <c r="G1164" s="9">
        <f t="shared" si="62"/>
        <v>843900</v>
      </c>
      <c r="H1164" s="10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6.25">
      <c r="A1165" s="5">
        <v>3</v>
      </c>
      <c r="B1165" s="17" t="s">
        <v>14</v>
      </c>
      <c r="C1165" s="10"/>
      <c r="D1165" s="10"/>
      <c r="E1165" s="10"/>
      <c r="F1165" s="10"/>
      <c r="G1165" s="18">
        <f t="shared" si="62"/>
        <v>0</v>
      </c>
      <c r="H1165" s="10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6.25">
      <c r="A1166" s="27" t="s">
        <v>15</v>
      </c>
      <c r="B1166" s="25"/>
      <c r="C1166" s="25"/>
      <c r="D1166" s="25"/>
      <c r="E1166" s="25"/>
      <c r="F1166" s="25"/>
      <c r="G1166" s="26"/>
      <c r="H1166" s="19">
        <f>SUM(G1163:G1165)</f>
        <v>1283400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6.25">
      <c r="A1167" s="27" t="s">
        <v>16</v>
      </c>
      <c r="B1167" s="25"/>
      <c r="C1167" s="25"/>
      <c r="D1167" s="25"/>
      <c r="E1167" s="25"/>
      <c r="F1167" s="25"/>
      <c r="G1167" s="26"/>
      <c r="H1167" s="19">
        <f>MAX(0,H1166-648000)</f>
        <v>635400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6.25">
      <c r="A1168" s="28" t="s">
        <v>17</v>
      </c>
      <c r="B1168" s="25"/>
      <c r="C1168" s="25"/>
      <c r="D1168" s="25"/>
      <c r="E1168" s="25"/>
      <c r="F1168" s="25"/>
      <c r="G1168" s="26"/>
      <c r="H1168" s="20">
        <v>649000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6.25">
      <c r="A1169" s="24"/>
      <c r="B1169" s="25"/>
      <c r="C1169" s="25"/>
      <c r="D1169" s="25"/>
      <c r="E1169" s="25"/>
      <c r="F1169" s="25"/>
      <c r="G1169" s="25"/>
      <c r="H1169" s="26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6.25">
      <c r="A1170" s="23"/>
      <c r="B1170" s="23"/>
      <c r="C1170" s="23"/>
      <c r="D1170" s="23"/>
      <c r="E1170" s="23"/>
      <c r="F1170" s="23"/>
      <c r="G1170" s="23"/>
      <c r="H1170" s="23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6.25">
      <c r="A1171" s="23"/>
      <c r="B1171" s="23"/>
      <c r="C1171" s="23"/>
      <c r="D1171" s="23"/>
      <c r="E1171" s="23"/>
      <c r="F1171" s="23"/>
      <c r="G1171" s="23"/>
      <c r="H1171" s="23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6.25">
      <c r="A1172" s="23"/>
      <c r="B1172" s="23"/>
      <c r="C1172" s="23"/>
      <c r="D1172" s="23"/>
      <c r="E1172" s="23"/>
      <c r="F1172" s="23"/>
      <c r="G1172" s="23"/>
      <c r="H1172" s="23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6.25">
      <c r="A1173" s="23"/>
      <c r="B1173" s="23"/>
      <c r="C1173" s="23"/>
      <c r="D1173" s="23"/>
      <c r="E1173" s="23"/>
      <c r="F1173" s="23"/>
      <c r="G1173" s="23"/>
      <c r="H1173" s="23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6.25">
      <c r="A1174" s="23"/>
      <c r="B1174" s="23"/>
      <c r="C1174" s="23"/>
      <c r="D1174" s="23"/>
      <c r="E1174" s="23"/>
      <c r="F1174" s="23"/>
      <c r="G1174" s="23"/>
      <c r="H1174" s="23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6.25">
      <c r="A1175" s="23"/>
      <c r="B1175" s="23"/>
      <c r="C1175" s="23"/>
      <c r="D1175" s="23"/>
      <c r="E1175" s="23"/>
      <c r="F1175" s="23"/>
      <c r="G1175" s="23"/>
      <c r="H1175" s="23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6.25">
      <c r="A1176" s="23"/>
      <c r="B1176" s="23"/>
      <c r="C1176" s="23"/>
      <c r="D1176" s="23"/>
      <c r="E1176" s="23"/>
      <c r="F1176" s="23"/>
      <c r="G1176" s="23"/>
      <c r="H1176" s="23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6.25">
      <c r="A1177" s="23"/>
      <c r="B1177" s="23"/>
      <c r="C1177" s="23"/>
      <c r="D1177" s="23"/>
      <c r="E1177" s="23"/>
      <c r="F1177" s="23"/>
      <c r="G1177" s="23"/>
      <c r="H1177" s="23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6.25">
      <c r="A1178" s="24" t="s">
        <v>0</v>
      </c>
      <c r="B1178" s="25"/>
      <c r="C1178" s="25"/>
      <c r="D1178" s="25"/>
      <c r="E1178" s="25"/>
      <c r="F1178" s="25"/>
      <c r="G1178" s="25"/>
      <c r="H1178" s="26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6.25">
      <c r="A1179" s="24" t="s">
        <v>346</v>
      </c>
      <c r="B1179" s="25"/>
      <c r="C1179" s="25"/>
      <c r="D1179" s="25"/>
      <c r="E1179" s="25"/>
      <c r="F1179" s="25"/>
      <c r="G1179" s="25"/>
      <c r="H1179" s="26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8.75">
      <c r="A1180" s="2" t="s">
        <v>2</v>
      </c>
      <c r="B1180" s="2" t="s">
        <v>3</v>
      </c>
      <c r="C1180" s="2" t="s">
        <v>4</v>
      </c>
      <c r="D1180" s="2" t="s">
        <v>5</v>
      </c>
      <c r="E1180" s="2" t="s">
        <v>6</v>
      </c>
      <c r="F1180" s="3" t="s">
        <v>7</v>
      </c>
      <c r="G1180" s="2" t="s">
        <v>8</v>
      </c>
      <c r="H1180" s="4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6.25">
      <c r="A1181" s="5">
        <v>1</v>
      </c>
      <c r="B1181" s="6" t="s">
        <v>347</v>
      </c>
      <c r="C1181" s="7" t="s">
        <v>348</v>
      </c>
      <c r="D1181" s="6" t="s">
        <v>127</v>
      </c>
      <c r="E1181" s="6">
        <v>1.48</v>
      </c>
      <c r="F1181" s="8">
        <v>293000</v>
      </c>
      <c r="G1181" s="9">
        <f t="shared" ref="G1181:G1183" si="63">IFERROR(E1181*F1181,0)</f>
        <v>433640</v>
      </c>
      <c r="H1181" s="10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6.25">
      <c r="A1182" s="5">
        <v>2</v>
      </c>
      <c r="B1182" s="13" t="s">
        <v>329</v>
      </c>
      <c r="C1182" s="12" t="s">
        <v>349</v>
      </c>
      <c r="D1182" s="13" t="s">
        <v>12</v>
      </c>
      <c r="E1182" s="13">
        <v>2</v>
      </c>
      <c r="F1182" s="14">
        <v>435000</v>
      </c>
      <c r="G1182" s="9">
        <f t="shared" si="63"/>
        <v>870000</v>
      </c>
      <c r="H1182" s="10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6.25">
      <c r="A1183" s="5">
        <v>3</v>
      </c>
      <c r="B1183" s="17" t="s">
        <v>14</v>
      </c>
      <c r="C1183" s="10"/>
      <c r="D1183" s="10"/>
      <c r="E1183" s="10"/>
      <c r="F1183" s="10"/>
      <c r="G1183" s="18">
        <f t="shared" si="63"/>
        <v>0</v>
      </c>
      <c r="H1183" s="10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6.25">
      <c r="A1184" s="27" t="s">
        <v>15</v>
      </c>
      <c r="B1184" s="25"/>
      <c r="C1184" s="25"/>
      <c r="D1184" s="25"/>
      <c r="E1184" s="25"/>
      <c r="F1184" s="25"/>
      <c r="G1184" s="26"/>
      <c r="H1184" s="19">
        <f>SUM(G1181:G1183)</f>
        <v>1303640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6.25">
      <c r="A1185" s="27" t="s">
        <v>16</v>
      </c>
      <c r="B1185" s="25"/>
      <c r="C1185" s="25"/>
      <c r="D1185" s="25"/>
      <c r="E1185" s="25"/>
      <c r="F1185" s="25"/>
      <c r="G1185" s="26"/>
      <c r="H1185" s="19">
        <f>MAX(0,H1184-648000)</f>
        <v>655640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6.25">
      <c r="A1186" s="28" t="s">
        <v>17</v>
      </c>
      <c r="B1186" s="25"/>
      <c r="C1186" s="25"/>
      <c r="D1186" s="25"/>
      <c r="E1186" s="25"/>
      <c r="F1186" s="25"/>
      <c r="G1186" s="26"/>
      <c r="H1186" s="20">
        <v>649000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6.25">
      <c r="A1187" s="24"/>
      <c r="B1187" s="25"/>
      <c r="C1187" s="25"/>
      <c r="D1187" s="25"/>
      <c r="E1187" s="25"/>
      <c r="F1187" s="25"/>
      <c r="G1187" s="25"/>
      <c r="H1187" s="26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6.25">
      <c r="A1188" s="23"/>
      <c r="B1188" s="23"/>
      <c r="C1188" s="23"/>
      <c r="D1188" s="23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6.25">
      <c r="A1189" s="23"/>
      <c r="B1189" s="23"/>
      <c r="C1189" s="23"/>
      <c r="D1189" s="23"/>
      <c r="E1189" s="23"/>
      <c r="F1189" s="23"/>
      <c r="G1189" s="23"/>
      <c r="H1189" s="23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6.25">
      <c r="A1190" s="23"/>
      <c r="B1190" s="23"/>
      <c r="C1190" s="23"/>
      <c r="D1190" s="23"/>
      <c r="E1190" s="23"/>
      <c r="F1190" s="23"/>
      <c r="G1190" s="23"/>
      <c r="H1190" s="23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6.25">
      <c r="A1191" s="23"/>
      <c r="B1191" s="23"/>
      <c r="C1191" s="23"/>
      <c r="D1191" s="23"/>
      <c r="E1191" s="23"/>
      <c r="F1191" s="23"/>
      <c r="G1191" s="23"/>
      <c r="H1191" s="23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6.25">
      <c r="A1192" s="23"/>
      <c r="B1192" s="23"/>
      <c r="C1192" s="23"/>
      <c r="D1192" s="23"/>
      <c r="E1192" s="23"/>
      <c r="F1192" s="23"/>
      <c r="G1192" s="23"/>
      <c r="H1192" s="23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6.25">
      <c r="A1193" s="23"/>
      <c r="B1193" s="23"/>
      <c r="C1193" s="23"/>
      <c r="D1193" s="23"/>
      <c r="E1193" s="23"/>
      <c r="F1193" s="23"/>
      <c r="G1193" s="23"/>
      <c r="H1193" s="23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6.25">
      <c r="A1194" s="23"/>
      <c r="B1194" s="23"/>
      <c r="C1194" s="23"/>
      <c r="D1194" s="23"/>
      <c r="E1194" s="23"/>
      <c r="F1194" s="23"/>
      <c r="G1194" s="23"/>
      <c r="H1194" s="23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6.25">
      <c r="A1195" s="24" t="s">
        <v>0</v>
      </c>
      <c r="B1195" s="25"/>
      <c r="C1195" s="25"/>
      <c r="D1195" s="25"/>
      <c r="E1195" s="25"/>
      <c r="F1195" s="25"/>
      <c r="G1195" s="25"/>
      <c r="H1195" s="26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6.25">
      <c r="A1196" s="24" t="s">
        <v>350</v>
      </c>
      <c r="B1196" s="25"/>
      <c r="C1196" s="25"/>
      <c r="D1196" s="25"/>
      <c r="E1196" s="25"/>
      <c r="F1196" s="25"/>
      <c r="G1196" s="25"/>
      <c r="H1196" s="26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8.75">
      <c r="A1197" s="2" t="s">
        <v>2</v>
      </c>
      <c r="B1197" s="2" t="s">
        <v>3</v>
      </c>
      <c r="C1197" s="2" t="s">
        <v>4</v>
      </c>
      <c r="D1197" s="2" t="s">
        <v>5</v>
      </c>
      <c r="E1197" s="2" t="s">
        <v>6</v>
      </c>
      <c r="F1197" s="3" t="s">
        <v>7</v>
      </c>
      <c r="G1197" s="2" t="s">
        <v>8</v>
      </c>
      <c r="H1197" s="4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6.25">
      <c r="A1198" s="5">
        <v>1</v>
      </c>
      <c r="B1198" s="6" t="s">
        <v>351</v>
      </c>
      <c r="C1198" s="7" t="s">
        <v>352</v>
      </c>
      <c r="D1198" s="6" t="s">
        <v>127</v>
      </c>
      <c r="E1198" s="6">
        <v>1.48</v>
      </c>
      <c r="F1198" s="8">
        <v>293000</v>
      </c>
      <c r="G1198" s="9">
        <f t="shared" ref="G1198:G1200" si="64">IFERROR(E1198*F1198,0)</f>
        <v>433640</v>
      </c>
      <c r="H1198" s="10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6.25">
      <c r="A1199" s="5">
        <v>2</v>
      </c>
      <c r="B1199" s="13" t="s">
        <v>344</v>
      </c>
      <c r="C1199" s="12" t="s">
        <v>345</v>
      </c>
      <c r="D1199" s="13" t="s">
        <v>12</v>
      </c>
      <c r="E1199" s="13">
        <v>1.94</v>
      </c>
      <c r="F1199" s="14">
        <v>435000</v>
      </c>
      <c r="G1199" s="9">
        <f t="shared" si="64"/>
        <v>843900</v>
      </c>
      <c r="H1199" s="10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6.25">
      <c r="A1200" s="5">
        <v>3</v>
      </c>
      <c r="B1200" s="17" t="s">
        <v>14</v>
      </c>
      <c r="C1200" s="10"/>
      <c r="D1200" s="10"/>
      <c r="E1200" s="10"/>
      <c r="F1200" s="10"/>
      <c r="G1200" s="18">
        <f t="shared" si="64"/>
        <v>0</v>
      </c>
      <c r="H1200" s="10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6.25">
      <c r="A1201" s="27" t="s">
        <v>15</v>
      </c>
      <c r="B1201" s="25"/>
      <c r="C1201" s="25"/>
      <c r="D1201" s="25"/>
      <c r="E1201" s="25"/>
      <c r="F1201" s="25"/>
      <c r="G1201" s="26"/>
      <c r="H1201" s="19">
        <f>SUM(G1198:G1200)</f>
        <v>1277540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6.25">
      <c r="A1202" s="27" t="s">
        <v>16</v>
      </c>
      <c r="B1202" s="25"/>
      <c r="C1202" s="25"/>
      <c r="D1202" s="25"/>
      <c r="E1202" s="25"/>
      <c r="F1202" s="25"/>
      <c r="G1202" s="26"/>
      <c r="H1202" s="19">
        <f>MAX(0,H1201-648000)</f>
        <v>629540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6.25">
      <c r="A1203" s="28" t="s">
        <v>17</v>
      </c>
      <c r="B1203" s="25"/>
      <c r="C1203" s="25"/>
      <c r="D1203" s="25"/>
      <c r="E1203" s="25"/>
      <c r="F1203" s="25"/>
      <c r="G1203" s="26"/>
      <c r="H1203" s="20">
        <v>649000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6.25">
      <c r="A1204" s="24"/>
      <c r="B1204" s="25"/>
      <c r="C1204" s="25"/>
      <c r="D1204" s="25"/>
      <c r="E1204" s="25"/>
      <c r="F1204" s="25"/>
      <c r="G1204" s="25"/>
      <c r="H1204" s="26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6.25">
      <c r="A1205" s="23"/>
      <c r="B1205" s="23"/>
      <c r="C1205" s="23"/>
      <c r="D1205" s="23"/>
      <c r="E1205" s="23"/>
      <c r="F1205" s="23"/>
      <c r="G1205" s="23"/>
      <c r="H1205" s="23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6.25">
      <c r="A1206" s="23"/>
      <c r="B1206" s="23"/>
      <c r="C1206" s="23"/>
      <c r="D1206" s="23"/>
      <c r="E1206" s="23"/>
      <c r="F1206" s="23"/>
      <c r="G1206" s="23"/>
      <c r="H1206" s="23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6.25">
      <c r="A1207" s="23"/>
      <c r="B1207" s="23"/>
      <c r="C1207" s="23"/>
      <c r="D1207" s="23"/>
      <c r="E1207" s="23"/>
      <c r="F1207" s="23"/>
      <c r="G1207" s="23"/>
      <c r="H1207" s="23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6.25">
      <c r="A1208" s="23"/>
      <c r="B1208" s="23"/>
      <c r="C1208" s="23"/>
      <c r="D1208" s="23"/>
      <c r="E1208" s="23"/>
      <c r="F1208" s="23"/>
      <c r="G1208" s="23"/>
      <c r="H1208" s="23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6.25">
      <c r="A1209" s="23"/>
      <c r="B1209" s="23"/>
      <c r="C1209" s="23"/>
      <c r="D1209" s="23"/>
      <c r="E1209" s="23"/>
      <c r="F1209" s="23"/>
      <c r="G1209" s="23"/>
      <c r="H1209" s="23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6.25">
      <c r="A1210" s="23"/>
      <c r="B1210" s="23"/>
      <c r="C1210" s="23"/>
      <c r="D1210" s="23"/>
      <c r="E1210" s="23"/>
      <c r="F1210" s="23"/>
      <c r="G1210" s="23"/>
      <c r="H1210" s="23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6.25">
      <c r="A1211" s="23"/>
      <c r="B1211" s="23"/>
      <c r="C1211" s="23"/>
      <c r="D1211" s="23"/>
      <c r="E1211" s="23"/>
      <c r="F1211" s="23"/>
      <c r="G1211" s="23"/>
      <c r="H1211" s="23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6.25">
      <c r="A1212" s="23"/>
      <c r="B1212" s="23"/>
      <c r="C1212" s="23"/>
      <c r="D1212" s="23"/>
      <c r="E1212" s="23"/>
      <c r="F1212" s="23"/>
      <c r="G1212" s="23"/>
      <c r="H1212" s="23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6.25">
      <c r="A1213" s="24" t="s">
        <v>0</v>
      </c>
      <c r="B1213" s="25"/>
      <c r="C1213" s="25"/>
      <c r="D1213" s="25"/>
      <c r="E1213" s="25"/>
      <c r="F1213" s="25"/>
      <c r="G1213" s="25"/>
      <c r="H1213" s="26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6.25">
      <c r="A1214" s="24" t="s">
        <v>353</v>
      </c>
      <c r="B1214" s="25"/>
      <c r="C1214" s="25"/>
      <c r="D1214" s="25"/>
      <c r="E1214" s="25"/>
      <c r="F1214" s="25"/>
      <c r="G1214" s="25"/>
      <c r="H1214" s="26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8.75">
      <c r="A1215" s="2" t="s">
        <v>2</v>
      </c>
      <c r="B1215" s="2" t="s">
        <v>3</v>
      </c>
      <c r="C1215" s="2" t="s">
        <v>4</v>
      </c>
      <c r="D1215" s="2" t="s">
        <v>5</v>
      </c>
      <c r="E1215" s="2" t="s">
        <v>6</v>
      </c>
      <c r="F1215" s="3" t="s">
        <v>7</v>
      </c>
      <c r="G1215" s="2" t="s">
        <v>8</v>
      </c>
      <c r="H1215" s="4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6.25">
      <c r="A1216" s="5">
        <v>1</v>
      </c>
      <c r="B1216" s="6" t="s">
        <v>39</v>
      </c>
      <c r="C1216" s="7" t="s">
        <v>354</v>
      </c>
      <c r="D1216" s="6" t="s">
        <v>127</v>
      </c>
      <c r="E1216" s="6">
        <v>1.5</v>
      </c>
      <c r="F1216" s="8">
        <v>293000</v>
      </c>
      <c r="G1216" s="9">
        <f t="shared" ref="G1216:G1218" si="65">IFERROR(E1216*F1216,0)</f>
        <v>439500</v>
      </c>
      <c r="H1216" s="10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6.25">
      <c r="A1217" s="5">
        <v>2</v>
      </c>
      <c r="B1217" s="13" t="s">
        <v>329</v>
      </c>
      <c r="C1217" s="12" t="s">
        <v>237</v>
      </c>
      <c r="D1217" s="13" t="s">
        <v>12</v>
      </c>
      <c r="E1217" s="13">
        <v>2</v>
      </c>
      <c r="F1217" s="14">
        <v>435000</v>
      </c>
      <c r="G1217" s="9">
        <f t="shared" si="65"/>
        <v>870000</v>
      </c>
      <c r="H1217" s="10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6.25">
      <c r="A1218" s="5">
        <v>3</v>
      </c>
      <c r="B1218" s="17" t="s">
        <v>14</v>
      </c>
      <c r="C1218" s="10"/>
      <c r="D1218" s="10"/>
      <c r="E1218" s="10"/>
      <c r="F1218" s="10"/>
      <c r="G1218" s="18">
        <f t="shared" si="65"/>
        <v>0</v>
      </c>
      <c r="H1218" s="10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6.25">
      <c r="A1219" s="27" t="s">
        <v>15</v>
      </c>
      <c r="B1219" s="25"/>
      <c r="C1219" s="25"/>
      <c r="D1219" s="25"/>
      <c r="E1219" s="25"/>
      <c r="F1219" s="25"/>
      <c r="G1219" s="26"/>
      <c r="H1219" s="19">
        <f>SUM(G1216:G1218)</f>
        <v>1309500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6.25">
      <c r="A1220" s="27" t="s">
        <v>16</v>
      </c>
      <c r="B1220" s="25"/>
      <c r="C1220" s="25"/>
      <c r="D1220" s="25"/>
      <c r="E1220" s="25"/>
      <c r="F1220" s="25"/>
      <c r="G1220" s="26"/>
      <c r="H1220" s="19">
        <f>MAX(0,H1219-648000)</f>
        <v>661500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6.25">
      <c r="A1221" s="28" t="s">
        <v>17</v>
      </c>
      <c r="B1221" s="25"/>
      <c r="C1221" s="25"/>
      <c r="D1221" s="25"/>
      <c r="E1221" s="25"/>
      <c r="F1221" s="25"/>
      <c r="G1221" s="26"/>
      <c r="H1221" s="20">
        <v>649000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6.25">
      <c r="A1222" s="24"/>
      <c r="B1222" s="25"/>
      <c r="C1222" s="25"/>
      <c r="D1222" s="25"/>
      <c r="E1222" s="25"/>
      <c r="F1222" s="25"/>
      <c r="G1222" s="25"/>
      <c r="H1222" s="26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6.25">
      <c r="A1223" s="23"/>
      <c r="B1223" s="23"/>
      <c r="C1223" s="23"/>
      <c r="D1223" s="23"/>
      <c r="E1223" s="23"/>
      <c r="F1223" s="23"/>
      <c r="G1223" s="23"/>
      <c r="H1223" s="23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6.25">
      <c r="A1224" s="23"/>
      <c r="B1224" s="23"/>
      <c r="C1224" s="23"/>
      <c r="D1224" s="23"/>
      <c r="E1224" s="23"/>
      <c r="F1224" s="23"/>
      <c r="G1224" s="23"/>
      <c r="H1224" s="23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6.25">
      <c r="A1225" s="23"/>
      <c r="B1225" s="23"/>
      <c r="C1225" s="23"/>
      <c r="D1225" s="23"/>
      <c r="E1225" s="23"/>
      <c r="F1225" s="23"/>
      <c r="G1225" s="23"/>
      <c r="H1225" s="23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6.25">
      <c r="A1226" s="23"/>
      <c r="B1226" s="23"/>
      <c r="C1226" s="23"/>
      <c r="D1226" s="23"/>
      <c r="E1226" s="23"/>
      <c r="F1226" s="23"/>
      <c r="G1226" s="23"/>
      <c r="H1226" s="23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6.25">
      <c r="A1227" s="23"/>
      <c r="B1227" s="23"/>
      <c r="C1227" s="23"/>
      <c r="D1227" s="23"/>
      <c r="E1227" s="23"/>
      <c r="F1227" s="23"/>
      <c r="G1227" s="23"/>
      <c r="H1227" s="23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6.25">
      <c r="A1228" s="23"/>
      <c r="B1228" s="23"/>
      <c r="C1228" s="23"/>
      <c r="D1228" s="23"/>
      <c r="E1228" s="23"/>
      <c r="F1228" s="23"/>
      <c r="G1228" s="23"/>
      <c r="H1228" s="23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6.25">
      <c r="A1229" s="23"/>
      <c r="B1229" s="23"/>
      <c r="C1229" s="23"/>
      <c r="D1229" s="23"/>
      <c r="E1229" s="23"/>
      <c r="F1229" s="23"/>
      <c r="G1229" s="23"/>
      <c r="H1229" s="23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6.25">
      <c r="A1230" s="23"/>
      <c r="B1230" s="23"/>
      <c r="C1230" s="23"/>
      <c r="D1230" s="23"/>
      <c r="E1230" s="23"/>
      <c r="F1230" s="23"/>
      <c r="G1230" s="23"/>
      <c r="H1230" s="23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6.25">
      <c r="A1231" s="23"/>
      <c r="B1231" s="23"/>
      <c r="C1231" s="23"/>
      <c r="D1231" s="23"/>
      <c r="E1231" s="23"/>
      <c r="F1231" s="23"/>
      <c r="G1231" s="23"/>
      <c r="H1231" s="23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6.25">
      <c r="A1232" s="23"/>
      <c r="B1232" s="23"/>
      <c r="C1232" s="23"/>
      <c r="D1232" s="23"/>
      <c r="E1232" s="23"/>
      <c r="F1232" s="23"/>
      <c r="G1232" s="23"/>
      <c r="H1232" s="23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6.25">
      <c r="A1233" s="24" t="s">
        <v>0</v>
      </c>
      <c r="B1233" s="25"/>
      <c r="C1233" s="25"/>
      <c r="D1233" s="25"/>
      <c r="E1233" s="25"/>
      <c r="F1233" s="25"/>
      <c r="G1233" s="25"/>
      <c r="H1233" s="26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6.25">
      <c r="A1234" s="24" t="s">
        <v>355</v>
      </c>
      <c r="B1234" s="25"/>
      <c r="C1234" s="25"/>
      <c r="D1234" s="25"/>
      <c r="E1234" s="25"/>
      <c r="F1234" s="25"/>
      <c r="G1234" s="25"/>
      <c r="H1234" s="26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8.75">
      <c r="A1235" s="2" t="s">
        <v>2</v>
      </c>
      <c r="B1235" s="2" t="s">
        <v>3</v>
      </c>
      <c r="C1235" s="2" t="s">
        <v>4</v>
      </c>
      <c r="D1235" s="2" t="s">
        <v>5</v>
      </c>
      <c r="E1235" s="2" t="s">
        <v>6</v>
      </c>
      <c r="F1235" s="3" t="s">
        <v>7</v>
      </c>
      <c r="G1235" s="2" t="s">
        <v>8</v>
      </c>
      <c r="H1235" s="4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6.25">
      <c r="A1236" s="5">
        <v>1</v>
      </c>
      <c r="B1236" s="6" t="s">
        <v>175</v>
      </c>
      <c r="C1236" s="7" t="s">
        <v>356</v>
      </c>
      <c r="D1236" s="6" t="s">
        <v>127</v>
      </c>
      <c r="E1236" s="6">
        <v>1.67</v>
      </c>
      <c r="F1236" s="8">
        <v>293000</v>
      </c>
      <c r="G1236" s="9">
        <f t="shared" ref="G1236:G1238" si="66">IFERROR(E1236*F1236,0)</f>
        <v>489310</v>
      </c>
      <c r="H1236" s="10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6.25">
      <c r="A1237" s="5">
        <v>2</v>
      </c>
      <c r="B1237" s="13" t="s">
        <v>357</v>
      </c>
      <c r="C1237" s="12" t="s">
        <v>358</v>
      </c>
      <c r="D1237" s="13" t="s">
        <v>12</v>
      </c>
      <c r="E1237" s="13">
        <v>1.72</v>
      </c>
      <c r="F1237" s="14">
        <v>435000</v>
      </c>
      <c r="G1237" s="9">
        <f t="shared" si="66"/>
        <v>748200</v>
      </c>
      <c r="H1237" s="10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6.25">
      <c r="A1238" s="5">
        <v>3</v>
      </c>
      <c r="B1238" s="17" t="s">
        <v>14</v>
      </c>
      <c r="C1238" s="10"/>
      <c r="D1238" s="10"/>
      <c r="E1238" s="10"/>
      <c r="F1238" s="10"/>
      <c r="G1238" s="18">
        <f t="shared" si="66"/>
        <v>0</v>
      </c>
      <c r="H1238" s="10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6.25">
      <c r="A1239" s="27" t="s">
        <v>15</v>
      </c>
      <c r="B1239" s="25"/>
      <c r="C1239" s="25"/>
      <c r="D1239" s="25"/>
      <c r="E1239" s="25"/>
      <c r="F1239" s="25"/>
      <c r="G1239" s="26"/>
      <c r="H1239" s="19">
        <f>SUM(G1236:G1238)</f>
        <v>1237510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6.25">
      <c r="A1240" s="27" t="s">
        <v>16</v>
      </c>
      <c r="B1240" s="25"/>
      <c r="C1240" s="25"/>
      <c r="D1240" s="25"/>
      <c r="E1240" s="25"/>
      <c r="F1240" s="25"/>
      <c r="G1240" s="26"/>
      <c r="H1240" s="19">
        <f>MAX(0,H1239-648000)</f>
        <v>589510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6.25">
      <c r="A1241" s="28" t="s">
        <v>17</v>
      </c>
      <c r="B1241" s="25"/>
      <c r="C1241" s="25"/>
      <c r="D1241" s="25"/>
      <c r="E1241" s="25"/>
      <c r="F1241" s="25"/>
      <c r="G1241" s="26"/>
      <c r="H1241" s="20">
        <v>649000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6.25">
      <c r="A1242" s="24"/>
      <c r="B1242" s="25"/>
      <c r="C1242" s="25"/>
      <c r="D1242" s="25"/>
      <c r="E1242" s="25"/>
      <c r="F1242" s="25"/>
      <c r="G1242" s="25"/>
      <c r="H1242" s="26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6.25">
      <c r="A1243" s="23"/>
      <c r="B1243" s="23"/>
      <c r="C1243" s="23"/>
      <c r="D1243" s="23"/>
      <c r="E1243" s="23"/>
      <c r="F1243" s="23"/>
      <c r="G1243" s="23"/>
      <c r="H1243" s="23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6.25">
      <c r="A1244" s="23"/>
      <c r="B1244" s="23"/>
      <c r="C1244" s="23"/>
      <c r="D1244" s="23"/>
      <c r="E1244" s="23"/>
      <c r="F1244" s="23"/>
      <c r="G1244" s="23"/>
      <c r="H1244" s="23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6.25">
      <c r="A1245" s="23"/>
      <c r="B1245" s="23"/>
      <c r="C1245" s="23"/>
      <c r="D1245" s="23"/>
      <c r="E1245" s="23"/>
      <c r="F1245" s="23"/>
      <c r="G1245" s="23"/>
      <c r="H1245" s="2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6.25">
      <c r="A1246" s="23"/>
      <c r="B1246" s="23"/>
      <c r="C1246" s="23"/>
      <c r="D1246" s="23"/>
      <c r="E1246" s="23"/>
      <c r="F1246" s="23"/>
      <c r="G1246" s="23"/>
      <c r="H1246" s="23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6.25">
      <c r="A1247" s="23"/>
      <c r="B1247" s="23"/>
      <c r="C1247" s="23"/>
      <c r="D1247" s="23"/>
      <c r="E1247" s="23"/>
      <c r="F1247" s="23"/>
      <c r="G1247" s="23"/>
      <c r="H1247" s="23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6.25">
      <c r="A1248" s="23"/>
      <c r="B1248" s="23"/>
      <c r="C1248" s="23"/>
      <c r="D1248" s="23"/>
      <c r="E1248" s="23"/>
      <c r="F1248" s="23"/>
      <c r="G1248" s="23"/>
      <c r="H1248" s="2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6.25">
      <c r="A1249" s="23"/>
      <c r="B1249" s="23"/>
      <c r="C1249" s="23"/>
      <c r="D1249" s="23"/>
      <c r="E1249" s="23"/>
      <c r="F1249" s="23"/>
      <c r="G1249" s="23"/>
      <c r="H1249" s="23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6.25">
      <c r="A1250" s="23"/>
      <c r="B1250" s="23"/>
      <c r="C1250" s="23"/>
      <c r="D1250" s="23"/>
      <c r="E1250" s="23"/>
      <c r="F1250" s="23"/>
      <c r="G1250" s="23"/>
      <c r="H1250" s="23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6.25">
      <c r="A1251" s="23"/>
      <c r="B1251" s="23"/>
      <c r="C1251" s="23"/>
      <c r="D1251" s="23"/>
      <c r="E1251" s="23"/>
      <c r="F1251" s="23"/>
      <c r="G1251" s="23"/>
      <c r="H1251" s="23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6.25">
      <c r="A1252" s="24" t="s">
        <v>0</v>
      </c>
      <c r="B1252" s="25"/>
      <c r="C1252" s="25"/>
      <c r="D1252" s="25"/>
      <c r="E1252" s="25"/>
      <c r="F1252" s="25"/>
      <c r="G1252" s="25"/>
      <c r="H1252" s="26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6.25">
      <c r="A1253" s="24" t="s">
        <v>359</v>
      </c>
      <c r="B1253" s="25"/>
      <c r="C1253" s="25"/>
      <c r="D1253" s="25"/>
      <c r="E1253" s="25"/>
      <c r="F1253" s="25"/>
      <c r="G1253" s="25"/>
      <c r="H1253" s="26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8.75">
      <c r="A1254" s="2" t="s">
        <v>2</v>
      </c>
      <c r="B1254" s="2" t="s">
        <v>3</v>
      </c>
      <c r="C1254" s="2" t="s">
        <v>4</v>
      </c>
      <c r="D1254" s="2" t="s">
        <v>5</v>
      </c>
      <c r="E1254" s="2" t="s">
        <v>6</v>
      </c>
      <c r="F1254" s="3" t="s">
        <v>7</v>
      </c>
      <c r="G1254" s="2" t="s">
        <v>8</v>
      </c>
      <c r="H1254" s="4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6.25">
      <c r="A1255" s="5">
        <v>1</v>
      </c>
      <c r="B1255" s="6" t="s">
        <v>360</v>
      </c>
      <c r="C1255" s="7" t="s">
        <v>334</v>
      </c>
      <c r="D1255" s="6" t="s">
        <v>127</v>
      </c>
      <c r="E1255" s="6">
        <v>2.5</v>
      </c>
      <c r="F1255" s="8">
        <v>293000</v>
      </c>
      <c r="G1255" s="9">
        <f t="shared" ref="G1255:G1257" si="67">IFERROR(E1255*F1255,0)</f>
        <v>732500</v>
      </c>
      <c r="H1255" s="10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6.25">
      <c r="A1256" s="5">
        <v>2</v>
      </c>
      <c r="B1256" s="13" t="s">
        <v>236</v>
      </c>
      <c r="C1256" s="12" t="s">
        <v>361</v>
      </c>
      <c r="D1256" s="13" t="s">
        <v>12</v>
      </c>
      <c r="E1256" s="13">
        <v>1.18</v>
      </c>
      <c r="F1256" s="14">
        <v>435000</v>
      </c>
      <c r="G1256" s="9">
        <f t="shared" si="67"/>
        <v>513300</v>
      </c>
      <c r="H1256" s="10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6.25">
      <c r="A1257" s="5">
        <v>3</v>
      </c>
      <c r="B1257" s="17" t="s">
        <v>14</v>
      </c>
      <c r="C1257" s="10"/>
      <c r="D1257" s="10"/>
      <c r="E1257" s="10"/>
      <c r="F1257" s="10"/>
      <c r="G1257" s="18">
        <f t="shared" si="67"/>
        <v>0</v>
      </c>
      <c r="H1257" s="10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6.25">
      <c r="A1258" s="27" t="s">
        <v>15</v>
      </c>
      <c r="B1258" s="25"/>
      <c r="C1258" s="25"/>
      <c r="D1258" s="25"/>
      <c r="E1258" s="25"/>
      <c r="F1258" s="25"/>
      <c r="G1258" s="26"/>
      <c r="H1258" s="19">
        <f>SUM(G1255:G1257)</f>
        <v>1245800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6.25">
      <c r="A1259" s="27" t="s">
        <v>16</v>
      </c>
      <c r="B1259" s="25"/>
      <c r="C1259" s="25"/>
      <c r="D1259" s="25"/>
      <c r="E1259" s="25"/>
      <c r="F1259" s="25"/>
      <c r="G1259" s="26"/>
      <c r="H1259" s="19">
        <f>MAX(0,H1258-648000)</f>
        <v>597800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6.25">
      <c r="A1260" s="28" t="s">
        <v>17</v>
      </c>
      <c r="B1260" s="25"/>
      <c r="C1260" s="25"/>
      <c r="D1260" s="25"/>
      <c r="E1260" s="25"/>
      <c r="F1260" s="25"/>
      <c r="G1260" s="26"/>
      <c r="H1260" s="20">
        <v>649000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6.25">
      <c r="A1261" s="24"/>
      <c r="B1261" s="25"/>
      <c r="C1261" s="25"/>
      <c r="D1261" s="25"/>
      <c r="E1261" s="25"/>
      <c r="F1261" s="25"/>
      <c r="G1261" s="25"/>
      <c r="H1261" s="26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6.25">
      <c r="A1262" s="23"/>
      <c r="B1262" s="23"/>
      <c r="C1262" s="23"/>
      <c r="D1262" s="23"/>
      <c r="E1262" s="23"/>
      <c r="F1262" s="23"/>
      <c r="G1262" s="23"/>
      <c r="H1262" s="23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6.25">
      <c r="A1263" s="23"/>
      <c r="B1263" s="23"/>
      <c r="C1263" s="23"/>
      <c r="D1263" s="23"/>
      <c r="E1263" s="23"/>
      <c r="F1263" s="23"/>
      <c r="G1263" s="23"/>
      <c r="H1263" s="23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6.25">
      <c r="A1264" s="23"/>
      <c r="B1264" s="23"/>
      <c r="C1264" s="23"/>
      <c r="D1264" s="23"/>
      <c r="E1264" s="23"/>
      <c r="F1264" s="23"/>
      <c r="G1264" s="23"/>
      <c r="H1264" s="23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6.25">
      <c r="A1265" s="23"/>
      <c r="B1265" s="23"/>
      <c r="C1265" s="23"/>
      <c r="D1265" s="23"/>
      <c r="E1265" s="23"/>
      <c r="F1265" s="23"/>
      <c r="G1265" s="23"/>
      <c r="H1265" s="23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6.25">
      <c r="A1266" s="23"/>
      <c r="B1266" s="23"/>
      <c r="C1266" s="23"/>
      <c r="D1266" s="23"/>
      <c r="E1266" s="23"/>
      <c r="F1266" s="23"/>
      <c r="G1266" s="23"/>
      <c r="H1266" s="2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6.25">
      <c r="A1267" s="23"/>
      <c r="B1267" s="23"/>
      <c r="C1267" s="23"/>
      <c r="D1267" s="23"/>
      <c r="E1267" s="23"/>
      <c r="F1267" s="23"/>
      <c r="G1267" s="23"/>
      <c r="H1267" s="23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6.25">
      <c r="A1268" s="23"/>
      <c r="B1268" s="23"/>
      <c r="C1268" s="23"/>
      <c r="D1268" s="23"/>
      <c r="E1268" s="23"/>
      <c r="F1268" s="23"/>
      <c r="G1268" s="23"/>
      <c r="H1268" s="23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6.25">
      <c r="A1269" s="23"/>
      <c r="B1269" s="23"/>
      <c r="C1269" s="23"/>
      <c r="D1269" s="23"/>
      <c r="E1269" s="23"/>
      <c r="F1269" s="23"/>
      <c r="G1269" s="23"/>
      <c r="H1269" s="23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6.25">
      <c r="A1270" s="23"/>
      <c r="B1270" s="23"/>
      <c r="C1270" s="23"/>
      <c r="D1270" s="23"/>
      <c r="E1270" s="23"/>
      <c r="F1270" s="23"/>
      <c r="G1270" s="23"/>
      <c r="H1270" s="23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6.25">
      <c r="A1271" s="24" t="s">
        <v>0</v>
      </c>
      <c r="B1271" s="25"/>
      <c r="C1271" s="25"/>
      <c r="D1271" s="25"/>
      <c r="E1271" s="25"/>
      <c r="F1271" s="25"/>
      <c r="G1271" s="25"/>
      <c r="H1271" s="26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6.25">
      <c r="A1272" s="24" t="s">
        <v>362</v>
      </c>
      <c r="B1272" s="25"/>
      <c r="C1272" s="25"/>
      <c r="D1272" s="25"/>
      <c r="E1272" s="25"/>
      <c r="F1272" s="25"/>
      <c r="G1272" s="25"/>
      <c r="H1272" s="26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8.75">
      <c r="A1273" s="2" t="s">
        <v>2</v>
      </c>
      <c r="B1273" s="2" t="s">
        <v>3</v>
      </c>
      <c r="C1273" s="2" t="s">
        <v>4</v>
      </c>
      <c r="D1273" s="2" t="s">
        <v>5</v>
      </c>
      <c r="E1273" s="2" t="s">
        <v>6</v>
      </c>
      <c r="F1273" s="3" t="s">
        <v>7</v>
      </c>
      <c r="G1273" s="2" t="s">
        <v>8</v>
      </c>
      <c r="H1273" s="4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6.25">
      <c r="A1274" s="5">
        <v>1</v>
      </c>
      <c r="B1274" s="6" t="s">
        <v>363</v>
      </c>
      <c r="C1274" s="7" t="s">
        <v>364</v>
      </c>
      <c r="D1274" s="6" t="s">
        <v>127</v>
      </c>
      <c r="E1274" s="6">
        <v>1.5</v>
      </c>
      <c r="F1274" s="8">
        <v>293000</v>
      </c>
      <c r="G1274" s="9">
        <f t="shared" ref="G1274:G1276" si="68">IFERROR(E1274*F1274,0)</f>
        <v>439500</v>
      </c>
      <c r="H1274" s="10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6.25">
      <c r="A1275" s="5">
        <v>2</v>
      </c>
      <c r="B1275" s="13" t="s">
        <v>39</v>
      </c>
      <c r="C1275" s="12" t="s">
        <v>365</v>
      </c>
      <c r="D1275" s="13" t="s">
        <v>12</v>
      </c>
      <c r="E1275" s="13">
        <v>2</v>
      </c>
      <c r="F1275" s="14">
        <v>435000</v>
      </c>
      <c r="G1275" s="9">
        <f t="shared" si="68"/>
        <v>870000</v>
      </c>
      <c r="H1275" s="10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6.25">
      <c r="A1276" s="5">
        <v>3</v>
      </c>
      <c r="B1276" s="17" t="s">
        <v>14</v>
      </c>
      <c r="C1276" s="10"/>
      <c r="D1276" s="10"/>
      <c r="E1276" s="10"/>
      <c r="F1276" s="10"/>
      <c r="G1276" s="18">
        <f t="shared" si="68"/>
        <v>0</v>
      </c>
      <c r="H1276" s="10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6.25">
      <c r="A1277" s="27" t="s">
        <v>15</v>
      </c>
      <c r="B1277" s="25"/>
      <c r="C1277" s="25"/>
      <c r="D1277" s="25"/>
      <c r="E1277" s="25"/>
      <c r="F1277" s="25"/>
      <c r="G1277" s="26"/>
      <c r="H1277" s="19">
        <f>SUM(G1274:G1276)</f>
        <v>1309500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6.25">
      <c r="A1278" s="27" t="s">
        <v>16</v>
      </c>
      <c r="B1278" s="25"/>
      <c r="C1278" s="25"/>
      <c r="D1278" s="25"/>
      <c r="E1278" s="25"/>
      <c r="F1278" s="25"/>
      <c r="G1278" s="26"/>
      <c r="H1278" s="19">
        <f>MAX(0,H1277-648000)</f>
        <v>661500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6.25">
      <c r="A1279" s="28" t="s">
        <v>17</v>
      </c>
      <c r="B1279" s="25"/>
      <c r="C1279" s="25"/>
      <c r="D1279" s="25"/>
      <c r="E1279" s="25"/>
      <c r="F1279" s="25"/>
      <c r="G1279" s="26"/>
      <c r="H1279" s="20">
        <v>649000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6.25">
      <c r="A1280" s="24"/>
      <c r="B1280" s="25"/>
      <c r="C1280" s="25"/>
      <c r="D1280" s="25"/>
      <c r="E1280" s="25"/>
      <c r="F1280" s="25"/>
      <c r="G1280" s="25"/>
      <c r="H1280" s="26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6.25">
      <c r="A1281" s="23"/>
      <c r="B1281" s="23"/>
      <c r="C1281" s="23"/>
      <c r="D1281" s="23"/>
      <c r="E1281" s="23"/>
      <c r="F1281" s="23"/>
      <c r="G1281" s="23"/>
      <c r="H1281" s="23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6.25">
      <c r="A1282" s="23"/>
      <c r="B1282" s="23"/>
      <c r="C1282" s="23"/>
      <c r="D1282" s="23"/>
      <c r="E1282" s="23"/>
      <c r="F1282" s="23"/>
      <c r="G1282" s="23"/>
      <c r="H1282" s="23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6.25">
      <c r="A1283" s="23"/>
      <c r="B1283" s="23"/>
      <c r="C1283" s="23"/>
      <c r="D1283" s="23"/>
      <c r="E1283" s="23"/>
      <c r="F1283" s="23"/>
      <c r="G1283" s="23"/>
      <c r="H1283" s="23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6.25">
      <c r="A1284" s="23"/>
      <c r="B1284" s="23"/>
      <c r="C1284" s="23"/>
      <c r="D1284" s="23"/>
      <c r="E1284" s="23"/>
      <c r="F1284" s="23"/>
      <c r="G1284" s="23"/>
      <c r="H1284" s="23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6.25">
      <c r="A1285" s="23"/>
      <c r="B1285" s="23"/>
      <c r="C1285" s="23"/>
      <c r="D1285" s="23"/>
      <c r="E1285" s="23"/>
      <c r="F1285" s="23"/>
      <c r="G1285" s="23"/>
      <c r="H1285" s="23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6.25">
      <c r="A1286" s="23"/>
      <c r="B1286" s="23"/>
      <c r="C1286" s="23"/>
      <c r="D1286" s="23"/>
      <c r="E1286" s="23"/>
      <c r="F1286" s="23"/>
      <c r="G1286" s="23"/>
      <c r="H1286" s="23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6.25">
      <c r="A1287" s="23"/>
      <c r="B1287" s="23"/>
      <c r="C1287" s="23"/>
      <c r="D1287" s="23"/>
      <c r="E1287" s="23"/>
      <c r="F1287" s="23"/>
      <c r="G1287" s="23"/>
      <c r="H1287" s="23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6.25">
      <c r="A1288" s="23"/>
      <c r="B1288" s="23"/>
      <c r="C1288" s="23"/>
      <c r="D1288" s="23"/>
      <c r="E1288" s="23"/>
      <c r="F1288" s="23"/>
      <c r="G1288" s="23"/>
      <c r="H1288" s="23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6.25">
      <c r="A1289" s="23"/>
      <c r="B1289" s="23"/>
      <c r="C1289" s="23"/>
      <c r="D1289" s="23"/>
      <c r="E1289" s="23"/>
      <c r="F1289" s="23"/>
      <c r="G1289" s="23"/>
      <c r="H1289" s="23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6.25">
      <c r="A1290" s="23"/>
      <c r="B1290" s="23"/>
      <c r="C1290" s="23"/>
      <c r="D1290" s="23"/>
      <c r="E1290" s="23"/>
      <c r="F1290" s="23"/>
      <c r="G1290" s="23"/>
      <c r="H1290" s="23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6.25">
      <c r="A1291" s="23"/>
      <c r="B1291" s="23"/>
      <c r="C1291" s="23"/>
      <c r="D1291" s="23"/>
      <c r="E1291" s="23"/>
      <c r="F1291" s="23"/>
      <c r="G1291" s="23"/>
      <c r="H1291" s="23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6.25">
      <c r="A1292" s="24" t="s">
        <v>0</v>
      </c>
      <c r="B1292" s="25"/>
      <c r="C1292" s="25"/>
      <c r="D1292" s="25"/>
      <c r="E1292" s="25"/>
      <c r="F1292" s="25"/>
      <c r="G1292" s="25"/>
      <c r="H1292" s="26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6.25">
      <c r="A1293" s="24" t="s">
        <v>366</v>
      </c>
      <c r="B1293" s="25"/>
      <c r="C1293" s="25"/>
      <c r="D1293" s="25"/>
      <c r="E1293" s="25"/>
      <c r="F1293" s="25"/>
      <c r="G1293" s="25"/>
      <c r="H1293" s="26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8.75">
      <c r="A1294" s="2" t="s">
        <v>2</v>
      </c>
      <c r="B1294" s="2" t="s">
        <v>3</v>
      </c>
      <c r="C1294" s="2" t="s">
        <v>4</v>
      </c>
      <c r="D1294" s="2" t="s">
        <v>5</v>
      </c>
      <c r="E1294" s="2" t="s">
        <v>6</v>
      </c>
      <c r="F1294" s="3" t="s">
        <v>7</v>
      </c>
      <c r="G1294" s="2" t="s">
        <v>8</v>
      </c>
      <c r="H1294" s="4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6.25">
      <c r="A1295" s="5">
        <v>1</v>
      </c>
      <c r="B1295" s="6" t="s">
        <v>367</v>
      </c>
      <c r="C1295" s="7" t="s">
        <v>368</v>
      </c>
      <c r="D1295" s="6" t="s">
        <v>127</v>
      </c>
      <c r="E1295" s="6">
        <v>2</v>
      </c>
      <c r="F1295" s="8">
        <v>293000</v>
      </c>
      <c r="G1295" s="9">
        <f t="shared" ref="G1295:G1297" si="69">IFERROR(E1295*F1295,0)</f>
        <v>586000</v>
      </c>
      <c r="H1295" s="10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6.25">
      <c r="A1296" s="5">
        <v>2</v>
      </c>
      <c r="B1296" s="13" t="s">
        <v>167</v>
      </c>
      <c r="C1296" s="12" t="s">
        <v>369</v>
      </c>
      <c r="D1296" s="13" t="s">
        <v>12</v>
      </c>
      <c r="E1296" s="13">
        <v>1.5</v>
      </c>
      <c r="F1296" s="14">
        <v>435000</v>
      </c>
      <c r="G1296" s="9">
        <f t="shared" si="69"/>
        <v>652500</v>
      </c>
      <c r="H1296" s="10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6.25">
      <c r="A1297" s="5">
        <v>3</v>
      </c>
      <c r="B1297" s="17" t="s">
        <v>14</v>
      </c>
      <c r="C1297" s="10"/>
      <c r="D1297" s="10"/>
      <c r="E1297" s="10"/>
      <c r="F1297" s="10"/>
      <c r="G1297" s="18">
        <f t="shared" si="69"/>
        <v>0</v>
      </c>
      <c r="H1297" s="10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6.25">
      <c r="A1298" s="27" t="s">
        <v>15</v>
      </c>
      <c r="B1298" s="25"/>
      <c r="C1298" s="25"/>
      <c r="D1298" s="25"/>
      <c r="E1298" s="25"/>
      <c r="F1298" s="25"/>
      <c r="G1298" s="26"/>
      <c r="H1298" s="19">
        <f>SUM(G1295:G1297)</f>
        <v>1238500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6.25">
      <c r="A1299" s="27" t="s">
        <v>16</v>
      </c>
      <c r="B1299" s="25"/>
      <c r="C1299" s="25"/>
      <c r="D1299" s="25"/>
      <c r="E1299" s="25"/>
      <c r="F1299" s="25"/>
      <c r="G1299" s="26"/>
      <c r="H1299" s="19">
        <f>MAX(0,H1298-648000)</f>
        <v>590500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6.25">
      <c r="A1300" s="28" t="s">
        <v>17</v>
      </c>
      <c r="B1300" s="25"/>
      <c r="C1300" s="25"/>
      <c r="D1300" s="25"/>
      <c r="E1300" s="25"/>
      <c r="F1300" s="25"/>
      <c r="G1300" s="26"/>
      <c r="H1300" s="20">
        <v>649000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6.25">
      <c r="A1301" s="24"/>
      <c r="B1301" s="25"/>
      <c r="C1301" s="25"/>
      <c r="D1301" s="25"/>
      <c r="E1301" s="25"/>
      <c r="F1301" s="25"/>
      <c r="G1301" s="25"/>
      <c r="H1301" s="26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6.25">
      <c r="A1302" s="23"/>
      <c r="B1302" s="23"/>
      <c r="C1302" s="23"/>
      <c r="D1302" s="23"/>
      <c r="E1302" s="23"/>
      <c r="F1302" s="23"/>
      <c r="G1302" s="23"/>
      <c r="H1302" s="23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6.25">
      <c r="A1303" s="23"/>
      <c r="B1303" s="23"/>
      <c r="C1303" s="23"/>
      <c r="D1303" s="23"/>
      <c r="E1303" s="23"/>
      <c r="F1303" s="23"/>
      <c r="G1303" s="23"/>
      <c r="H1303" s="23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6.25">
      <c r="A1304" s="23"/>
      <c r="B1304" s="23"/>
      <c r="C1304" s="23"/>
      <c r="D1304" s="23"/>
      <c r="E1304" s="23"/>
      <c r="F1304" s="23"/>
      <c r="G1304" s="23"/>
      <c r="H1304" s="23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6.25">
      <c r="A1305" s="23"/>
      <c r="B1305" s="23"/>
      <c r="C1305" s="23"/>
      <c r="D1305" s="23"/>
      <c r="E1305" s="23"/>
      <c r="F1305" s="23"/>
      <c r="G1305" s="23"/>
      <c r="H1305" s="23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6.25">
      <c r="A1306" s="23"/>
      <c r="B1306" s="23"/>
      <c r="C1306" s="23"/>
      <c r="D1306" s="23"/>
      <c r="E1306" s="23"/>
      <c r="F1306" s="23"/>
      <c r="G1306" s="23"/>
      <c r="H1306" s="23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6.25">
      <c r="A1307" s="23"/>
      <c r="B1307" s="23"/>
      <c r="C1307" s="23"/>
      <c r="D1307" s="23"/>
      <c r="E1307" s="23"/>
      <c r="F1307" s="23"/>
      <c r="G1307" s="23"/>
      <c r="H1307" s="23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6.25">
      <c r="A1308" s="23"/>
      <c r="B1308" s="23"/>
      <c r="C1308" s="23"/>
      <c r="D1308" s="23"/>
      <c r="E1308" s="23"/>
      <c r="F1308" s="23"/>
      <c r="G1308" s="23"/>
      <c r="H1308" s="23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6.25">
      <c r="A1309" s="23"/>
      <c r="B1309" s="23"/>
      <c r="C1309" s="23"/>
      <c r="D1309" s="23"/>
      <c r="E1309" s="23"/>
      <c r="F1309" s="23"/>
      <c r="G1309" s="23"/>
      <c r="H1309" s="23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6.25">
      <c r="A1310" s="23"/>
      <c r="B1310" s="23"/>
      <c r="C1310" s="23"/>
      <c r="D1310" s="23"/>
      <c r="E1310" s="23"/>
      <c r="F1310" s="23"/>
      <c r="G1310" s="23"/>
      <c r="H1310" s="23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6.25">
      <c r="A1311" s="24" t="s">
        <v>0</v>
      </c>
      <c r="B1311" s="25"/>
      <c r="C1311" s="25"/>
      <c r="D1311" s="25"/>
      <c r="E1311" s="25"/>
      <c r="F1311" s="25"/>
      <c r="G1311" s="25"/>
      <c r="H1311" s="26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6.25">
      <c r="A1312" s="24" t="s">
        <v>370</v>
      </c>
      <c r="B1312" s="25"/>
      <c r="C1312" s="25"/>
      <c r="D1312" s="25"/>
      <c r="E1312" s="25"/>
      <c r="F1312" s="25"/>
      <c r="G1312" s="25"/>
      <c r="H1312" s="26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8.75">
      <c r="A1313" s="2" t="s">
        <v>2</v>
      </c>
      <c r="B1313" s="2" t="s">
        <v>3</v>
      </c>
      <c r="C1313" s="2" t="s">
        <v>4</v>
      </c>
      <c r="D1313" s="2" t="s">
        <v>5</v>
      </c>
      <c r="E1313" s="2" t="s">
        <v>6</v>
      </c>
      <c r="F1313" s="3" t="s">
        <v>7</v>
      </c>
      <c r="G1313" s="2" t="s">
        <v>8</v>
      </c>
      <c r="H1313" s="4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6.25">
      <c r="A1314" s="5">
        <v>1</v>
      </c>
      <c r="B1314" s="6" t="s">
        <v>371</v>
      </c>
      <c r="C1314" s="7" t="s">
        <v>372</v>
      </c>
      <c r="D1314" s="6" t="s">
        <v>127</v>
      </c>
      <c r="E1314" s="6">
        <v>2</v>
      </c>
      <c r="F1314" s="8">
        <v>293000</v>
      </c>
      <c r="G1314" s="9">
        <f t="shared" ref="G1314:G1316" si="70">IFERROR(E1314*F1314,0)</f>
        <v>586000</v>
      </c>
      <c r="H1314" s="10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6.25">
      <c r="A1315" s="5">
        <v>2</v>
      </c>
      <c r="B1315" s="13" t="s">
        <v>206</v>
      </c>
      <c r="C1315" s="12" t="s">
        <v>224</v>
      </c>
      <c r="D1315" s="13" t="s">
        <v>12</v>
      </c>
      <c r="E1315" s="13">
        <v>1.5</v>
      </c>
      <c r="F1315" s="14">
        <v>435000</v>
      </c>
      <c r="G1315" s="9">
        <f t="shared" si="70"/>
        <v>652500</v>
      </c>
      <c r="H1315" s="10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6.25">
      <c r="A1316" s="5">
        <v>3</v>
      </c>
      <c r="B1316" s="17" t="s">
        <v>14</v>
      </c>
      <c r="C1316" s="10"/>
      <c r="D1316" s="10"/>
      <c r="E1316" s="10"/>
      <c r="F1316" s="10"/>
      <c r="G1316" s="18">
        <f t="shared" si="70"/>
        <v>0</v>
      </c>
      <c r="H1316" s="10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6.25">
      <c r="A1317" s="27" t="s">
        <v>15</v>
      </c>
      <c r="B1317" s="25"/>
      <c r="C1317" s="25"/>
      <c r="D1317" s="25"/>
      <c r="E1317" s="25"/>
      <c r="F1317" s="25"/>
      <c r="G1317" s="26"/>
      <c r="H1317" s="19">
        <f>SUM(G1314:G1316)</f>
        <v>1238500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6.25">
      <c r="A1318" s="27" t="s">
        <v>16</v>
      </c>
      <c r="B1318" s="25"/>
      <c r="C1318" s="25"/>
      <c r="D1318" s="25"/>
      <c r="E1318" s="25"/>
      <c r="F1318" s="25"/>
      <c r="G1318" s="26"/>
      <c r="H1318" s="19">
        <f>MAX(0,H1317-648000)</f>
        <v>590500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6.25">
      <c r="A1319" s="28" t="s">
        <v>17</v>
      </c>
      <c r="B1319" s="25"/>
      <c r="C1319" s="25"/>
      <c r="D1319" s="25"/>
      <c r="E1319" s="25"/>
      <c r="F1319" s="25"/>
      <c r="G1319" s="26"/>
      <c r="H1319" s="20">
        <v>649000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6.25">
      <c r="A1320" s="24"/>
      <c r="B1320" s="25"/>
      <c r="C1320" s="25"/>
      <c r="D1320" s="25"/>
      <c r="E1320" s="25"/>
      <c r="F1320" s="25"/>
      <c r="G1320" s="25"/>
      <c r="H1320" s="26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6.25">
      <c r="A1321" s="23"/>
      <c r="B1321" s="23"/>
      <c r="C1321" s="23"/>
      <c r="D1321" s="23"/>
      <c r="E1321" s="23"/>
      <c r="F1321" s="23"/>
      <c r="G1321" s="23"/>
      <c r="H1321" s="23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6.25">
      <c r="A1322" s="23"/>
      <c r="B1322" s="23"/>
      <c r="C1322" s="23"/>
      <c r="D1322" s="23"/>
      <c r="E1322" s="23"/>
      <c r="F1322" s="23"/>
      <c r="G1322" s="23"/>
      <c r="H1322" s="23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6.25">
      <c r="A1323" s="23"/>
      <c r="B1323" s="23"/>
      <c r="C1323" s="23"/>
      <c r="D1323" s="23"/>
      <c r="E1323" s="23"/>
      <c r="F1323" s="23"/>
      <c r="G1323" s="23"/>
      <c r="H1323" s="23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6.25">
      <c r="A1324" s="23"/>
      <c r="B1324" s="23"/>
      <c r="C1324" s="23"/>
      <c r="D1324" s="23"/>
      <c r="E1324" s="23"/>
      <c r="F1324" s="23"/>
      <c r="G1324" s="23"/>
      <c r="H1324" s="23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6.25">
      <c r="A1325" s="23"/>
      <c r="B1325" s="23"/>
      <c r="C1325" s="23"/>
      <c r="D1325" s="23"/>
      <c r="E1325" s="23"/>
      <c r="F1325" s="23"/>
      <c r="G1325" s="23"/>
      <c r="H1325" s="23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6.25">
      <c r="A1326" s="23"/>
      <c r="B1326" s="23"/>
      <c r="C1326" s="23"/>
      <c r="D1326" s="23"/>
      <c r="E1326" s="23"/>
      <c r="F1326" s="23"/>
      <c r="G1326" s="23"/>
      <c r="H1326" s="23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6.25">
      <c r="A1327" s="23"/>
      <c r="B1327" s="23"/>
      <c r="C1327" s="23"/>
      <c r="D1327" s="23"/>
      <c r="E1327" s="23"/>
      <c r="F1327" s="23"/>
      <c r="G1327" s="23"/>
      <c r="H1327" s="23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6.25">
      <c r="A1328" s="23"/>
      <c r="B1328" s="23"/>
      <c r="C1328" s="23"/>
      <c r="D1328" s="23"/>
      <c r="E1328" s="23"/>
      <c r="F1328" s="23"/>
      <c r="G1328" s="23"/>
      <c r="H1328" s="23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6.25">
      <c r="A1329" s="24" t="s">
        <v>0</v>
      </c>
      <c r="B1329" s="25"/>
      <c r="C1329" s="25"/>
      <c r="D1329" s="25"/>
      <c r="E1329" s="25"/>
      <c r="F1329" s="25"/>
      <c r="G1329" s="25"/>
      <c r="H1329" s="26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6.25">
      <c r="A1330" s="24" t="s">
        <v>373</v>
      </c>
      <c r="B1330" s="25"/>
      <c r="C1330" s="25"/>
      <c r="D1330" s="25"/>
      <c r="E1330" s="25"/>
      <c r="F1330" s="25"/>
      <c r="G1330" s="25"/>
      <c r="H1330" s="26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8.75">
      <c r="A1331" s="2" t="s">
        <v>2</v>
      </c>
      <c r="B1331" s="2" t="s">
        <v>3</v>
      </c>
      <c r="C1331" s="2" t="s">
        <v>4</v>
      </c>
      <c r="D1331" s="2" t="s">
        <v>5</v>
      </c>
      <c r="E1331" s="2" t="s">
        <v>6</v>
      </c>
      <c r="F1331" s="3" t="s">
        <v>7</v>
      </c>
      <c r="G1331" s="2" t="s">
        <v>8</v>
      </c>
      <c r="H1331" s="4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6.25">
      <c r="A1332" s="5">
        <v>1</v>
      </c>
      <c r="B1332" s="6" t="s">
        <v>24</v>
      </c>
      <c r="C1332" s="7" t="s">
        <v>374</v>
      </c>
      <c r="D1332" s="6" t="s">
        <v>127</v>
      </c>
      <c r="E1332" s="6">
        <v>1.53</v>
      </c>
      <c r="F1332" s="8">
        <v>293000</v>
      </c>
      <c r="G1332" s="9">
        <f t="shared" ref="G1332:G1334" si="71">IFERROR(E1332*F1332,0)</f>
        <v>448290</v>
      </c>
      <c r="H1332" s="10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6.25">
      <c r="A1333" s="5">
        <v>2</v>
      </c>
      <c r="B1333" s="13" t="s">
        <v>375</v>
      </c>
      <c r="C1333" s="12" t="s">
        <v>376</v>
      </c>
      <c r="D1333" s="13" t="s">
        <v>12</v>
      </c>
      <c r="E1333" s="13">
        <v>2</v>
      </c>
      <c r="F1333" s="14">
        <v>435000</v>
      </c>
      <c r="G1333" s="9">
        <f t="shared" si="71"/>
        <v>870000</v>
      </c>
      <c r="H1333" s="10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6.25">
      <c r="A1334" s="5">
        <v>3</v>
      </c>
      <c r="B1334" s="17" t="s">
        <v>14</v>
      </c>
      <c r="C1334" s="10"/>
      <c r="D1334" s="10"/>
      <c r="E1334" s="10"/>
      <c r="F1334" s="10"/>
      <c r="G1334" s="18">
        <f t="shared" si="71"/>
        <v>0</v>
      </c>
      <c r="H1334" s="10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6.25">
      <c r="A1335" s="27" t="s">
        <v>15</v>
      </c>
      <c r="B1335" s="25"/>
      <c r="C1335" s="25"/>
      <c r="D1335" s="25"/>
      <c r="E1335" s="25"/>
      <c r="F1335" s="25"/>
      <c r="G1335" s="26"/>
      <c r="H1335" s="19">
        <f>SUM(G1332:G1334)</f>
        <v>1318290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6.25">
      <c r="A1336" s="27" t="s">
        <v>16</v>
      </c>
      <c r="B1336" s="25"/>
      <c r="C1336" s="25"/>
      <c r="D1336" s="25"/>
      <c r="E1336" s="25"/>
      <c r="F1336" s="25"/>
      <c r="G1336" s="26"/>
      <c r="H1336" s="19">
        <f>MAX(0,H1335-648000)</f>
        <v>670290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6.25">
      <c r="A1337" s="28" t="s">
        <v>17</v>
      </c>
      <c r="B1337" s="25"/>
      <c r="C1337" s="25"/>
      <c r="D1337" s="25"/>
      <c r="E1337" s="25"/>
      <c r="F1337" s="25"/>
      <c r="G1337" s="26"/>
      <c r="H1337" s="20">
        <v>649000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6.25">
      <c r="A1338" s="24"/>
      <c r="B1338" s="25"/>
      <c r="C1338" s="25"/>
      <c r="D1338" s="25"/>
      <c r="E1338" s="25"/>
      <c r="F1338" s="25"/>
      <c r="G1338" s="25"/>
      <c r="H1338" s="26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6.25">
      <c r="A1339" s="23"/>
      <c r="B1339" s="23"/>
      <c r="C1339" s="23"/>
      <c r="D1339" s="23"/>
      <c r="E1339" s="23"/>
      <c r="F1339" s="23"/>
      <c r="G1339" s="23"/>
      <c r="H1339" s="23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6.25">
      <c r="A1340" s="23"/>
      <c r="B1340" s="23"/>
      <c r="C1340" s="23"/>
      <c r="D1340" s="23"/>
      <c r="E1340" s="23"/>
      <c r="F1340" s="23"/>
      <c r="G1340" s="23"/>
      <c r="H1340" s="23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6.25">
      <c r="A1341" s="23"/>
      <c r="B1341" s="23"/>
      <c r="C1341" s="23"/>
      <c r="D1341" s="23"/>
      <c r="E1341" s="23"/>
      <c r="F1341" s="23"/>
      <c r="G1341" s="23"/>
      <c r="H1341" s="23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6.25">
      <c r="A1342" s="23"/>
      <c r="B1342" s="23"/>
      <c r="C1342" s="23"/>
      <c r="D1342" s="23"/>
      <c r="E1342" s="23"/>
      <c r="F1342" s="23"/>
      <c r="G1342" s="23"/>
      <c r="H1342" s="23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6.25">
      <c r="A1343" s="23"/>
      <c r="B1343" s="23"/>
      <c r="C1343" s="23"/>
      <c r="D1343" s="23"/>
      <c r="E1343" s="23"/>
      <c r="F1343" s="23"/>
      <c r="G1343" s="23"/>
      <c r="H1343" s="23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6.25">
      <c r="A1344" s="23"/>
      <c r="B1344" s="23"/>
      <c r="C1344" s="23"/>
      <c r="D1344" s="23"/>
      <c r="E1344" s="23"/>
      <c r="F1344" s="23"/>
      <c r="G1344" s="23"/>
      <c r="H1344" s="23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6.25">
      <c r="A1345" s="23"/>
      <c r="B1345" s="23"/>
      <c r="C1345" s="23"/>
      <c r="D1345" s="23"/>
      <c r="E1345" s="23"/>
      <c r="F1345" s="23"/>
      <c r="G1345" s="23"/>
      <c r="H1345" s="23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6.25">
      <c r="A1346" s="23"/>
      <c r="B1346" s="23"/>
      <c r="C1346" s="23"/>
      <c r="D1346" s="23"/>
      <c r="E1346" s="23"/>
      <c r="F1346" s="23"/>
      <c r="G1346" s="23"/>
      <c r="H1346" s="23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6.25">
      <c r="A1347" s="23"/>
      <c r="B1347" s="23"/>
      <c r="C1347" s="23"/>
      <c r="D1347" s="23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6.25">
      <c r="A1348" s="24" t="s">
        <v>0</v>
      </c>
      <c r="B1348" s="25"/>
      <c r="C1348" s="25"/>
      <c r="D1348" s="25"/>
      <c r="E1348" s="25"/>
      <c r="F1348" s="25"/>
      <c r="G1348" s="25"/>
      <c r="H1348" s="26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6.25">
      <c r="A1349" s="24" t="s">
        <v>377</v>
      </c>
      <c r="B1349" s="25"/>
      <c r="C1349" s="25"/>
      <c r="D1349" s="25"/>
      <c r="E1349" s="25"/>
      <c r="F1349" s="25"/>
      <c r="G1349" s="25"/>
      <c r="H1349" s="26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8.75">
      <c r="A1350" s="2" t="s">
        <v>2</v>
      </c>
      <c r="B1350" s="2" t="s">
        <v>3</v>
      </c>
      <c r="C1350" s="2" t="s">
        <v>4</v>
      </c>
      <c r="D1350" s="2" t="s">
        <v>5</v>
      </c>
      <c r="E1350" s="2" t="s">
        <v>6</v>
      </c>
      <c r="F1350" s="3" t="s">
        <v>7</v>
      </c>
      <c r="G1350" s="2" t="s">
        <v>8</v>
      </c>
      <c r="H1350" s="4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6.25">
      <c r="A1351" s="5">
        <v>1</v>
      </c>
      <c r="B1351" s="6" t="s">
        <v>211</v>
      </c>
      <c r="C1351" s="7" t="s">
        <v>378</v>
      </c>
      <c r="D1351" s="6" t="s">
        <v>127</v>
      </c>
      <c r="E1351" s="6">
        <v>1.5</v>
      </c>
      <c r="F1351" s="8">
        <v>293000</v>
      </c>
      <c r="G1351" s="9">
        <f t="shared" ref="G1351:G1353" si="72">IFERROR(E1351*F1351,0)</f>
        <v>439500</v>
      </c>
      <c r="H1351" s="10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6.25">
      <c r="A1352" s="5">
        <v>2</v>
      </c>
      <c r="B1352" s="13" t="s">
        <v>375</v>
      </c>
      <c r="C1352" s="12" t="s">
        <v>376</v>
      </c>
      <c r="D1352" s="13" t="s">
        <v>12</v>
      </c>
      <c r="E1352" s="13">
        <v>2</v>
      </c>
      <c r="F1352" s="14">
        <v>435000</v>
      </c>
      <c r="G1352" s="9">
        <f t="shared" si="72"/>
        <v>870000</v>
      </c>
      <c r="H1352" s="10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6.25">
      <c r="A1353" s="5">
        <v>3</v>
      </c>
      <c r="B1353" s="17" t="s">
        <v>14</v>
      </c>
      <c r="C1353" s="10"/>
      <c r="D1353" s="10"/>
      <c r="E1353" s="10"/>
      <c r="F1353" s="10"/>
      <c r="G1353" s="18">
        <f t="shared" si="72"/>
        <v>0</v>
      </c>
      <c r="H1353" s="10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6.25">
      <c r="A1354" s="27" t="s">
        <v>15</v>
      </c>
      <c r="B1354" s="25"/>
      <c r="C1354" s="25"/>
      <c r="D1354" s="25"/>
      <c r="E1354" s="25"/>
      <c r="F1354" s="25"/>
      <c r="G1354" s="26"/>
      <c r="H1354" s="19">
        <f>SUM(G1351:G1353)</f>
        <v>1309500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6.25">
      <c r="A1355" s="27" t="s">
        <v>16</v>
      </c>
      <c r="B1355" s="25"/>
      <c r="C1355" s="25"/>
      <c r="D1355" s="25"/>
      <c r="E1355" s="25"/>
      <c r="F1355" s="25"/>
      <c r="G1355" s="26"/>
      <c r="H1355" s="19">
        <f>MAX(0,H1354-648000)</f>
        <v>661500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6.25">
      <c r="A1356" s="28" t="s">
        <v>17</v>
      </c>
      <c r="B1356" s="25"/>
      <c r="C1356" s="25"/>
      <c r="D1356" s="25"/>
      <c r="E1356" s="25"/>
      <c r="F1356" s="25"/>
      <c r="G1356" s="26"/>
      <c r="H1356" s="20">
        <v>649000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6.25">
      <c r="A1357" s="24"/>
      <c r="B1357" s="25"/>
      <c r="C1357" s="25"/>
      <c r="D1357" s="25"/>
      <c r="E1357" s="25"/>
      <c r="F1357" s="25"/>
      <c r="G1357" s="25"/>
      <c r="H1357" s="26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6.25">
      <c r="A1358" s="23"/>
      <c r="B1358" s="23"/>
      <c r="C1358" s="23"/>
      <c r="D1358" s="23"/>
      <c r="E1358" s="23"/>
      <c r="F1358" s="23"/>
      <c r="G1358" s="23"/>
      <c r="H1358" s="23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6.25">
      <c r="A1359" s="23"/>
      <c r="B1359" s="23"/>
      <c r="C1359" s="23"/>
      <c r="D1359" s="23"/>
      <c r="E1359" s="23"/>
      <c r="F1359" s="23"/>
      <c r="G1359" s="23"/>
      <c r="H1359" s="23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6.25">
      <c r="A1360" s="23"/>
      <c r="B1360" s="23"/>
      <c r="C1360" s="23"/>
      <c r="D1360" s="23"/>
      <c r="E1360" s="23"/>
      <c r="F1360" s="23"/>
      <c r="G1360" s="23"/>
      <c r="H1360" s="23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6.25">
      <c r="A1361" s="23"/>
      <c r="B1361" s="23"/>
      <c r="C1361" s="23"/>
      <c r="D1361" s="23"/>
      <c r="E1361" s="23"/>
      <c r="F1361" s="23"/>
      <c r="G1361" s="23"/>
      <c r="H1361" s="23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6.25">
      <c r="A1362" s="23"/>
      <c r="B1362" s="23"/>
      <c r="C1362" s="23"/>
      <c r="D1362" s="23"/>
      <c r="E1362" s="23"/>
      <c r="F1362" s="23"/>
      <c r="G1362" s="23"/>
      <c r="H1362" s="23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6.25">
      <c r="A1363" s="23"/>
      <c r="B1363" s="23"/>
      <c r="C1363" s="23"/>
      <c r="D1363" s="23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6.25">
      <c r="A1364" s="23"/>
      <c r="B1364" s="23"/>
      <c r="C1364" s="23"/>
      <c r="D1364" s="23"/>
      <c r="E1364" s="23"/>
      <c r="F1364" s="23"/>
      <c r="G1364" s="23"/>
      <c r="H1364" s="23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6.25">
      <c r="A1365" s="23"/>
      <c r="B1365" s="23"/>
      <c r="C1365" s="23"/>
      <c r="D1365" s="23"/>
      <c r="E1365" s="23"/>
      <c r="F1365" s="23"/>
      <c r="G1365" s="23"/>
      <c r="H1365" s="23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6.25">
      <c r="A1366" s="23"/>
      <c r="B1366" s="23"/>
      <c r="C1366" s="23"/>
      <c r="D1366" s="23"/>
      <c r="E1366" s="23"/>
      <c r="F1366" s="23"/>
      <c r="G1366" s="23"/>
      <c r="H1366" s="23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6.25">
      <c r="A1367" s="23"/>
      <c r="B1367" s="23"/>
      <c r="C1367" s="23"/>
      <c r="D1367" s="23"/>
      <c r="E1367" s="23"/>
      <c r="F1367" s="23"/>
      <c r="G1367" s="23"/>
      <c r="H1367" s="23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6.25">
      <c r="A1368" s="23"/>
      <c r="B1368" s="23"/>
      <c r="C1368" s="23"/>
      <c r="D1368" s="23"/>
      <c r="E1368" s="23"/>
      <c r="F1368" s="23"/>
      <c r="G1368" s="23"/>
      <c r="H1368" s="23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6.25">
      <c r="A1369" s="23"/>
      <c r="B1369" s="23"/>
      <c r="C1369" s="23"/>
      <c r="D1369" s="23"/>
      <c r="E1369" s="23"/>
      <c r="F1369" s="23"/>
      <c r="G1369" s="23"/>
      <c r="H1369" s="23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6.25">
      <c r="A1370" s="23"/>
      <c r="B1370" s="23"/>
      <c r="C1370" s="23"/>
      <c r="D1370" s="23"/>
      <c r="E1370" s="23"/>
      <c r="F1370" s="23"/>
      <c r="G1370" s="23"/>
      <c r="H1370" s="23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6.25">
      <c r="A1371" s="23"/>
      <c r="B1371" s="23"/>
      <c r="C1371" s="23"/>
      <c r="D1371" s="23"/>
      <c r="E1371" s="23"/>
      <c r="F1371" s="23"/>
      <c r="G1371" s="23"/>
      <c r="H1371" s="23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6.25">
      <c r="A1372" s="24" t="s">
        <v>0</v>
      </c>
      <c r="B1372" s="25"/>
      <c r="C1372" s="25"/>
      <c r="D1372" s="25"/>
      <c r="E1372" s="25"/>
      <c r="F1372" s="25"/>
      <c r="G1372" s="25"/>
      <c r="H1372" s="26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6.25">
      <c r="A1373" s="24" t="s">
        <v>379</v>
      </c>
      <c r="B1373" s="25"/>
      <c r="C1373" s="25"/>
      <c r="D1373" s="25"/>
      <c r="E1373" s="25"/>
      <c r="F1373" s="25"/>
      <c r="G1373" s="25"/>
      <c r="H1373" s="26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8.75">
      <c r="A1374" s="2" t="s">
        <v>2</v>
      </c>
      <c r="B1374" s="2" t="s">
        <v>3</v>
      </c>
      <c r="C1374" s="2" t="s">
        <v>4</v>
      </c>
      <c r="D1374" s="2" t="s">
        <v>5</v>
      </c>
      <c r="E1374" s="2" t="s">
        <v>6</v>
      </c>
      <c r="F1374" s="3" t="s">
        <v>7</v>
      </c>
      <c r="G1374" s="2" t="s">
        <v>8</v>
      </c>
      <c r="H1374" s="4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6.25">
      <c r="A1375" s="5">
        <v>1</v>
      </c>
      <c r="B1375" s="6" t="s">
        <v>106</v>
      </c>
      <c r="C1375" s="7" t="s">
        <v>380</v>
      </c>
      <c r="D1375" s="6" t="s">
        <v>127</v>
      </c>
      <c r="E1375" s="6">
        <v>1.5</v>
      </c>
      <c r="F1375" s="8">
        <v>293000</v>
      </c>
      <c r="G1375" s="9">
        <f t="shared" ref="G1375:G1377" si="73">IFERROR(E1375*F1375,0)</f>
        <v>439500</v>
      </c>
      <c r="H1375" s="10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6.25">
      <c r="A1376" s="5">
        <v>2</v>
      </c>
      <c r="B1376" s="13" t="s">
        <v>375</v>
      </c>
      <c r="C1376" s="12" t="s">
        <v>376</v>
      </c>
      <c r="D1376" s="13" t="s">
        <v>12</v>
      </c>
      <c r="E1376" s="13">
        <v>2</v>
      </c>
      <c r="F1376" s="14">
        <v>435000</v>
      </c>
      <c r="G1376" s="9">
        <f t="shared" si="73"/>
        <v>870000</v>
      </c>
      <c r="H1376" s="10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6.25">
      <c r="A1377" s="5">
        <v>3</v>
      </c>
      <c r="B1377" s="17" t="s">
        <v>14</v>
      </c>
      <c r="C1377" s="10"/>
      <c r="D1377" s="10"/>
      <c r="E1377" s="10"/>
      <c r="F1377" s="10"/>
      <c r="G1377" s="18">
        <f t="shared" si="73"/>
        <v>0</v>
      </c>
      <c r="H1377" s="10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6.25">
      <c r="A1378" s="27" t="s">
        <v>15</v>
      </c>
      <c r="B1378" s="25"/>
      <c r="C1378" s="25"/>
      <c r="D1378" s="25"/>
      <c r="E1378" s="25"/>
      <c r="F1378" s="25"/>
      <c r="G1378" s="26"/>
      <c r="H1378" s="19">
        <f>SUM(G1375:G1377)</f>
        <v>1309500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6.25">
      <c r="A1379" s="27" t="s">
        <v>16</v>
      </c>
      <c r="B1379" s="25"/>
      <c r="C1379" s="25"/>
      <c r="D1379" s="25"/>
      <c r="E1379" s="25"/>
      <c r="F1379" s="25"/>
      <c r="G1379" s="26"/>
      <c r="H1379" s="19">
        <f>MAX(0,H1378-648000)</f>
        <v>661500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6.25">
      <c r="A1380" s="28" t="s">
        <v>17</v>
      </c>
      <c r="B1380" s="25"/>
      <c r="C1380" s="25"/>
      <c r="D1380" s="25"/>
      <c r="E1380" s="25"/>
      <c r="F1380" s="25"/>
      <c r="G1380" s="26"/>
      <c r="H1380" s="20">
        <v>649000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6.25">
      <c r="A1381" s="24"/>
      <c r="B1381" s="25"/>
      <c r="C1381" s="25"/>
      <c r="D1381" s="25"/>
      <c r="E1381" s="25"/>
      <c r="F1381" s="25"/>
      <c r="G1381" s="25"/>
      <c r="H1381" s="26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6.25">
      <c r="A1382" s="23"/>
      <c r="B1382" s="23"/>
      <c r="C1382" s="23"/>
      <c r="D1382" s="23"/>
      <c r="E1382" s="23"/>
      <c r="F1382" s="23"/>
      <c r="G1382" s="23"/>
      <c r="H1382" s="23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6.25">
      <c r="A1383" s="23"/>
      <c r="B1383" s="23"/>
      <c r="C1383" s="23"/>
      <c r="D1383" s="23"/>
      <c r="E1383" s="23"/>
      <c r="F1383" s="23"/>
      <c r="G1383" s="23"/>
      <c r="H1383" s="23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6.25">
      <c r="A1384" s="23"/>
      <c r="B1384" s="23"/>
      <c r="C1384" s="23"/>
      <c r="D1384" s="23"/>
      <c r="E1384" s="23"/>
      <c r="F1384" s="23"/>
      <c r="G1384" s="23"/>
      <c r="H1384" s="23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6.25">
      <c r="A1385" s="23"/>
      <c r="B1385" s="23"/>
      <c r="C1385" s="23"/>
      <c r="D1385" s="23"/>
      <c r="E1385" s="23"/>
      <c r="F1385" s="23"/>
      <c r="G1385" s="23"/>
      <c r="H1385" s="23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6.25">
      <c r="A1386" s="23"/>
      <c r="B1386" s="23"/>
      <c r="C1386" s="23"/>
      <c r="D1386" s="23"/>
      <c r="E1386" s="23"/>
      <c r="F1386" s="23"/>
      <c r="G1386" s="23"/>
      <c r="H1386" s="23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6.25">
      <c r="A1387" s="23"/>
      <c r="B1387" s="23"/>
      <c r="C1387" s="23"/>
      <c r="D1387" s="23"/>
      <c r="E1387" s="23"/>
      <c r="F1387" s="23"/>
      <c r="G1387" s="23"/>
      <c r="H1387" s="23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6.25">
      <c r="A1388" s="23"/>
      <c r="B1388" s="23"/>
      <c r="C1388" s="23"/>
      <c r="D1388" s="23"/>
      <c r="E1388" s="23"/>
      <c r="F1388" s="23"/>
      <c r="G1388" s="23"/>
      <c r="H1388" s="23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6.25">
      <c r="A1389" s="23"/>
      <c r="B1389" s="23"/>
      <c r="C1389" s="23"/>
      <c r="D1389" s="23"/>
      <c r="E1389" s="23"/>
      <c r="F1389" s="23"/>
      <c r="G1389" s="23"/>
      <c r="H1389" s="23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6.25">
      <c r="A1390" s="23"/>
      <c r="B1390" s="23"/>
      <c r="C1390" s="23"/>
      <c r="D1390" s="23"/>
      <c r="E1390" s="23"/>
      <c r="F1390" s="23"/>
      <c r="G1390" s="23"/>
      <c r="H1390" s="23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6.25">
      <c r="A1391" s="23"/>
      <c r="B1391" s="23"/>
      <c r="C1391" s="23"/>
      <c r="D1391" s="23"/>
      <c r="E1391" s="23"/>
      <c r="F1391" s="23"/>
      <c r="G1391" s="23"/>
      <c r="H1391" s="23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6.25">
      <c r="A1392" s="23"/>
      <c r="B1392" s="23"/>
      <c r="C1392" s="23"/>
      <c r="D1392" s="23"/>
      <c r="E1392" s="23"/>
      <c r="F1392" s="23"/>
      <c r="G1392" s="23"/>
      <c r="H1392" s="23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6.25">
      <c r="A1393" s="23"/>
      <c r="B1393" s="23"/>
      <c r="C1393" s="23"/>
      <c r="D1393" s="23"/>
      <c r="E1393" s="23"/>
      <c r="F1393" s="23"/>
      <c r="G1393" s="23"/>
      <c r="H1393" s="23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6.25">
      <c r="A1394" s="23"/>
      <c r="B1394" s="23"/>
      <c r="C1394" s="23"/>
      <c r="D1394" s="23"/>
      <c r="E1394" s="23"/>
      <c r="F1394" s="23"/>
      <c r="G1394" s="23"/>
      <c r="H1394" s="23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6.25">
      <c r="A1395" s="24" t="s">
        <v>0</v>
      </c>
      <c r="B1395" s="25"/>
      <c r="C1395" s="25"/>
      <c r="D1395" s="25"/>
      <c r="E1395" s="25"/>
      <c r="F1395" s="25"/>
      <c r="G1395" s="25"/>
      <c r="H1395" s="26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6.25">
      <c r="A1396" s="24" t="s">
        <v>381</v>
      </c>
      <c r="B1396" s="25"/>
      <c r="C1396" s="25"/>
      <c r="D1396" s="25"/>
      <c r="E1396" s="25"/>
      <c r="F1396" s="25"/>
      <c r="G1396" s="25"/>
      <c r="H1396" s="26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8.75">
      <c r="A1397" s="2" t="s">
        <v>2</v>
      </c>
      <c r="B1397" s="2" t="s">
        <v>3</v>
      </c>
      <c r="C1397" s="2" t="s">
        <v>4</v>
      </c>
      <c r="D1397" s="2" t="s">
        <v>5</v>
      </c>
      <c r="E1397" s="2" t="s">
        <v>6</v>
      </c>
      <c r="F1397" s="3" t="s">
        <v>7</v>
      </c>
      <c r="G1397" s="2" t="s">
        <v>8</v>
      </c>
      <c r="H1397" s="4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6.25">
      <c r="A1398" s="5">
        <v>1</v>
      </c>
      <c r="B1398" s="6" t="s">
        <v>234</v>
      </c>
      <c r="C1398" s="7" t="s">
        <v>382</v>
      </c>
      <c r="D1398" s="6" t="s">
        <v>127</v>
      </c>
      <c r="E1398" s="6">
        <v>1.5</v>
      </c>
      <c r="F1398" s="8">
        <v>293000</v>
      </c>
      <c r="G1398" s="9">
        <f t="shared" ref="G1398:G1400" si="74">IFERROR(E1398*F1398,0)</f>
        <v>439500</v>
      </c>
      <c r="H1398" s="10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6.25">
      <c r="A1399" s="5">
        <v>2</v>
      </c>
      <c r="B1399" s="13" t="s">
        <v>375</v>
      </c>
      <c r="C1399" s="12" t="s">
        <v>376</v>
      </c>
      <c r="D1399" s="13" t="s">
        <v>12</v>
      </c>
      <c r="E1399" s="13">
        <v>2</v>
      </c>
      <c r="F1399" s="14">
        <v>435000</v>
      </c>
      <c r="G1399" s="9">
        <f t="shared" si="74"/>
        <v>870000</v>
      </c>
      <c r="H1399" s="10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6.25">
      <c r="A1400" s="5">
        <v>3</v>
      </c>
      <c r="B1400" s="17" t="s">
        <v>14</v>
      </c>
      <c r="C1400" s="10"/>
      <c r="D1400" s="10"/>
      <c r="E1400" s="10"/>
      <c r="F1400" s="10"/>
      <c r="G1400" s="18">
        <f t="shared" si="74"/>
        <v>0</v>
      </c>
      <c r="H1400" s="10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6.25">
      <c r="A1401" s="27" t="s">
        <v>15</v>
      </c>
      <c r="B1401" s="25"/>
      <c r="C1401" s="25"/>
      <c r="D1401" s="25"/>
      <c r="E1401" s="25"/>
      <c r="F1401" s="25"/>
      <c r="G1401" s="26"/>
      <c r="H1401" s="19">
        <f>SUM(G1398:G1400)</f>
        <v>1309500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6.25">
      <c r="A1402" s="27" t="s">
        <v>16</v>
      </c>
      <c r="B1402" s="25"/>
      <c r="C1402" s="25"/>
      <c r="D1402" s="25"/>
      <c r="E1402" s="25"/>
      <c r="F1402" s="25"/>
      <c r="G1402" s="26"/>
      <c r="H1402" s="19">
        <f>MAX(0,H1401-648000)</f>
        <v>661500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6.25">
      <c r="A1403" s="28" t="s">
        <v>17</v>
      </c>
      <c r="B1403" s="25"/>
      <c r="C1403" s="25"/>
      <c r="D1403" s="25"/>
      <c r="E1403" s="25"/>
      <c r="F1403" s="25"/>
      <c r="G1403" s="26"/>
      <c r="H1403" s="20">
        <v>649000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6.25">
      <c r="A1404" s="24"/>
      <c r="B1404" s="25"/>
      <c r="C1404" s="25"/>
      <c r="D1404" s="25"/>
      <c r="E1404" s="25"/>
      <c r="F1404" s="25"/>
      <c r="G1404" s="25"/>
      <c r="H1404" s="26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6.25">
      <c r="A1405" s="23"/>
      <c r="B1405" s="23"/>
      <c r="C1405" s="23"/>
      <c r="D1405" s="23"/>
      <c r="E1405" s="23"/>
      <c r="F1405" s="23"/>
      <c r="G1405" s="23"/>
      <c r="H1405" s="23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6.25">
      <c r="A1406" s="23"/>
      <c r="B1406" s="23"/>
      <c r="C1406" s="23"/>
      <c r="D1406" s="23"/>
      <c r="E1406" s="23"/>
      <c r="F1406" s="23"/>
      <c r="G1406" s="23"/>
      <c r="H1406" s="23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6.25">
      <c r="A1407" s="23"/>
      <c r="B1407" s="23"/>
      <c r="C1407" s="23"/>
      <c r="D1407" s="23"/>
      <c r="E1407" s="23"/>
      <c r="F1407" s="23"/>
      <c r="G1407" s="23"/>
      <c r="H1407" s="23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6.25">
      <c r="A1408" s="23"/>
      <c r="B1408" s="23"/>
      <c r="C1408" s="23"/>
      <c r="D1408" s="23"/>
      <c r="E1408" s="23"/>
      <c r="F1408" s="23"/>
      <c r="G1408" s="23"/>
      <c r="H1408" s="23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6.25">
      <c r="A1409" s="23"/>
      <c r="B1409" s="23"/>
      <c r="C1409" s="23"/>
      <c r="D1409" s="23"/>
      <c r="E1409" s="23"/>
      <c r="F1409" s="23"/>
      <c r="G1409" s="23"/>
      <c r="H1409" s="23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6.25">
      <c r="A1410" s="23"/>
      <c r="B1410" s="23"/>
      <c r="C1410" s="23"/>
      <c r="D1410" s="23"/>
      <c r="E1410" s="23"/>
      <c r="F1410" s="23"/>
      <c r="G1410" s="23"/>
      <c r="H1410" s="23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6.25">
      <c r="A1411" s="24" t="s">
        <v>0</v>
      </c>
      <c r="B1411" s="25"/>
      <c r="C1411" s="25"/>
      <c r="D1411" s="25"/>
      <c r="E1411" s="25"/>
      <c r="F1411" s="25"/>
      <c r="G1411" s="25"/>
      <c r="H1411" s="26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6.25">
      <c r="A1412" s="24" t="s">
        <v>383</v>
      </c>
      <c r="B1412" s="25"/>
      <c r="C1412" s="25"/>
      <c r="D1412" s="25"/>
      <c r="E1412" s="25"/>
      <c r="F1412" s="25"/>
      <c r="G1412" s="25"/>
      <c r="H1412" s="26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8.75">
      <c r="A1413" s="2" t="s">
        <v>2</v>
      </c>
      <c r="B1413" s="2" t="s">
        <v>3</v>
      </c>
      <c r="C1413" s="2" t="s">
        <v>4</v>
      </c>
      <c r="D1413" s="2" t="s">
        <v>5</v>
      </c>
      <c r="E1413" s="2" t="s">
        <v>6</v>
      </c>
      <c r="F1413" s="3" t="s">
        <v>7</v>
      </c>
      <c r="G1413" s="2" t="s">
        <v>8</v>
      </c>
      <c r="H1413" s="4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6.25">
      <c r="A1414" s="5">
        <v>1</v>
      </c>
      <c r="B1414" s="6" t="s">
        <v>285</v>
      </c>
      <c r="C1414" s="7" t="s">
        <v>384</v>
      </c>
      <c r="D1414" s="6" t="s">
        <v>127</v>
      </c>
      <c r="E1414" s="6">
        <v>1.46</v>
      </c>
      <c r="F1414" s="8">
        <v>293000</v>
      </c>
      <c r="G1414" s="9">
        <f t="shared" ref="G1414:G1416" si="75">IFERROR(E1414*F1414,0)</f>
        <v>427780</v>
      </c>
      <c r="H1414" s="10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6.25">
      <c r="A1415" s="5">
        <v>2</v>
      </c>
      <c r="B1415" s="13" t="s">
        <v>206</v>
      </c>
      <c r="C1415" s="12" t="s">
        <v>224</v>
      </c>
      <c r="D1415" s="13" t="s">
        <v>12</v>
      </c>
      <c r="E1415" s="13">
        <v>1.9</v>
      </c>
      <c r="F1415" s="14">
        <v>435000</v>
      </c>
      <c r="G1415" s="9">
        <f t="shared" si="75"/>
        <v>826500</v>
      </c>
      <c r="H1415" s="10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6.25">
      <c r="A1416" s="5">
        <v>3</v>
      </c>
      <c r="B1416" s="17" t="s">
        <v>14</v>
      </c>
      <c r="C1416" s="10"/>
      <c r="D1416" s="10"/>
      <c r="E1416" s="10"/>
      <c r="F1416" s="10"/>
      <c r="G1416" s="18">
        <f t="shared" si="75"/>
        <v>0</v>
      </c>
      <c r="H1416" s="10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6.25">
      <c r="A1417" s="27" t="s">
        <v>15</v>
      </c>
      <c r="B1417" s="25"/>
      <c r="C1417" s="25"/>
      <c r="D1417" s="25"/>
      <c r="E1417" s="25"/>
      <c r="F1417" s="25"/>
      <c r="G1417" s="26"/>
      <c r="H1417" s="19">
        <f>SUM(G1414:G1416)</f>
        <v>1254280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6.25">
      <c r="A1418" s="27" t="s">
        <v>16</v>
      </c>
      <c r="B1418" s="25"/>
      <c r="C1418" s="25"/>
      <c r="D1418" s="25"/>
      <c r="E1418" s="25"/>
      <c r="F1418" s="25"/>
      <c r="G1418" s="26"/>
      <c r="H1418" s="19">
        <f>MAX(0,H1417-648000)</f>
        <v>606280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6.25">
      <c r="A1419" s="28" t="s">
        <v>17</v>
      </c>
      <c r="B1419" s="25"/>
      <c r="C1419" s="25"/>
      <c r="D1419" s="25"/>
      <c r="E1419" s="25"/>
      <c r="F1419" s="25"/>
      <c r="G1419" s="26"/>
      <c r="H1419" s="20">
        <v>649000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6.25">
      <c r="A1420" s="24"/>
      <c r="B1420" s="25"/>
      <c r="C1420" s="25"/>
      <c r="D1420" s="25"/>
      <c r="E1420" s="25"/>
      <c r="F1420" s="25"/>
      <c r="G1420" s="25"/>
      <c r="H1420" s="26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6.25">
      <c r="A1421" s="23"/>
      <c r="B1421" s="23"/>
      <c r="C1421" s="23"/>
      <c r="D1421" s="23"/>
      <c r="E1421" s="23"/>
      <c r="F1421" s="23"/>
      <c r="G1421" s="23"/>
      <c r="H1421" s="2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6.25">
      <c r="A1422" s="23"/>
      <c r="B1422" s="23"/>
      <c r="C1422" s="23"/>
      <c r="D1422" s="23"/>
      <c r="E1422" s="23"/>
      <c r="F1422" s="23"/>
      <c r="G1422" s="23"/>
      <c r="H1422" s="23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6.25">
      <c r="A1423" s="23"/>
      <c r="B1423" s="23"/>
      <c r="C1423" s="23"/>
      <c r="D1423" s="23"/>
      <c r="E1423" s="23"/>
      <c r="F1423" s="23"/>
      <c r="G1423" s="23"/>
      <c r="H1423" s="23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6.25">
      <c r="A1424" s="23"/>
      <c r="B1424" s="23"/>
      <c r="C1424" s="23"/>
      <c r="D1424" s="23"/>
      <c r="E1424" s="23"/>
      <c r="F1424" s="23"/>
      <c r="G1424" s="23"/>
      <c r="H1424" s="23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6.25">
      <c r="A1425" s="23"/>
      <c r="B1425" s="23"/>
      <c r="C1425" s="23"/>
      <c r="D1425" s="23"/>
      <c r="E1425" s="23"/>
      <c r="F1425" s="23"/>
      <c r="G1425" s="23"/>
      <c r="H1425" s="2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6.25">
      <c r="A1426" s="23"/>
      <c r="B1426" s="23"/>
      <c r="C1426" s="23"/>
      <c r="D1426" s="23"/>
      <c r="E1426" s="23"/>
      <c r="F1426" s="23"/>
      <c r="G1426" s="23"/>
      <c r="H1426" s="23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6.25">
      <c r="A1427" s="23"/>
      <c r="B1427" s="23"/>
      <c r="C1427" s="23"/>
      <c r="D1427" s="23"/>
      <c r="E1427" s="23"/>
      <c r="F1427" s="23"/>
      <c r="G1427" s="23"/>
      <c r="H1427" s="23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6.25">
      <c r="A1428" s="24" t="s">
        <v>0</v>
      </c>
      <c r="B1428" s="25"/>
      <c r="C1428" s="25"/>
      <c r="D1428" s="25"/>
      <c r="E1428" s="25"/>
      <c r="F1428" s="25"/>
      <c r="G1428" s="25"/>
      <c r="H1428" s="26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6.25">
      <c r="A1429" s="24" t="s">
        <v>385</v>
      </c>
      <c r="B1429" s="25"/>
      <c r="C1429" s="25"/>
      <c r="D1429" s="25"/>
      <c r="E1429" s="25"/>
      <c r="F1429" s="25"/>
      <c r="G1429" s="25"/>
      <c r="H1429" s="26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8.75">
      <c r="A1430" s="2" t="s">
        <v>2</v>
      </c>
      <c r="B1430" s="2" t="s">
        <v>3</v>
      </c>
      <c r="C1430" s="2" t="s">
        <v>4</v>
      </c>
      <c r="D1430" s="2" t="s">
        <v>5</v>
      </c>
      <c r="E1430" s="2" t="s">
        <v>6</v>
      </c>
      <c r="F1430" s="3" t="s">
        <v>7</v>
      </c>
      <c r="G1430" s="2" t="s">
        <v>8</v>
      </c>
      <c r="H1430" s="4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6.25">
      <c r="A1431" s="5">
        <v>1</v>
      </c>
      <c r="B1431" s="13" t="s">
        <v>206</v>
      </c>
      <c r="C1431" s="7" t="s">
        <v>386</v>
      </c>
      <c r="D1431" s="6" t="s">
        <v>127</v>
      </c>
      <c r="E1431" s="6">
        <v>1.5</v>
      </c>
      <c r="F1431" s="8">
        <v>293000</v>
      </c>
      <c r="G1431" s="9">
        <f t="shared" ref="G1431:G1433" si="76">IFERROR(E1431*F1431,0)</f>
        <v>439500</v>
      </c>
      <c r="H1431" s="10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6.25">
      <c r="A1432" s="5">
        <v>2</v>
      </c>
      <c r="B1432" s="12" t="s">
        <v>175</v>
      </c>
      <c r="C1432" s="22" t="s">
        <v>387</v>
      </c>
      <c r="D1432" s="13" t="s">
        <v>12</v>
      </c>
      <c r="E1432" s="13">
        <v>1.97</v>
      </c>
      <c r="F1432" s="14">
        <v>435000</v>
      </c>
      <c r="G1432" s="9">
        <f t="shared" si="76"/>
        <v>856950</v>
      </c>
      <c r="H1432" s="10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6.25">
      <c r="A1433" s="5">
        <v>3</v>
      </c>
      <c r="B1433" s="17" t="s">
        <v>14</v>
      </c>
      <c r="C1433" s="10"/>
      <c r="D1433" s="10"/>
      <c r="E1433" s="10"/>
      <c r="F1433" s="10"/>
      <c r="G1433" s="18">
        <f t="shared" si="76"/>
        <v>0</v>
      </c>
      <c r="H1433" s="10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6.25">
      <c r="A1434" s="27" t="s">
        <v>15</v>
      </c>
      <c r="B1434" s="25"/>
      <c r="C1434" s="25"/>
      <c r="D1434" s="25"/>
      <c r="E1434" s="25"/>
      <c r="F1434" s="25"/>
      <c r="G1434" s="26"/>
      <c r="H1434" s="19">
        <f>SUM(G1431:G1433)</f>
        <v>1296450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6.25">
      <c r="A1435" s="27" t="s">
        <v>16</v>
      </c>
      <c r="B1435" s="25"/>
      <c r="C1435" s="25"/>
      <c r="D1435" s="25"/>
      <c r="E1435" s="25"/>
      <c r="F1435" s="25"/>
      <c r="G1435" s="26"/>
      <c r="H1435" s="19">
        <f>MAX(0,H1434-648000)</f>
        <v>648450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6.25">
      <c r="A1436" s="28" t="s">
        <v>17</v>
      </c>
      <c r="B1436" s="25"/>
      <c r="C1436" s="25"/>
      <c r="D1436" s="25"/>
      <c r="E1436" s="25"/>
      <c r="F1436" s="25"/>
      <c r="G1436" s="26"/>
      <c r="H1436" s="20">
        <v>649000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6.25">
      <c r="A1437" s="24"/>
      <c r="B1437" s="25"/>
      <c r="C1437" s="25"/>
      <c r="D1437" s="25"/>
      <c r="E1437" s="25"/>
      <c r="F1437" s="25"/>
      <c r="G1437" s="25"/>
      <c r="H1437" s="26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6.25">
      <c r="A1438" s="23"/>
      <c r="B1438" s="23"/>
      <c r="C1438" s="23"/>
      <c r="D1438" s="23"/>
      <c r="E1438" s="23"/>
      <c r="F1438" s="23"/>
      <c r="G1438" s="23"/>
      <c r="H1438" s="23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6.25">
      <c r="A1439" s="23"/>
      <c r="B1439" s="23"/>
      <c r="C1439" s="23"/>
      <c r="D1439" s="23"/>
      <c r="E1439" s="23"/>
      <c r="F1439" s="23"/>
      <c r="G1439" s="23"/>
      <c r="H1439" s="23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6.25">
      <c r="A1440" s="23"/>
      <c r="B1440" s="23"/>
      <c r="C1440" s="23"/>
      <c r="D1440" s="23"/>
      <c r="E1440" s="23"/>
      <c r="F1440" s="23"/>
      <c r="G1440" s="23"/>
      <c r="H1440" s="23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6.25">
      <c r="A1441" s="23"/>
      <c r="B1441" s="23"/>
      <c r="C1441" s="23"/>
      <c r="D1441" s="23"/>
      <c r="E1441" s="23"/>
      <c r="F1441" s="23"/>
      <c r="G1441" s="23"/>
      <c r="H1441" s="2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6.25">
      <c r="A1442" s="23"/>
      <c r="B1442" s="23"/>
      <c r="C1442" s="23"/>
      <c r="D1442" s="23"/>
      <c r="E1442" s="23"/>
      <c r="F1442" s="23"/>
      <c r="G1442" s="23"/>
      <c r="H1442" s="23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6.25">
      <c r="A1443" s="23"/>
      <c r="B1443" s="23"/>
      <c r="C1443" s="23"/>
      <c r="D1443" s="23"/>
      <c r="E1443" s="23"/>
      <c r="F1443" s="23"/>
      <c r="G1443" s="23"/>
      <c r="H1443" s="23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6.25">
      <c r="A1444" s="23"/>
      <c r="B1444" s="23"/>
      <c r="C1444" s="23"/>
      <c r="D1444" s="23"/>
      <c r="E1444" s="23"/>
      <c r="F1444" s="23"/>
      <c r="G1444" s="23"/>
      <c r="H1444" s="23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6.25">
      <c r="A1445" s="24" t="s">
        <v>0</v>
      </c>
      <c r="B1445" s="25"/>
      <c r="C1445" s="25"/>
      <c r="D1445" s="25"/>
      <c r="E1445" s="25"/>
      <c r="F1445" s="25"/>
      <c r="G1445" s="25"/>
      <c r="H1445" s="26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6.25">
      <c r="A1446" s="24" t="s">
        <v>388</v>
      </c>
      <c r="B1446" s="25"/>
      <c r="C1446" s="25"/>
      <c r="D1446" s="25"/>
      <c r="E1446" s="25"/>
      <c r="F1446" s="25"/>
      <c r="G1446" s="25"/>
      <c r="H1446" s="26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8.75">
      <c r="A1447" s="2" t="s">
        <v>2</v>
      </c>
      <c r="B1447" s="2" t="s">
        <v>3</v>
      </c>
      <c r="C1447" s="2" t="s">
        <v>4</v>
      </c>
      <c r="D1447" s="2" t="s">
        <v>5</v>
      </c>
      <c r="E1447" s="2" t="s">
        <v>6</v>
      </c>
      <c r="F1447" s="3" t="s">
        <v>7</v>
      </c>
      <c r="G1447" s="2" t="s">
        <v>8</v>
      </c>
      <c r="H1447" s="4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6.25">
      <c r="A1448" s="5">
        <v>1</v>
      </c>
      <c r="B1448" s="6" t="s">
        <v>329</v>
      </c>
      <c r="C1448" s="7" t="s">
        <v>389</v>
      </c>
      <c r="D1448" s="6" t="s">
        <v>127</v>
      </c>
      <c r="E1448" s="6">
        <v>2</v>
      </c>
      <c r="F1448" s="8">
        <v>293000</v>
      </c>
      <c r="G1448" s="9">
        <f t="shared" ref="G1448:G1450" si="77">IFERROR(E1448*F1448,0)</f>
        <v>586000</v>
      </c>
      <c r="H1448" s="10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6.25">
      <c r="A1449" s="5">
        <v>2</v>
      </c>
      <c r="B1449" s="12" t="s">
        <v>175</v>
      </c>
      <c r="C1449" s="12" t="s">
        <v>390</v>
      </c>
      <c r="D1449" s="13" t="s">
        <v>12</v>
      </c>
      <c r="E1449" s="13">
        <v>1.48</v>
      </c>
      <c r="F1449" s="14">
        <v>435000</v>
      </c>
      <c r="G1449" s="9">
        <f t="shared" si="77"/>
        <v>643800</v>
      </c>
      <c r="H1449" s="10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6.25">
      <c r="A1450" s="5">
        <v>3</v>
      </c>
      <c r="B1450" s="17" t="s">
        <v>14</v>
      </c>
      <c r="C1450" s="10"/>
      <c r="D1450" s="10"/>
      <c r="E1450" s="10"/>
      <c r="F1450" s="10"/>
      <c r="G1450" s="18">
        <f t="shared" si="77"/>
        <v>0</v>
      </c>
      <c r="H1450" s="10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6.25">
      <c r="A1451" s="27" t="s">
        <v>15</v>
      </c>
      <c r="B1451" s="25"/>
      <c r="C1451" s="25"/>
      <c r="D1451" s="25"/>
      <c r="E1451" s="25"/>
      <c r="F1451" s="25"/>
      <c r="G1451" s="26"/>
      <c r="H1451" s="19">
        <f>SUM(G1448:G1450)</f>
        <v>1229800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6.25">
      <c r="A1452" s="27" t="s">
        <v>16</v>
      </c>
      <c r="B1452" s="25"/>
      <c r="C1452" s="25"/>
      <c r="D1452" s="25"/>
      <c r="E1452" s="25"/>
      <c r="F1452" s="25"/>
      <c r="G1452" s="26"/>
      <c r="H1452" s="19">
        <f>MAX(0,H1451-648000)</f>
        <v>581800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6.25">
      <c r="A1453" s="28" t="s">
        <v>17</v>
      </c>
      <c r="B1453" s="25"/>
      <c r="C1453" s="25"/>
      <c r="D1453" s="25"/>
      <c r="E1453" s="25"/>
      <c r="F1453" s="25"/>
      <c r="G1453" s="26"/>
      <c r="H1453" s="20">
        <v>649000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6.25">
      <c r="A1454" s="24"/>
      <c r="B1454" s="25"/>
      <c r="C1454" s="25"/>
      <c r="D1454" s="25"/>
      <c r="E1454" s="25"/>
      <c r="F1454" s="25"/>
      <c r="G1454" s="25"/>
      <c r="H1454" s="26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6.25">
      <c r="A1455" s="23"/>
      <c r="B1455" s="23"/>
      <c r="C1455" s="23"/>
      <c r="D1455" s="23"/>
      <c r="E1455" s="23"/>
      <c r="F1455" s="23"/>
      <c r="G1455" s="23"/>
      <c r="H1455" s="2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6.25">
      <c r="A1456" s="23"/>
      <c r="B1456" s="23"/>
      <c r="C1456" s="23"/>
      <c r="D1456" s="23"/>
      <c r="E1456" s="23"/>
      <c r="F1456" s="23"/>
      <c r="G1456" s="23"/>
      <c r="H1456" s="23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6.25">
      <c r="A1457" s="23"/>
      <c r="B1457" s="23"/>
      <c r="C1457" s="23"/>
      <c r="D1457" s="23"/>
      <c r="E1457" s="23"/>
      <c r="F1457" s="23"/>
      <c r="G1457" s="23"/>
      <c r="H1457" s="23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6.25">
      <c r="A1458" s="23"/>
      <c r="B1458" s="23"/>
      <c r="C1458" s="23"/>
      <c r="D1458" s="23"/>
      <c r="E1458" s="23"/>
      <c r="F1458" s="23"/>
      <c r="G1458" s="23"/>
      <c r="H1458" s="23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6.25">
      <c r="A1459" s="24" t="s">
        <v>0</v>
      </c>
      <c r="B1459" s="25"/>
      <c r="C1459" s="25"/>
      <c r="D1459" s="25"/>
      <c r="E1459" s="25"/>
      <c r="F1459" s="25"/>
      <c r="G1459" s="25"/>
      <c r="H1459" s="26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6.25">
      <c r="A1460" s="24" t="s">
        <v>391</v>
      </c>
      <c r="B1460" s="25"/>
      <c r="C1460" s="25"/>
      <c r="D1460" s="25"/>
      <c r="E1460" s="25"/>
      <c r="F1460" s="25"/>
      <c r="G1460" s="25"/>
      <c r="H1460" s="26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8.75">
      <c r="A1461" s="2" t="s">
        <v>2</v>
      </c>
      <c r="B1461" s="2" t="s">
        <v>3</v>
      </c>
      <c r="C1461" s="2" t="s">
        <v>4</v>
      </c>
      <c r="D1461" s="2" t="s">
        <v>5</v>
      </c>
      <c r="E1461" s="2" t="s">
        <v>6</v>
      </c>
      <c r="F1461" s="3" t="s">
        <v>7</v>
      </c>
      <c r="G1461" s="2" t="s">
        <v>8</v>
      </c>
      <c r="H1461" s="4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6.25">
      <c r="A1462" s="5">
        <v>1</v>
      </c>
      <c r="B1462" s="6" t="s">
        <v>68</v>
      </c>
      <c r="C1462" s="7" t="s">
        <v>392</v>
      </c>
      <c r="D1462" s="6" t="s">
        <v>127</v>
      </c>
      <c r="E1462" s="6">
        <v>1.5</v>
      </c>
      <c r="F1462" s="8">
        <v>293000</v>
      </c>
      <c r="G1462" s="9">
        <f t="shared" ref="G1462:G1464" si="78">IFERROR(E1462*F1462,0)</f>
        <v>439500</v>
      </c>
      <c r="H1462" s="10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6.25">
      <c r="A1463" s="5">
        <v>2</v>
      </c>
      <c r="B1463" s="13" t="s">
        <v>393</v>
      </c>
      <c r="C1463" s="12" t="s">
        <v>394</v>
      </c>
      <c r="D1463" s="13" t="s">
        <v>12</v>
      </c>
      <c r="E1463" s="13">
        <v>2</v>
      </c>
      <c r="F1463" s="14">
        <v>435000</v>
      </c>
      <c r="G1463" s="9">
        <f t="shared" si="78"/>
        <v>870000</v>
      </c>
      <c r="H1463" s="10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6.25">
      <c r="A1464" s="5">
        <v>3</v>
      </c>
      <c r="B1464" s="17" t="s">
        <v>14</v>
      </c>
      <c r="C1464" s="10"/>
      <c r="D1464" s="10"/>
      <c r="E1464" s="10"/>
      <c r="F1464" s="10"/>
      <c r="G1464" s="18">
        <f t="shared" si="78"/>
        <v>0</v>
      </c>
      <c r="H1464" s="10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6.25">
      <c r="A1465" s="27" t="s">
        <v>15</v>
      </c>
      <c r="B1465" s="25"/>
      <c r="C1465" s="25"/>
      <c r="D1465" s="25"/>
      <c r="E1465" s="25"/>
      <c r="F1465" s="25"/>
      <c r="G1465" s="26"/>
      <c r="H1465" s="19">
        <f>SUM(G1462:G1464)</f>
        <v>1309500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6.25">
      <c r="A1466" s="27" t="s">
        <v>16</v>
      </c>
      <c r="B1466" s="25"/>
      <c r="C1466" s="25"/>
      <c r="D1466" s="25"/>
      <c r="E1466" s="25"/>
      <c r="F1466" s="25"/>
      <c r="G1466" s="26"/>
      <c r="H1466" s="19">
        <f>MAX(0,H1465-648000)</f>
        <v>661500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6.25">
      <c r="A1467" s="28" t="s">
        <v>17</v>
      </c>
      <c r="B1467" s="25"/>
      <c r="C1467" s="25"/>
      <c r="D1467" s="25"/>
      <c r="E1467" s="25"/>
      <c r="F1467" s="25"/>
      <c r="G1467" s="26"/>
      <c r="H1467" s="20">
        <v>649000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6.25">
      <c r="A1468" s="24"/>
      <c r="B1468" s="25"/>
      <c r="C1468" s="25"/>
      <c r="D1468" s="25"/>
      <c r="E1468" s="25"/>
      <c r="F1468" s="25"/>
      <c r="G1468" s="25"/>
      <c r="H1468" s="26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6.25">
      <c r="A1469" s="23"/>
      <c r="B1469" s="23"/>
      <c r="C1469" s="23"/>
      <c r="D1469" s="23"/>
      <c r="E1469" s="23"/>
      <c r="F1469" s="23"/>
      <c r="G1469" s="23"/>
      <c r="H1469" s="23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6.25">
      <c r="A1470" s="23"/>
      <c r="B1470" s="23"/>
      <c r="C1470" s="23"/>
      <c r="D1470" s="23"/>
      <c r="E1470" s="23"/>
      <c r="F1470" s="23"/>
      <c r="G1470" s="23"/>
      <c r="H1470" s="23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6.25">
      <c r="A1471" s="23"/>
      <c r="B1471" s="23"/>
      <c r="C1471" s="23"/>
      <c r="D1471" s="23"/>
      <c r="E1471" s="23"/>
      <c r="F1471" s="23"/>
      <c r="G1471" s="23"/>
      <c r="H1471" s="23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6.25">
      <c r="A1472" s="23"/>
      <c r="B1472" s="23"/>
      <c r="C1472" s="23"/>
      <c r="D1472" s="23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6.25">
      <c r="A1473" s="24" t="s">
        <v>0</v>
      </c>
      <c r="B1473" s="25"/>
      <c r="C1473" s="25"/>
      <c r="D1473" s="25"/>
      <c r="E1473" s="25"/>
      <c r="F1473" s="25"/>
      <c r="G1473" s="25"/>
      <c r="H1473" s="26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6.25">
      <c r="A1474" s="24" t="s">
        <v>395</v>
      </c>
      <c r="B1474" s="25"/>
      <c r="C1474" s="25"/>
      <c r="D1474" s="25"/>
      <c r="E1474" s="25"/>
      <c r="F1474" s="25"/>
      <c r="G1474" s="25"/>
      <c r="H1474" s="26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8.75">
      <c r="A1475" s="2" t="s">
        <v>2</v>
      </c>
      <c r="B1475" s="2" t="s">
        <v>3</v>
      </c>
      <c r="C1475" s="2" t="s">
        <v>4</v>
      </c>
      <c r="D1475" s="2" t="s">
        <v>5</v>
      </c>
      <c r="E1475" s="2" t="s">
        <v>6</v>
      </c>
      <c r="F1475" s="3" t="s">
        <v>7</v>
      </c>
      <c r="G1475" s="2" t="s">
        <v>8</v>
      </c>
      <c r="H1475" s="4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6.25">
      <c r="A1476" s="5">
        <v>1</v>
      </c>
      <c r="B1476" s="6" t="s">
        <v>367</v>
      </c>
      <c r="C1476" s="7" t="s">
        <v>368</v>
      </c>
      <c r="D1476" s="6" t="s">
        <v>127</v>
      </c>
      <c r="E1476" s="6">
        <v>2</v>
      </c>
      <c r="F1476" s="8">
        <v>293000</v>
      </c>
      <c r="G1476" s="9">
        <f t="shared" ref="G1476:G1478" si="79">IFERROR(E1476*F1476,0)</f>
        <v>586000</v>
      </c>
      <c r="H1476" s="10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6.25">
      <c r="A1477" s="5">
        <v>2</v>
      </c>
      <c r="B1477" s="13" t="s">
        <v>167</v>
      </c>
      <c r="C1477" s="12" t="s">
        <v>396</v>
      </c>
      <c r="D1477" s="13" t="s">
        <v>12</v>
      </c>
      <c r="E1477" s="13">
        <v>1.43</v>
      </c>
      <c r="F1477" s="14">
        <v>435000</v>
      </c>
      <c r="G1477" s="9">
        <f t="shared" si="79"/>
        <v>622050</v>
      </c>
      <c r="H1477" s="10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6.25">
      <c r="A1478" s="5">
        <v>3</v>
      </c>
      <c r="B1478" s="17" t="s">
        <v>14</v>
      </c>
      <c r="C1478" s="10"/>
      <c r="D1478" s="10"/>
      <c r="E1478" s="10"/>
      <c r="F1478" s="10"/>
      <c r="G1478" s="18">
        <f t="shared" si="79"/>
        <v>0</v>
      </c>
      <c r="H1478" s="10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6.25">
      <c r="A1479" s="27" t="s">
        <v>15</v>
      </c>
      <c r="B1479" s="25"/>
      <c r="C1479" s="25"/>
      <c r="D1479" s="25"/>
      <c r="E1479" s="25"/>
      <c r="F1479" s="25"/>
      <c r="G1479" s="26"/>
      <c r="H1479" s="19">
        <f>SUM(G1476:G1478)</f>
        <v>1208050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6.25">
      <c r="A1480" s="27" t="s">
        <v>16</v>
      </c>
      <c r="B1480" s="25"/>
      <c r="C1480" s="25"/>
      <c r="D1480" s="25"/>
      <c r="E1480" s="25"/>
      <c r="F1480" s="25"/>
      <c r="G1480" s="26"/>
      <c r="H1480" s="19">
        <f>MAX(0,H1479-648000)</f>
        <v>560050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6.25">
      <c r="A1481" s="28" t="s">
        <v>17</v>
      </c>
      <c r="B1481" s="25"/>
      <c r="C1481" s="25"/>
      <c r="D1481" s="25"/>
      <c r="E1481" s="25"/>
      <c r="F1481" s="25"/>
      <c r="G1481" s="26"/>
      <c r="H1481" s="20">
        <v>649000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6.25">
      <c r="A1482" s="24"/>
      <c r="B1482" s="25"/>
      <c r="C1482" s="25"/>
      <c r="D1482" s="25"/>
      <c r="E1482" s="25"/>
      <c r="F1482" s="25"/>
      <c r="G1482" s="25"/>
      <c r="H1482" s="26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6.25">
      <c r="A1483" s="23"/>
      <c r="B1483" s="23"/>
      <c r="C1483" s="23"/>
      <c r="D1483" s="23"/>
      <c r="E1483" s="23"/>
      <c r="F1483" s="23"/>
      <c r="G1483" s="23"/>
      <c r="H1483" s="2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6.25">
      <c r="A1484" s="23"/>
      <c r="B1484" s="23"/>
      <c r="C1484" s="23"/>
      <c r="D1484" s="23"/>
      <c r="E1484" s="23"/>
      <c r="F1484" s="23"/>
      <c r="G1484" s="23"/>
      <c r="H1484" s="23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6.25">
      <c r="A1485" s="23"/>
      <c r="B1485" s="23"/>
      <c r="C1485" s="23"/>
      <c r="D1485" s="23"/>
      <c r="E1485" s="23"/>
      <c r="F1485" s="23"/>
      <c r="G1485" s="23"/>
      <c r="H1485" s="23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6.25">
      <c r="A1486" s="23"/>
      <c r="B1486" s="23"/>
      <c r="C1486" s="23"/>
      <c r="D1486" s="23"/>
      <c r="E1486" s="23"/>
      <c r="F1486" s="23"/>
      <c r="G1486" s="23"/>
      <c r="H1486" s="2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6.25">
      <c r="A1487" s="24" t="s">
        <v>0</v>
      </c>
      <c r="B1487" s="25"/>
      <c r="C1487" s="25"/>
      <c r="D1487" s="25"/>
      <c r="E1487" s="25"/>
      <c r="F1487" s="25"/>
      <c r="G1487" s="25"/>
      <c r="H1487" s="26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6.25">
      <c r="A1488" s="24" t="s">
        <v>397</v>
      </c>
      <c r="B1488" s="25"/>
      <c r="C1488" s="25"/>
      <c r="D1488" s="25"/>
      <c r="E1488" s="25"/>
      <c r="F1488" s="25"/>
      <c r="G1488" s="25"/>
      <c r="H1488" s="26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8.75">
      <c r="A1489" s="2" t="s">
        <v>2</v>
      </c>
      <c r="B1489" s="2" t="s">
        <v>3</v>
      </c>
      <c r="C1489" s="2" t="s">
        <v>4</v>
      </c>
      <c r="D1489" s="2" t="s">
        <v>5</v>
      </c>
      <c r="E1489" s="2" t="s">
        <v>6</v>
      </c>
      <c r="F1489" s="3" t="s">
        <v>7</v>
      </c>
      <c r="G1489" s="2" t="s">
        <v>8</v>
      </c>
      <c r="H1489" s="4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6.25">
      <c r="A1490" s="5">
        <v>1</v>
      </c>
      <c r="B1490" s="6" t="s">
        <v>398</v>
      </c>
      <c r="C1490" s="7" t="s">
        <v>399</v>
      </c>
      <c r="D1490" s="6" t="s">
        <v>127</v>
      </c>
      <c r="E1490" s="6">
        <v>1.5</v>
      </c>
      <c r="F1490" s="8">
        <v>293000</v>
      </c>
      <c r="G1490" s="9">
        <f t="shared" ref="G1490:G1492" si="80">IFERROR(E1490*F1490,0)</f>
        <v>439500</v>
      </c>
      <c r="H1490" s="10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6.25">
      <c r="A1491" s="5">
        <v>2</v>
      </c>
      <c r="B1491" s="13" t="s">
        <v>329</v>
      </c>
      <c r="C1491" s="12" t="s">
        <v>349</v>
      </c>
      <c r="D1491" s="13" t="s">
        <v>12</v>
      </c>
      <c r="E1491" s="13">
        <v>2.2000000000000002</v>
      </c>
      <c r="F1491" s="14">
        <v>435000</v>
      </c>
      <c r="G1491" s="9">
        <f t="shared" si="80"/>
        <v>957000.00000000012</v>
      </c>
      <c r="H1491" s="10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6.25">
      <c r="A1492" s="5">
        <v>3</v>
      </c>
      <c r="B1492" s="17" t="s">
        <v>14</v>
      </c>
      <c r="C1492" s="10"/>
      <c r="D1492" s="10"/>
      <c r="E1492" s="10"/>
      <c r="F1492" s="10"/>
      <c r="G1492" s="18">
        <f t="shared" si="80"/>
        <v>0</v>
      </c>
      <c r="H1492" s="10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6.25">
      <c r="A1493" s="27" t="s">
        <v>15</v>
      </c>
      <c r="B1493" s="25"/>
      <c r="C1493" s="25"/>
      <c r="D1493" s="25"/>
      <c r="E1493" s="25"/>
      <c r="F1493" s="25"/>
      <c r="G1493" s="26"/>
      <c r="H1493" s="19">
        <f>SUM(G1490:G1492)</f>
        <v>1396500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6.25">
      <c r="A1494" s="27" t="s">
        <v>16</v>
      </c>
      <c r="B1494" s="25"/>
      <c r="C1494" s="25"/>
      <c r="D1494" s="25"/>
      <c r="E1494" s="25"/>
      <c r="F1494" s="25"/>
      <c r="G1494" s="26"/>
      <c r="H1494" s="19">
        <f>MAX(0,H1493-648000)</f>
        <v>748500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6.25">
      <c r="A1495" s="28" t="s">
        <v>17</v>
      </c>
      <c r="B1495" s="25"/>
      <c r="C1495" s="25"/>
      <c r="D1495" s="25"/>
      <c r="E1495" s="25"/>
      <c r="F1495" s="25"/>
      <c r="G1495" s="26"/>
      <c r="H1495" s="20">
        <v>649000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6.25">
      <c r="A1496" s="24"/>
      <c r="B1496" s="25"/>
      <c r="C1496" s="25"/>
      <c r="D1496" s="25"/>
      <c r="E1496" s="25"/>
      <c r="F1496" s="25"/>
      <c r="G1496" s="25"/>
      <c r="H1496" s="26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6.25">
      <c r="A1497" s="23"/>
      <c r="B1497" s="23"/>
      <c r="C1497" s="23"/>
      <c r="D1497" s="23"/>
      <c r="E1497" s="23"/>
      <c r="F1497" s="23"/>
      <c r="G1497" s="23"/>
      <c r="H1497" s="23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6.25">
      <c r="A1498" s="23"/>
      <c r="B1498" s="23"/>
      <c r="C1498" s="23"/>
      <c r="D1498" s="23"/>
      <c r="E1498" s="23"/>
      <c r="F1498" s="23"/>
      <c r="G1498" s="23"/>
      <c r="H1498" s="23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6.25">
      <c r="A1499" s="23"/>
      <c r="B1499" s="23"/>
      <c r="C1499" s="23"/>
      <c r="D1499" s="23"/>
      <c r="E1499" s="23"/>
      <c r="F1499" s="23"/>
      <c r="G1499" s="23"/>
      <c r="H1499" s="2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6.25">
      <c r="A1500" s="23"/>
      <c r="B1500" s="23"/>
      <c r="C1500" s="23"/>
      <c r="D1500" s="23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26.25">
      <c r="A1501" s="24" t="s">
        <v>0</v>
      </c>
      <c r="B1501" s="25"/>
      <c r="C1501" s="25"/>
      <c r="D1501" s="25"/>
      <c r="E1501" s="25"/>
      <c r="F1501" s="25"/>
      <c r="G1501" s="25"/>
      <c r="H1501" s="26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26.25">
      <c r="A1502" s="24" t="s">
        <v>400</v>
      </c>
      <c r="B1502" s="25"/>
      <c r="C1502" s="25"/>
      <c r="D1502" s="25"/>
      <c r="E1502" s="25"/>
      <c r="F1502" s="25"/>
      <c r="G1502" s="25"/>
      <c r="H1502" s="26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8.75">
      <c r="A1503" s="2" t="s">
        <v>2</v>
      </c>
      <c r="B1503" s="2" t="s">
        <v>3</v>
      </c>
      <c r="C1503" s="2" t="s">
        <v>4</v>
      </c>
      <c r="D1503" s="2" t="s">
        <v>5</v>
      </c>
      <c r="E1503" s="2" t="s">
        <v>6</v>
      </c>
      <c r="F1503" s="3" t="s">
        <v>7</v>
      </c>
      <c r="G1503" s="2" t="s">
        <v>8</v>
      </c>
      <c r="H1503" s="4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6.25">
      <c r="A1504" s="5">
        <v>1</v>
      </c>
      <c r="B1504" s="6" t="s">
        <v>68</v>
      </c>
      <c r="C1504" s="7" t="s">
        <v>401</v>
      </c>
      <c r="D1504" s="6" t="s">
        <v>127</v>
      </c>
      <c r="E1504" s="6">
        <v>1.5</v>
      </c>
      <c r="F1504" s="8">
        <v>293000</v>
      </c>
      <c r="G1504" s="9">
        <f t="shared" ref="G1504:G1506" si="81">IFERROR(E1504*F1504,0)</f>
        <v>439500</v>
      </c>
      <c r="H1504" s="10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6.25">
      <c r="A1505" s="5">
        <v>2</v>
      </c>
      <c r="B1505" s="13" t="s">
        <v>402</v>
      </c>
      <c r="C1505" s="12" t="s">
        <v>403</v>
      </c>
      <c r="D1505" s="13" t="s">
        <v>12</v>
      </c>
      <c r="E1505" s="13">
        <v>1.98</v>
      </c>
      <c r="F1505" s="14">
        <v>435000</v>
      </c>
      <c r="G1505" s="9">
        <f t="shared" si="81"/>
        <v>861300</v>
      </c>
      <c r="H1505" s="10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6.25">
      <c r="A1506" s="5">
        <v>3</v>
      </c>
      <c r="B1506" s="17" t="s">
        <v>14</v>
      </c>
      <c r="C1506" s="10"/>
      <c r="D1506" s="10"/>
      <c r="E1506" s="10"/>
      <c r="F1506" s="10"/>
      <c r="G1506" s="18">
        <f t="shared" si="81"/>
        <v>0</v>
      </c>
      <c r="H1506" s="10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6.25">
      <c r="A1507" s="27" t="s">
        <v>15</v>
      </c>
      <c r="B1507" s="25"/>
      <c r="C1507" s="25"/>
      <c r="D1507" s="25"/>
      <c r="E1507" s="25"/>
      <c r="F1507" s="25"/>
      <c r="G1507" s="26"/>
      <c r="H1507" s="19">
        <f>SUM(G1504:G1506)</f>
        <v>1300800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6.25">
      <c r="A1508" s="27" t="s">
        <v>16</v>
      </c>
      <c r="B1508" s="25"/>
      <c r="C1508" s="25"/>
      <c r="D1508" s="25"/>
      <c r="E1508" s="25"/>
      <c r="F1508" s="25"/>
      <c r="G1508" s="26"/>
      <c r="H1508" s="19">
        <f>MAX(0,H1507-648000)</f>
        <v>652800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6.25">
      <c r="A1509" s="28" t="s">
        <v>17</v>
      </c>
      <c r="B1509" s="25"/>
      <c r="C1509" s="25"/>
      <c r="D1509" s="25"/>
      <c r="E1509" s="25"/>
      <c r="F1509" s="25"/>
      <c r="G1509" s="26"/>
      <c r="H1509" s="20">
        <v>649000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6.25">
      <c r="A1510" s="24"/>
      <c r="B1510" s="25"/>
      <c r="C1510" s="25"/>
      <c r="D1510" s="25"/>
      <c r="E1510" s="25"/>
      <c r="F1510" s="25"/>
      <c r="G1510" s="25"/>
      <c r="H1510" s="26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6.25">
      <c r="A1511" s="23"/>
      <c r="B1511" s="23"/>
      <c r="C1511" s="23"/>
      <c r="D1511" s="23"/>
      <c r="E1511" s="23"/>
      <c r="F1511" s="23"/>
      <c r="G1511" s="23"/>
      <c r="H1511" s="23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6.25">
      <c r="A1512" s="23"/>
      <c r="B1512" s="23"/>
      <c r="C1512" s="23"/>
      <c r="D1512" s="23"/>
      <c r="E1512" s="23"/>
      <c r="F1512" s="23"/>
      <c r="G1512" s="23"/>
      <c r="H1512" s="2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6.25">
      <c r="A1513" s="23"/>
      <c r="B1513" s="23"/>
      <c r="C1513" s="23"/>
      <c r="D1513" s="23"/>
      <c r="E1513" s="23"/>
      <c r="F1513" s="23"/>
      <c r="G1513" s="23"/>
      <c r="H1513" s="23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6.25">
      <c r="A1514" s="23"/>
      <c r="B1514" s="23"/>
      <c r="C1514" s="23"/>
      <c r="D1514" s="23"/>
      <c r="E1514" s="23"/>
      <c r="F1514" s="23"/>
      <c r="G1514" s="23"/>
      <c r="H1514" s="23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6.25">
      <c r="A1515" s="23"/>
      <c r="B1515" s="23"/>
      <c r="C1515" s="23"/>
      <c r="D1515" s="23"/>
      <c r="E1515" s="23"/>
      <c r="F1515" s="23"/>
      <c r="G1515" s="23"/>
      <c r="H1515" s="23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6.25">
      <c r="A1516" s="24" t="s">
        <v>0</v>
      </c>
      <c r="B1516" s="25"/>
      <c r="C1516" s="25"/>
      <c r="D1516" s="25"/>
      <c r="E1516" s="25"/>
      <c r="F1516" s="25"/>
      <c r="G1516" s="25"/>
      <c r="H1516" s="26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6.25">
      <c r="A1517" s="24" t="s">
        <v>404</v>
      </c>
      <c r="B1517" s="25"/>
      <c r="C1517" s="25"/>
      <c r="D1517" s="25"/>
      <c r="E1517" s="25"/>
      <c r="F1517" s="25"/>
      <c r="G1517" s="25"/>
      <c r="H1517" s="26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8.75">
      <c r="A1518" s="2" t="s">
        <v>2</v>
      </c>
      <c r="B1518" s="2" t="s">
        <v>3</v>
      </c>
      <c r="C1518" s="2" t="s">
        <v>4</v>
      </c>
      <c r="D1518" s="2" t="s">
        <v>5</v>
      </c>
      <c r="E1518" s="2" t="s">
        <v>6</v>
      </c>
      <c r="F1518" s="3" t="s">
        <v>7</v>
      </c>
      <c r="G1518" s="2" t="s">
        <v>8</v>
      </c>
      <c r="H1518" s="4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6.25">
      <c r="A1519" s="5">
        <v>1</v>
      </c>
      <c r="B1519" s="6" t="s">
        <v>106</v>
      </c>
      <c r="C1519" s="7" t="s">
        <v>405</v>
      </c>
      <c r="D1519" s="6" t="s">
        <v>127</v>
      </c>
      <c r="E1519" s="6">
        <v>0.92</v>
      </c>
      <c r="F1519" s="8">
        <v>293000</v>
      </c>
      <c r="G1519" s="9">
        <f t="shared" ref="G1519:G1521" si="82">IFERROR(E1519*F1519,0)</f>
        <v>269560</v>
      </c>
      <c r="H1519" s="10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6.25">
      <c r="A1520" s="5">
        <v>2</v>
      </c>
      <c r="B1520" s="13" t="s">
        <v>329</v>
      </c>
      <c r="C1520" s="12" t="s">
        <v>406</v>
      </c>
      <c r="D1520" s="13" t="s">
        <v>12</v>
      </c>
      <c r="E1520" s="13">
        <v>2.67</v>
      </c>
      <c r="F1520" s="14">
        <v>435000</v>
      </c>
      <c r="G1520" s="9">
        <f t="shared" si="82"/>
        <v>1161450</v>
      </c>
      <c r="H1520" s="10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6.25">
      <c r="A1521" s="5">
        <v>3</v>
      </c>
      <c r="B1521" s="17" t="s">
        <v>14</v>
      </c>
      <c r="C1521" s="10"/>
      <c r="D1521" s="10"/>
      <c r="E1521" s="10"/>
      <c r="F1521" s="10"/>
      <c r="G1521" s="18">
        <f t="shared" si="82"/>
        <v>0</v>
      </c>
      <c r="H1521" s="10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6.25">
      <c r="A1522" s="27" t="s">
        <v>15</v>
      </c>
      <c r="B1522" s="25"/>
      <c r="C1522" s="25"/>
      <c r="D1522" s="25"/>
      <c r="E1522" s="25"/>
      <c r="F1522" s="25"/>
      <c r="G1522" s="26"/>
      <c r="H1522" s="19">
        <f>SUM(G1519:G1521)</f>
        <v>1431010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6.25">
      <c r="A1523" s="27" t="s">
        <v>16</v>
      </c>
      <c r="B1523" s="25"/>
      <c r="C1523" s="25"/>
      <c r="D1523" s="25"/>
      <c r="E1523" s="25"/>
      <c r="F1523" s="25"/>
      <c r="G1523" s="26"/>
      <c r="H1523" s="19">
        <f>MAX(0,H1522-648000)</f>
        <v>783010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6.25">
      <c r="A1524" s="28" t="s">
        <v>17</v>
      </c>
      <c r="B1524" s="25"/>
      <c r="C1524" s="25"/>
      <c r="D1524" s="25"/>
      <c r="E1524" s="25"/>
      <c r="F1524" s="25"/>
      <c r="G1524" s="26"/>
      <c r="H1524" s="20">
        <v>649000</v>
      </c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6.25">
      <c r="A1525" s="24"/>
      <c r="B1525" s="25"/>
      <c r="C1525" s="25"/>
      <c r="D1525" s="25"/>
      <c r="E1525" s="25"/>
      <c r="F1525" s="25"/>
      <c r="G1525" s="25"/>
      <c r="H1525" s="26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6.25">
      <c r="A1526" s="23"/>
      <c r="B1526" s="23"/>
      <c r="C1526" s="23"/>
      <c r="D1526" s="23"/>
      <c r="E1526" s="23"/>
      <c r="F1526" s="23"/>
      <c r="G1526" s="23"/>
      <c r="H1526" s="23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6.25">
      <c r="A1527" s="23"/>
      <c r="B1527" s="23"/>
      <c r="C1527" s="23"/>
      <c r="D1527" s="23"/>
      <c r="E1527" s="23"/>
      <c r="F1527" s="23"/>
      <c r="G1527" s="23"/>
      <c r="H1527" s="23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6.25">
      <c r="A1528" s="23"/>
      <c r="B1528" s="23"/>
      <c r="C1528" s="23"/>
      <c r="D1528" s="23"/>
      <c r="E1528" s="23"/>
      <c r="F1528" s="23"/>
      <c r="G1528" s="23"/>
      <c r="H1528" s="23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6.25">
      <c r="A1529" s="23"/>
      <c r="B1529" s="23"/>
      <c r="C1529" s="23"/>
      <c r="D1529" s="23"/>
      <c r="E1529" s="23"/>
      <c r="F1529" s="23"/>
      <c r="G1529" s="23"/>
      <c r="H1529" s="23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6.25">
      <c r="A1530" s="24" t="s">
        <v>0</v>
      </c>
      <c r="B1530" s="25"/>
      <c r="C1530" s="25"/>
      <c r="D1530" s="25"/>
      <c r="E1530" s="25"/>
      <c r="F1530" s="25"/>
      <c r="G1530" s="25"/>
      <c r="H1530" s="26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6.25">
      <c r="A1531" s="24" t="s">
        <v>407</v>
      </c>
      <c r="B1531" s="25"/>
      <c r="C1531" s="25"/>
      <c r="D1531" s="25"/>
      <c r="E1531" s="25"/>
      <c r="F1531" s="25"/>
      <c r="G1531" s="25"/>
      <c r="H1531" s="26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8.75">
      <c r="A1532" s="2" t="s">
        <v>2</v>
      </c>
      <c r="B1532" s="2" t="s">
        <v>3</v>
      </c>
      <c r="C1532" s="2" t="s">
        <v>4</v>
      </c>
      <c r="D1532" s="2" t="s">
        <v>5</v>
      </c>
      <c r="E1532" s="2" t="s">
        <v>6</v>
      </c>
      <c r="F1532" s="3" t="s">
        <v>7</v>
      </c>
      <c r="G1532" s="2" t="s">
        <v>8</v>
      </c>
      <c r="H1532" s="4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6.25">
      <c r="A1533" s="5">
        <v>1</v>
      </c>
      <c r="B1533" s="6" t="s">
        <v>375</v>
      </c>
      <c r="C1533" s="7" t="s">
        <v>408</v>
      </c>
      <c r="D1533" s="6" t="s">
        <v>127</v>
      </c>
      <c r="E1533" s="6">
        <v>1.5</v>
      </c>
      <c r="F1533" s="8">
        <v>293000</v>
      </c>
      <c r="G1533" s="9">
        <f t="shared" ref="G1533:G1535" si="83">IFERROR(E1533*F1533,0)</f>
        <v>439500</v>
      </c>
      <c r="H1533" s="10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6.25">
      <c r="A1534" s="5">
        <v>2</v>
      </c>
      <c r="B1534" s="13" t="s">
        <v>68</v>
      </c>
      <c r="C1534" s="12" t="s">
        <v>409</v>
      </c>
      <c r="D1534" s="13" t="s">
        <v>12</v>
      </c>
      <c r="E1534" s="13">
        <v>1.95</v>
      </c>
      <c r="F1534" s="14">
        <v>435000</v>
      </c>
      <c r="G1534" s="9">
        <f t="shared" si="83"/>
        <v>848250</v>
      </c>
      <c r="H1534" s="10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6.25">
      <c r="A1535" s="5">
        <v>3</v>
      </c>
      <c r="B1535" s="17" t="s">
        <v>14</v>
      </c>
      <c r="C1535" s="10"/>
      <c r="D1535" s="10"/>
      <c r="E1535" s="10"/>
      <c r="F1535" s="10"/>
      <c r="G1535" s="18">
        <f t="shared" si="83"/>
        <v>0</v>
      </c>
      <c r="H1535" s="10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6.25">
      <c r="A1536" s="27" t="s">
        <v>15</v>
      </c>
      <c r="B1536" s="25"/>
      <c r="C1536" s="25"/>
      <c r="D1536" s="25"/>
      <c r="E1536" s="25"/>
      <c r="F1536" s="25"/>
      <c r="G1536" s="26"/>
      <c r="H1536" s="19">
        <f>SUM(G1533:G1535)</f>
        <v>1287750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6.25">
      <c r="A1537" s="27" t="s">
        <v>16</v>
      </c>
      <c r="B1537" s="25"/>
      <c r="C1537" s="25"/>
      <c r="D1537" s="25"/>
      <c r="E1537" s="25"/>
      <c r="F1537" s="25"/>
      <c r="G1537" s="26"/>
      <c r="H1537" s="19">
        <f>MAX(0,H1536-648000)</f>
        <v>639750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6.25">
      <c r="A1538" s="28" t="s">
        <v>17</v>
      </c>
      <c r="B1538" s="25"/>
      <c r="C1538" s="25"/>
      <c r="D1538" s="25"/>
      <c r="E1538" s="25"/>
      <c r="F1538" s="25"/>
      <c r="G1538" s="26"/>
      <c r="H1538" s="20">
        <v>649000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6.25">
      <c r="A1539" s="24"/>
      <c r="B1539" s="25"/>
      <c r="C1539" s="25"/>
      <c r="D1539" s="25"/>
      <c r="E1539" s="25"/>
      <c r="F1539" s="25"/>
      <c r="G1539" s="25"/>
      <c r="H1539" s="26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6.25">
      <c r="A1540" s="23"/>
      <c r="B1540" s="23"/>
      <c r="C1540" s="23"/>
      <c r="D1540" s="23"/>
      <c r="E1540" s="23"/>
      <c r="F1540" s="23"/>
      <c r="G1540" s="23"/>
      <c r="H1540" s="23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6.25">
      <c r="A1541" s="23"/>
      <c r="B1541" s="23"/>
      <c r="C1541" s="23"/>
      <c r="D1541" s="23"/>
      <c r="E1541" s="23"/>
      <c r="F1541" s="23"/>
      <c r="G1541" s="23"/>
      <c r="H1541" s="23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6.25">
      <c r="A1542" s="23"/>
      <c r="B1542" s="23"/>
      <c r="C1542" s="23"/>
      <c r="D1542" s="23"/>
      <c r="E1542" s="23"/>
      <c r="F1542" s="23"/>
      <c r="G1542" s="23"/>
      <c r="H1542" s="2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6.25">
      <c r="A1543" s="23"/>
      <c r="B1543" s="23"/>
      <c r="C1543" s="23"/>
      <c r="D1543" s="23"/>
      <c r="E1543" s="23"/>
      <c r="F1543" s="23"/>
      <c r="G1543" s="23"/>
      <c r="H1543" s="23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6.25">
      <c r="A1544" s="23"/>
      <c r="B1544" s="23"/>
      <c r="C1544" s="23"/>
      <c r="D1544" s="23"/>
      <c r="E1544" s="23"/>
      <c r="F1544" s="23"/>
      <c r="G1544" s="23"/>
      <c r="H1544" s="23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6.25">
      <c r="A1545" s="24" t="s">
        <v>0</v>
      </c>
      <c r="B1545" s="25"/>
      <c r="C1545" s="25"/>
      <c r="D1545" s="25"/>
      <c r="E1545" s="25"/>
      <c r="F1545" s="25"/>
      <c r="G1545" s="25"/>
      <c r="H1545" s="26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6.25">
      <c r="A1546" s="24" t="s">
        <v>410</v>
      </c>
      <c r="B1546" s="25"/>
      <c r="C1546" s="25"/>
      <c r="D1546" s="25"/>
      <c r="E1546" s="25"/>
      <c r="F1546" s="25"/>
      <c r="G1546" s="25"/>
      <c r="H1546" s="26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8.75">
      <c r="A1547" s="2" t="s">
        <v>2</v>
      </c>
      <c r="B1547" s="2" t="s">
        <v>3</v>
      </c>
      <c r="C1547" s="2" t="s">
        <v>4</v>
      </c>
      <c r="D1547" s="2" t="s">
        <v>5</v>
      </c>
      <c r="E1547" s="2" t="s">
        <v>6</v>
      </c>
      <c r="F1547" s="3" t="s">
        <v>7</v>
      </c>
      <c r="G1547" s="2" t="s">
        <v>8</v>
      </c>
      <c r="H1547" s="4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6.25">
      <c r="A1548" s="5">
        <v>1</v>
      </c>
      <c r="B1548" s="6" t="s">
        <v>411</v>
      </c>
      <c r="C1548" s="7" t="s">
        <v>412</v>
      </c>
      <c r="D1548" s="6" t="s">
        <v>127</v>
      </c>
      <c r="E1548" s="6">
        <v>2.5</v>
      </c>
      <c r="F1548" s="8">
        <v>293000</v>
      </c>
      <c r="G1548" s="9">
        <f t="shared" ref="G1548:G1550" si="84">IFERROR(E1548*F1548,0)</f>
        <v>732500</v>
      </c>
      <c r="H1548" s="10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6.25">
      <c r="A1549" s="5">
        <v>2</v>
      </c>
      <c r="B1549" s="13" t="s">
        <v>413</v>
      </c>
      <c r="C1549" s="12" t="s">
        <v>414</v>
      </c>
      <c r="D1549" s="13" t="s">
        <v>12</v>
      </c>
      <c r="E1549" s="13">
        <v>0.97</v>
      </c>
      <c r="F1549" s="14">
        <v>435000</v>
      </c>
      <c r="G1549" s="9">
        <f t="shared" si="84"/>
        <v>421950</v>
      </c>
      <c r="H1549" s="10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6.25">
      <c r="A1550" s="5">
        <v>3</v>
      </c>
      <c r="B1550" s="17" t="s">
        <v>14</v>
      </c>
      <c r="C1550" s="10"/>
      <c r="D1550" s="10"/>
      <c r="E1550" s="10"/>
      <c r="F1550" s="10"/>
      <c r="G1550" s="18">
        <f t="shared" si="84"/>
        <v>0</v>
      </c>
      <c r="H1550" s="10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6.25">
      <c r="A1551" s="27" t="s">
        <v>15</v>
      </c>
      <c r="B1551" s="25"/>
      <c r="C1551" s="25"/>
      <c r="D1551" s="25"/>
      <c r="E1551" s="25"/>
      <c r="F1551" s="25"/>
      <c r="G1551" s="26"/>
      <c r="H1551" s="19">
        <f>SUM(G1548:G1550)</f>
        <v>1154450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6.25">
      <c r="A1552" s="27" t="s">
        <v>16</v>
      </c>
      <c r="B1552" s="25"/>
      <c r="C1552" s="25"/>
      <c r="D1552" s="25"/>
      <c r="E1552" s="25"/>
      <c r="F1552" s="25"/>
      <c r="G1552" s="26"/>
      <c r="H1552" s="19">
        <f>MAX(0,H1551-648000)</f>
        <v>506450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6.25">
      <c r="A1553" s="28" t="s">
        <v>17</v>
      </c>
      <c r="B1553" s="25"/>
      <c r="C1553" s="25"/>
      <c r="D1553" s="25"/>
      <c r="E1553" s="25"/>
      <c r="F1553" s="25"/>
      <c r="G1553" s="26"/>
      <c r="H1553" s="20">
        <v>649000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6.25">
      <c r="A1554" s="24"/>
      <c r="B1554" s="25"/>
      <c r="C1554" s="25"/>
      <c r="D1554" s="25"/>
      <c r="E1554" s="25"/>
      <c r="F1554" s="25"/>
      <c r="G1554" s="25"/>
      <c r="H1554" s="26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6.25">
      <c r="A1555" s="23"/>
      <c r="B1555" s="23"/>
      <c r="C1555" s="23"/>
      <c r="D1555" s="23"/>
      <c r="E1555" s="23"/>
      <c r="F1555" s="23"/>
      <c r="G1555" s="23"/>
      <c r="H1555" s="23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6.25">
      <c r="A1556" s="23"/>
      <c r="B1556" s="23"/>
      <c r="C1556" s="23"/>
      <c r="D1556" s="23"/>
      <c r="E1556" s="23"/>
      <c r="F1556" s="23"/>
      <c r="G1556" s="23"/>
      <c r="H1556" s="23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6.25">
      <c r="A1557" s="23"/>
      <c r="B1557" s="23"/>
      <c r="C1557" s="23"/>
      <c r="D1557" s="23"/>
      <c r="E1557" s="23"/>
      <c r="F1557" s="23"/>
      <c r="G1557" s="23"/>
      <c r="H1557" s="2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6.25">
      <c r="A1558" s="23"/>
      <c r="B1558" s="23"/>
      <c r="C1558" s="23"/>
      <c r="D1558" s="23"/>
      <c r="E1558" s="23"/>
      <c r="F1558" s="23"/>
      <c r="G1558" s="23"/>
      <c r="H1558" s="23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6.25">
      <c r="A1559" s="23"/>
      <c r="B1559" s="23"/>
      <c r="C1559" s="23"/>
      <c r="D1559" s="23"/>
      <c r="E1559" s="23"/>
      <c r="F1559" s="23"/>
      <c r="G1559" s="23"/>
      <c r="H1559" s="2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6.25">
      <c r="A1560" s="23"/>
      <c r="B1560" s="23"/>
      <c r="C1560" s="23"/>
      <c r="D1560" s="23"/>
      <c r="E1560" s="23"/>
      <c r="F1560" s="23"/>
      <c r="G1560" s="23"/>
      <c r="H1560" s="23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6.25">
      <c r="A1561" s="23"/>
      <c r="B1561" s="23"/>
      <c r="C1561" s="23"/>
      <c r="D1561" s="23"/>
      <c r="E1561" s="23"/>
      <c r="F1561" s="23"/>
      <c r="G1561" s="23"/>
      <c r="H1561" s="23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6.25">
      <c r="A1562" s="23"/>
      <c r="B1562" s="23"/>
      <c r="C1562" s="23"/>
      <c r="D1562" s="23"/>
      <c r="E1562" s="23"/>
      <c r="F1562" s="23"/>
      <c r="G1562" s="23"/>
      <c r="H1562" s="23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6.25">
      <c r="A1563" s="23"/>
      <c r="B1563" s="23"/>
      <c r="C1563" s="23"/>
      <c r="D1563" s="23"/>
      <c r="E1563" s="23"/>
      <c r="F1563" s="23"/>
      <c r="G1563" s="23"/>
      <c r="H1563" s="23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6.25">
      <c r="A1564" s="23"/>
      <c r="B1564" s="23"/>
      <c r="C1564" s="23"/>
      <c r="D1564" s="23"/>
      <c r="E1564" s="23"/>
      <c r="F1564" s="23"/>
      <c r="G1564" s="23"/>
      <c r="H1564" s="23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6.25">
      <c r="A1565" s="23"/>
      <c r="B1565" s="23"/>
      <c r="C1565" s="23"/>
      <c r="D1565" s="23"/>
      <c r="E1565" s="23"/>
      <c r="F1565" s="23"/>
      <c r="G1565" s="23"/>
      <c r="H1565" s="2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6.25">
      <c r="A1566" s="24" t="s">
        <v>0</v>
      </c>
      <c r="B1566" s="25"/>
      <c r="C1566" s="25"/>
      <c r="D1566" s="25"/>
      <c r="E1566" s="25"/>
      <c r="F1566" s="25"/>
      <c r="G1566" s="25"/>
      <c r="H1566" s="26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6.25">
      <c r="A1567" s="24" t="s">
        <v>415</v>
      </c>
      <c r="B1567" s="25"/>
      <c r="C1567" s="25"/>
      <c r="D1567" s="25"/>
      <c r="E1567" s="25"/>
      <c r="F1567" s="25"/>
      <c r="G1567" s="25"/>
      <c r="H1567" s="26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8.75">
      <c r="A1568" s="2" t="s">
        <v>2</v>
      </c>
      <c r="B1568" s="2" t="s">
        <v>3</v>
      </c>
      <c r="C1568" s="2" t="s">
        <v>4</v>
      </c>
      <c r="D1568" s="2" t="s">
        <v>5</v>
      </c>
      <c r="E1568" s="2" t="s">
        <v>6</v>
      </c>
      <c r="F1568" s="3" t="s">
        <v>7</v>
      </c>
      <c r="G1568" s="2" t="s">
        <v>8</v>
      </c>
      <c r="H1568" s="4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6.25">
      <c r="A1569" s="5">
        <v>1</v>
      </c>
      <c r="B1569" s="6" t="s">
        <v>206</v>
      </c>
      <c r="C1569" s="7" t="s">
        <v>416</v>
      </c>
      <c r="D1569" s="6" t="s">
        <v>127</v>
      </c>
      <c r="E1569" s="6">
        <v>1.45</v>
      </c>
      <c r="F1569" s="8">
        <v>293000</v>
      </c>
      <c r="G1569" s="9">
        <f t="shared" ref="G1569:G1571" si="85">IFERROR(E1569*F1569,0)</f>
        <v>424850</v>
      </c>
      <c r="H1569" s="10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6.25">
      <c r="A1570" s="5">
        <v>2</v>
      </c>
      <c r="B1570" s="13" t="s">
        <v>82</v>
      </c>
      <c r="C1570" s="12" t="s">
        <v>417</v>
      </c>
      <c r="D1570" s="13" t="s">
        <v>12</v>
      </c>
      <c r="E1570" s="13">
        <v>2</v>
      </c>
      <c r="F1570" s="14">
        <v>435000</v>
      </c>
      <c r="G1570" s="9">
        <f t="shared" si="85"/>
        <v>870000</v>
      </c>
      <c r="H1570" s="10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6.25">
      <c r="A1571" s="5">
        <v>3</v>
      </c>
      <c r="B1571" s="17" t="s">
        <v>14</v>
      </c>
      <c r="C1571" s="10"/>
      <c r="D1571" s="10"/>
      <c r="E1571" s="10"/>
      <c r="F1571" s="10"/>
      <c r="G1571" s="18">
        <f t="shared" si="85"/>
        <v>0</v>
      </c>
      <c r="H1571" s="10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6.25">
      <c r="A1572" s="27" t="s">
        <v>15</v>
      </c>
      <c r="B1572" s="25"/>
      <c r="C1572" s="25"/>
      <c r="D1572" s="25"/>
      <c r="E1572" s="25"/>
      <c r="F1572" s="25"/>
      <c r="G1572" s="26"/>
      <c r="H1572" s="19">
        <f>SUM(G1569:G1571)</f>
        <v>1294850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6.25">
      <c r="A1573" s="27" t="s">
        <v>16</v>
      </c>
      <c r="B1573" s="25"/>
      <c r="C1573" s="25"/>
      <c r="D1573" s="25"/>
      <c r="E1573" s="25"/>
      <c r="F1573" s="25"/>
      <c r="G1573" s="26"/>
      <c r="H1573" s="19">
        <f>MAX(0,H1572-648000)</f>
        <v>646850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6.25">
      <c r="A1574" s="28" t="s">
        <v>17</v>
      </c>
      <c r="B1574" s="25"/>
      <c r="C1574" s="25"/>
      <c r="D1574" s="25"/>
      <c r="E1574" s="25"/>
      <c r="F1574" s="25"/>
      <c r="G1574" s="26"/>
      <c r="H1574" s="20">
        <v>649000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6.25">
      <c r="A1575" s="24"/>
      <c r="B1575" s="25"/>
      <c r="C1575" s="25"/>
      <c r="D1575" s="25"/>
      <c r="E1575" s="25"/>
      <c r="F1575" s="25"/>
      <c r="G1575" s="25"/>
      <c r="H1575" s="26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6.25">
      <c r="A1576" s="23"/>
      <c r="B1576" s="23"/>
      <c r="C1576" s="23"/>
      <c r="D1576" s="23"/>
      <c r="E1576" s="23"/>
      <c r="F1576" s="23"/>
      <c r="G1576" s="23"/>
      <c r="H1576" s="2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6.25">
      <c r="A1577" s="23"/>
      <c r="B1577" s="23"/>
      <c r="C1577" s="23"/>
      <c r="D1577" s="23"/>
      <c r="E1577" s="23"/>
      <c r="F1577" s="23"/>
      <c r="G1577" s="23"/>
      <c r="H1577" s="23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6.25">
      <c r="A1578" s="23"/>
      <c r="B1578" s="23"/>
      <c r="C1578" s="23"/>
      <c r="D1578" s="23"/>
      <c r="E1578" s="23"/>
      <c r="F1578" s="23"/>
      <c r="G1578" s="23"/>
      <c r="H1578" s="23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6.25">
      <c r="A1579" s="23"/>
      <c r="B1579" s="23"/>
      <c r="C1579" s="23"/>
      <c r="D1579" s="23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6.25">
      <c r="A1580" s="23"/>
      <c r="B1580" s="23"/>
      <c r="C1580" s="23"/>
      <c r="D1580" s="23"/>
      <c r="E1580" s="23"/>
      <c r="F1580" s="23"/>
      <c r="G1580" s="23"/>
      <c r="H1580" s="23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6.25">
      <c r="A1581" s="24" t="s">
        <v>0</v>
      </c>
      <c r="B1581" s="25"/>
      <c r="C1581" s="25"/>
      <c r="D1581" s="25"/>
      <c r="E1581" s="25"/>
      <c r="F1581" s="25"/>
      <c r="G1581" s="25"/>
      <c r="H1581" s="26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6.25">
      <c r="A1582" s="24" t="s">
        <v>418</v>
      </c>
      <c r="B1582" s="25"/>
      <c r="C1582" s="25"/>
      <c r="D1582" s="25"/>
      <c r="E1582" s="25"/>
      <c r="F1582" s="25"/>
      <c r="G1582" s="25"/>
      <c r="H1582" s="26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8.75">
      <c r="A1583" s="2" t="s">
        <v>2</v>
      </c>
      <c r="B1583" s="2" t="s">
        <v>3</v>
      </c>
      <c r="C1583" s="2" t="s">
        <v>4</v>
      </c>
      <c r="D1583" s="2" t="s">
        <v>5</v>
      </c>
      <c r="E1583" s="2" t="s">
        <v>6</v>
      </c>
      <c r="F1583" s="3" t="s">
        <v>7</v>
      </c>
      <c r="G1583" s="2" t="s">
        <v>8</v>
      </c>
      <c r="H1583" s="4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6.25">
      <c r="A1584" s="5">
        <v>1</v>
      </c>
      <c r="B1584" s="6" t="s">
        <v>211</v>
      </c>
      <c r="C1584" s="7" t="s">
        <v>419</v>
      </c>
      <c r="D1584" s="6" t="s">
        <v>127</v>
      </c>
      <c r="E1584" s="6">
        <v>2.6</v>
      </c>
      <c r="F1584" s="8">
        <v>293000</v>
      </c>
      <c r="G1584" s="9">
        <f t="shared" ref="G1584:G1586" si="86">IFERROR(E1584*F1584,0)</f>
        <v>761800</v>
      </c>
      <c r="H1584" s="10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6.25">
      <c r="A1585" s="5">
        <v>2</v>
      </c>
      <c r="B1585" s="13" t="s">
        <v>213</v>
      </c>
      <c r="C1585" s="12" t="s">
        <v>214</v>
      </c>
      <c r="D1585" s="13" t="s">
        <v>12</v>
      </c>
      <c r="E1585" s="13">
        <v>1</v>
      </c>
      <c r="F1585" s="14">
        <v>435000</v>
      </c>
      <c r="G1585" s="9">
        <f t="shared" si="86"/>
        <v>435000</v>
      </c>
      <c r="H1585" s="10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6.25">
      <c r="A1586" s="5">
        <v>3</v>
      </c>
      <c r="B1586" s="17" t="s">
        <v>14</v>
      </c>
      <c r="C1586" s="10"/>
      <c r="D1586" s="10"/>
      <c r="E1586" s="10"/>
      <c r="F1586" s="10"/>
      <c r="G1586" s="18">
        <f t="shared" si="86"/>
        <v>0</v>
      </c>
      <c r="H1586" s="10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6.25">
      <c r="A1587" s="27" t="s">
        <v>15</v>
      </c>
      <c r="B1587" s="25"/>
      <c r="C1587" s="25"/>
      <c r="D1587" s="25"/>
      <c r="E1587" s="25"/>
      <c r="F1587" s="25"/>
      <c r="G1587" s="26"/>
      <c r="H1587" s="19">
        <f>SUM(G1584:G1586)</f>
        <v>1196800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6.25">
      <c r="A1588" s="27" t="s">
        <v>16</v>
      </c>
      <c r="B1588" s="25"/>
      <c r="C1588" s="25"/>
      <c r="D1588" s="25"/>
      <c r="E1588" s="25"/>
      <c r="F1588" s="25"/>
      <c r="G1588" s="26"/>
      <c r="H1588" s="19">
        <f>MAX(0,H1587-648000)</f>
        <v>548800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6.25">
      <c r="A1589" s="28" t="s">
        <v>17</v>
      </c>
      <c r="B1589" s="25"/>
      <c r="C1589" s="25"/>
      <c r="D1589" s="25"/>
      <c r="E1589" s="25"/>
      <c r="F1589" s="25"/>
      <c r="G1589" s="26"/>
      <c r="H1589" s="20">
        <v>649000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6.25">
      <c r="A1590" s="24"/>
      <c r="B1590" s="25"/>
      <c r="C1590" s="25"/>
      <c r="D1590" s="25"/>
      <c r="E1590" s="25"/>
      <c r="F1590" s="25"/>
      <c r="G1590" s="25"/>
      <c r="H1590" s="26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6.25">
      <c r="A1591" s="23"/>
      <c r="B1591" s="23"/>
      <c r="C1591" s="23"/>
      <c r="D1591" s="23"/>
      <c r="E1591" s="23"/>
      <c r="F1591" s="23"/>
      <c r="G1591" s="23"/>
      <c r="H1591" s="23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6.25">
      <c r="A1592" s="23"/>
      <c r="B1592" s="23"/>
      <c r="C1592" s="23"/>
      <c r="D1592" s="23"/>
      <c r="E1592" s="23"/>
      <c r="F1592" s="23"/>
      <c r="G1592" s="23"/>
      <c r="H1592" s="23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6.25">
      <c r="A1593" s="23"/>
      <c r="B1593" s="23"/>
      <c r="C1593" s="23"/>
      <c r="D1593" s="23"/>
      <c r="E1593" s="23"/>
      <c r="F1593" s="23"/>
      <c r="G1593" s="23"/>
      <c r="H1593" s="23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6.25">
      <c r="A1594" s="23"/>
      <c r="B1594" s="23"/>
      <c r="C1594" s="23"/>
      <c r="D1594" s="23"/>
      <c r="E1594" s="23"/>
      <c r="F1594" s="23"/>
      <c r="G1594" s="23"/>
      <c r="H1594" s="23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6.25">
      <c r="A1595" s="23"/>
      <c r="B1595" s="23"/>
      <c r="C1595" s="23"/>
      <c r="D1595" s="23"/>
      <c r="E1595" s="23"/>
      <c r="F1595" s="23"/>
      <c r="G1595" s="23"/>
      <c r="H1595" s="23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6.25">
      <c r="A1596" s="23"/>
      <c r="B1596" s="23"/>
      <c r="C1596" s="23"/>
      <c r="D1596" s="23"/>
      <c r="E1596" s="23"/>
      <c r="F1596" s="23"/>
      <c r="G1596" s="23"/>
      <c r="H1596" s="23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6.25">
      <c r="A1597" s="24" t="s">
        <v>0</v>
      </c>
      <c r="B1597" s="25"/>
      <c r="C1597" s="25"/>
      <c r="D1597" s="25"/>
      <c r="E1597" s="25"/>
      <c r="F1597" s="25"/>
      <c r="G1597" s="25"/>
      <c r="H1597" s="26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26.25">
      <c r="A1598" s="24" t="s">
        <v>420</v>
      </c>
      <c r="B1598" s="25"/>
      <c r="C1598" s="25"/>
      <c r="D1598" s="25"/>
      <c r="E1598" s="25"/>
      <c r="F1598" s="25"/>
      <c r="G1598" s="25"/>
      <c r="H1598" s="26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8.75">
      <c r="A1599" s="2" t="s">
        <v>2</v>
      </c>
      <c r="B1599" s="2" t="s">
        <v>3</v>
      </c>
      <c r="C1599" s="2" t="s">
        <v>4</v>
      </c>
      <c r="D1599" s="2" t="s">
        <v>5</v>
      </c>
      <c r="E1599" s="2" t="s">
        <v>6</v>
      </c>
      <c r="F1599" s="3" t="s">
        <v>7</v>
      </c>
      <c r="G1599" s="2" t="s">
        <v>8</v>
      </c>
      <c r="H1599" s="4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6.25">
      <c r="A1600" s="5">
        <v>1</v>
      </c>
      <c r="B1600" s="6" t="s">
        <v>421</v>
      </c>
      <c r="C1600" s="7" t="s">
        <v>422</v>
      </c>
      <c r="D1600" s="6" t="s">
        <v>127</v>
      </c>
      <c r="E1600" s="6">
        <v>2.2999999999999998</v>
      </c>
      <c r="F1600" s="8">
        <v>293000</v>
      </c>
      <c r="G1600" s="9">
        <f t="shared" ref="G1600:G1602" si="87">IFERROR(E1600*F1600,0)</f>
        <v>673900</v>
      </c>
      <c r="H1600" s="10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6.25">
      <c r="A1601" s="5">
        <v>2</v>
      </c>
      <c r="B1601" s="13" t="s">
        <v>423</v>
      </c>
      <c r="C1601" s="12" t="s">
        <v>424</v>
      </c>
      <c r="D1601" s="13" t="s">
        <v>12</v>
      </c>
      <c r="E1601" s="13">
        <v>1.2</v>
      </c>
      <c r="F1601" s="14">
        <v>435000</v>
      </c>
      <c r="G1601" s="9">
        <f t="shared" si="87"/>
        <v>522000</v>
      </c>
      <c r="H1601" s="10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6.25">
      <c r="A1602" s="5">
        <v>3</v>
      </c>
      <c r="B1602" s="17" t="s">
        <v>14</v>
      </c>
      <c r="C1602" s="10"/>
      <c r="D1602" s="10"/>
      <c r="E1602" s="10"/>
      <c r="F1602" s="10"/>
      <c r="G1602" s="18">
        <f t="shared" si="87"/>
        <v>0</v>
      </c>
      <c r="H1602" s="10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6.25">
      <c r="A1603" s="27" t="s">
        <v>15</v>
      </c>
      <c r="B1603" s="25"/>
      <c r="C1603" s="25"/>
      <c r="D1603" s="25"/>
      <c r="E1603" s="25"/>
      <c r="F1603" s="25"/>
      <c r="G1603" s="26"/>
      <c r="H1603" s="19">
        <f>SUM(G1600:G1602)</f>
        <v>1195900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6.25">
      <c r="A1604" s="27" t="s">
        <v>16</v>
      </c>
      <c r="B1604" s="25"/>
      <c r="C1604" s="25"/>
      <c r="D1604" s="25"/>
      <c r="E1604" s="25"/>
      <c r="F1604" s="25"/>
      <c r="G1604" s="26"/>
      <c r="H1604" s="19">
        <f>MAX(0,H1603-648000)</f>
        <v>547900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6.25">
      <c r="A1605" s="28" t="s">
        <v>17</v>
      </c>
      <c r="B1605" s="25"/>
      <c r="C1605" s="25"/>
      <c r="D1605" s="25"/>
      <c r="E1605" s="25"/>
      <c r="F1605" s="25"/>
      <c r="G1605" s="26"/>
      <c r="H1605" s="20">
        <v>649000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6.25">
      <c r="A1606" s="24"/>
      <c r="B1606" s="25"/>
      <c r="C1606" s="25"/>
      <c r="D1606" s="25"/>
      <c r="E1606" s="25"/>
      <c r="F1606" s="25"/>
      <c r="G1606" s="25"/>
      <c r="H1606" s="26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6.25">
      <c r="A1607" s="23"/>
      <c r="B1607" s="23"/>
      <c r="C1607" s="23"/>
      <c r="D1607" s="23"/>
      <c r="E1607" s="23"/>
      <c r="F1607" s="23"/>
      <c r="G1607" s="23"/>
      <c r="H1607" s="23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6.25">
      <c r="A1608" s="23"/>
      <c r="B1608" s="23"/>
      <c r="C1608" s="23"/>
      <c r="D1608" s="23"/>
      <c r="E1608" s="23"/>
      <c r="F1608" s="23"/>
      <c r="G1608" s="23"/>
      <c r="H1608" s="23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6.25">
      <c r="A1609" s="23"/>
      <c r="B1609" s="23"/>
      <c r="C1609" s="23"/>
      <c r="D1609" s="23"/>
      <c r="E1609" s="23"/>
      <c r="F1609" s="23"/>
      <c r="G1609" s="23"/>
      <c r="H1609" s="2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6.25">
      <c r="A1610" s="23"/>
      <c r="B1610" s="23"/>
      <c r="C1610" s="23"/>
      <c r="D1610" s="23"/>
      <c r="E1610" s="23"/>
      <c r="F1610" s="23"/>
      <c r="G1610" s="23"/>
      <c r="H1610" s="23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6.25">
      <c r="A1611" s="23"/>
      <c r="B1611" s="23"/>
      <c r="C1611" s="23"/>
      <c r="D1611" s="23"/>
      <c r="E1611" s="23"/>
      <c r="F1611" s="23"/>
      <c r="G1611" s="23"/>
      <c r="H1611" s="23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6.25">
      <c r="A1612" s="23"/>
      <c r="B1612" s="23"/>
      <c r="C1612" s="23"/>
      <c r="D1612" s="23"/>
      <c r="E1612" s="23"/>
      <c r="F1612" s="23"/>
      <c r="G1612" s="23"/>
      <c r="H1612" s="23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6.25">
      <c r="A1613" s="24" t="s">
        <v>0</v>
      </c>
      <c r="B1613" s="25"/>
      <c r="C1613" s="25"/>
      <c r="D1613" s="25"/>
      <c r="E1613" s="25"/>
      <c r="F1613" s="25"/>
      <c r="G1613" s="25"/>
      <c r="H1613" s="26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6.25">
      <c r="A1614" s="24" t="s">
        <v>425</v>
      </c>
      <c r="B1614" s="25"/>
      <c r="C1614" s="25"/>
      <c r="D1614" s="25"/>
      <c r="E1614" s="25"/>
      <c r="F1614" s="25"/>
      <c r="G1614" s="25"/>
      <c r="H1614" s="26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8.75">
      <c r="A1615" s="2" t="s">
        <v>2</v>
      </c>
      <c r="B1615" s="2" t="s">
        <v>3</v>
      </c>
      <c r="C1615" s="2" t="s">
        <v>4</v>
      </c>
      <c r="D1615" s="2" t="s">
        <v>5</v>
      </c>
      <c r="E1615" s="2" t="s">
        <v>6</v>
      </c>
      <c r="F1615" s="3" t="s">
        <v>7</v>
      </c>
      <c r="G1615" s="2" t="s">
        <v>8</v>
      </c>
      <c r="H1615" s="4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6.25">
      <c r="A1616" s="5">
        <v>1</v>
      </c>
      <c r="B1616" s="6" t="s">
        <v>53</v>
      </c>
      <c r="C1616" s="7" t="s">
        <v>426</v>
      </c>
      <c r="D1616" s="6" t="s">
        <v>127</v>
      </c>
      <c r="E1616" s="6">
        <v>1.7</v>
      </c>
      <c r="F1616" s="8">
        <v>293000</v>
      </c>
      <c r="G1616" s="9">
        <f t="shared" ref="G1616:G1618" si="88">IFERROR(E1616*F1616,0)</f>
        <v>498100</v>
      </c>
      <c r="H1616" s="10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6.25">
      <c r="A1617" s="5">
        <v>2</v>
      </c>
      <c r="B1617" s="13" t="s">
        <v>66</v>
      </c>
      <c r="C1617" s="12" t="s">
        <v>427</v>
      </c>
      <c r="D1617" s="13" t="s">
        <v>12</v>
      </c>
      <c r="E1617" s="13">
        <v>1.7</v>
      </c>
      <c r="F1617" s="14">
        <v>435000</v>
      </c>
      <c r="G1617" s="9">
        <f t="shared" si="88"/>
        <v>739500</v>
      </c>
      <c r="H1617" s="10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6.25">
      <c r="A1618" s="5">
        <v>3</v>
      </c>
      <c r="B1618" s="17" t="s">
        <v>14</v>
      </c>
      <c r="C1618" s="10"/>
      <c r="D1618" s="10"/>
      <c r="E1618" s="10"/>
      <c r="F1618" s="10"/>
      <c r="G1618" s="18">
        <f t="shared" si="88"/>
        <v>0</v>
      </c>
      <c r="H1618" s="10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6.25">
      <c r="A1619" s="27" t="s">
        <v>15</v>
      </c>
      <c r="B1619" s="25"/>
      <c r="C1619" s="25"/>
      <c r="D1619" s="25"/>
      <c r="E1619" s="25"/>
      <c r="F1619" s="25"/>
      <c r="G1619" s="26"/>
      <c r="H1619" s="19">
        <f>SUM(G1616:G1618)</f>
        <v>1237600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6.25">
      <c r="A1620" s="27" t="s">
        <v>16</v>
      </c>
      <c r="B1620" s="25"/>
      <c r="C1620" s="25"/>
      <c r="D1620" s="25"/>
      <c r="E1620" s="25"/>
      <c r="F1620" s="25"/>
      <c r="G1620" s="26"/>
      <c r="H1620" s="19">
        <f>MAX(0,H1619-648000)</f>
        <v>589600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6.25">
      <c r="A1621" s="28" t="s">
        <v>17</v>
      </c>
      <c r="B1621" s="25"/>
      <c r="C1621" s="25"/>
      <c r="D1621" s="25"/>
      <c r="E1621" s="25"/>
      <c r="F1621" s="25"/>
      <c r="G1621" s="26"/>
      <c r="H1621" s="20">
        <v>649000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6.25">
      <c r="A1622" s="24"/>
      <c r="B1622" s="25"/>
      <c r="C1622" s="25"/>
      <c r="D1622" s="25"/>
      <c r="E1622" s="25"/>
      <c r="F1622" s="25"/>
      <c r="G1622" s="25"/>
      <c r="H1622" s="26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6.25">
      <c r="A1623" s="23"/>
      <c r="B1623" s="23"/>
      <c r="C1623" s="23"/>
      <c r="D1623" s="23"/>
      <c r="E1623" s="23"/>
      <c r="F1623" s="23"/>
      <c r="G1623" s="23"/>
      <c r="H1623" s="23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6.25">
      <c r="A1624" s="23"/>
      <c r="B1624" s="23"/>
      <c r="C1624" s="23"/>
      <c r="D1624" s="23"/>
      <c r="E1624" s="23"/>
      <c r="F1624" s="23"/>
      <c r="G1624" s="23"/>
      <c r="H1624" s="2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6.25">
      <c r="A1625" s="23"/>
      <c r="B1625" s="23"/>
      <c r="C1625" s="23"/>
      <c r="D1625" s="23"/>
      <c r="E1625" s="23"/>
      <c r="F1625" s="23"/>
      <c r="G1625" s="23"/>
      <c r="H1625" s="23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6.25">
      <c r="A1626" s="23"/>
      <c r="B1626" s="23"/>
      <c r="C1626" s="23"/>
      <c r="D1626" s="23"/>
      <c r="E1626" s="23"/>
      <c r="F1626" s="23"/>
      <c r="G1626" s="23"/>
      <c r="H1626" s="23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6.25">
      <c r="A1627" s="23"/>
      <c r="B1627" s="23"/>
      <c r="C1627" s="23"/>
      <c r="D1627" s="23"/>
      <c r="E1627" s="23"/>
      <c r="F1627" s="23"/>
      <c r="G1627" s="23"/>
      <c r="H1627" s="23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6.25">
      <c r="A1628" s="23"/>
      <c r="B1628" s="23"/>
      <c r="C1628" s="23"/>
      <c r="D1628" s="23"/>
      <c r="E1628" s="23"/>
      <c r="F1628" s="23"/>
      <c r="G1628" s="23"/>
      <c r="H1628" s="23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6.25">
      <c r="A1629" s="23"/>
      <c r="B1629" s="23"/>
      <c r="C1629" s="23"/>
      <c r="D1629" s="23"/>
      <c r="E1629" s="23"/>
      <c r="F1629" s="23"/>
      <c r="G1629" s="23"/>
      <c r="H1629" s="2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6.25">
      <c r="A1630" s="24" t="s">
        <v>0</v>
      </c>
      <c r="B1630" s="25"/>
      <c r="C1630" s="25"/>
      <c r="D1630" s="25"/>
      <c r="E1630" s="25"/>
      <c r="F1630" s="25"/>
      <c r="G1630" s="25"/>
      <c r="H1630" s="26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6.25">
      <c r="A1631" s="24" t="s">
        <v>428</v>
      </c>
      <c r="B1631" s="25"/>
      <c r="C1631" s="25"/>
      <c r="D1631" s="25"/>
      <c r="E1631" s="25"/>
      <c r="F1631" s="25"/>
      <c r="G1631" s="25"/>
      <c r="H1631" s="26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8.75">
      <c r="A1632" s="2" t="s">
        <v>2</v>
      </c>
      <c r="B1632" s="2" t="s">
        <v>3</v>
      </c>
      <c r="C1632" s="2" t="s">
        <v>4</v>
      </c>
      <c r="D1632" s="2" t="s">
        <v>5</v>
      </c>
      <c r="E1632" s="2" t="s">
        <v>6</v>
      </c>
      <c r="F1632" s="3" t="s">
        <v>7</v>
      </c>
      <c r="G1632" s="2" t="s">
        <v>8</v>
      </c>
      <c r="H1632" s="4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6.25">
      <c r="A1633" s="5">
        <v>1</v>
      </c>
      <c r="B1633" s="6" t="s">
        <v>429</v>
      </c>
      <c r="C1633" s="7" t="s">
        <v>430</v>
      </c>
      <c r="D1633" s="6" t="s">
        <v>127</v>
      </c>
      <c r="E1633" s="6">
        <v>2</v>
      </c>
      <c r="F1633" s="8">
        <v>293000</v>
      </c>
      <c r="G1633" s="9">
        <f t="shared" ref="G1633:G1635" si="89">IFERROR(E1633*F1633,0)</f>
        <v>586000</v>
      </c>
      <c r="H1633" s="10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6.25">
      <c r="A1634" s="5">
        <v>2</v>
      </c>
      <c r="B1634" s="13" t="s">
        <v>320</v>
      </c>
      <c r="C1634" s="12" t="s">
        <v>431</v>
      </c>
      <c r="D1634" s="13" t="s">
        <v>12</v>
      </c>
      <c r="E1634" s="13">
        <v>1.5</v>
      </c>
      <c r="F1634" s="14">
        <v>435000</v>
      </c>
      <c r="G1634" s="9">
        <f t="shared" si="89"/>
        <v>652500</v>
      </c>
      <c r="H1634" s="10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6.25">
      <c r="A1635" s="5">
        <v>3</v>
      </c>
      <c r="B1635" s="17" t="s">
        <v>14</v>
      </c>
      <c r="C1635" s="10"/>
      <c r="D1635" s="10"/>
      <c r="E1635" s="10"/>
      <c r="F1635" s="10"/>
      <c r="G1635" s="18">
        <f t="shared" si="89"/>
        <v>0</v>
      </c>
      <c r="H1635" s="10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6.25">
      <c r="A1636" s="27" t="s">
        <v>15</v>
      </c>
      <c r="B1636" s="25"/>
      <c r="C1636" s="25"/>
      <c r="D1636" s="25"/>
      <c r="E1636" s="25"/>
      <c r="F1636" s="25"/>
      <c r="G1636" s="26"/>
      <c r="H1636" s="19">
        <f>SUM(G1633:G1635)</f>
        <v>1238500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6.25">
      <c r="A1637" s="27" t="s">
        <v>16</v>
      </c>
      <c r="B1637" s="25"/>
      <c r="C1637" s="25"/>
      <c r="D1637" s="25"/>
      <c r="E1637" s="25"/>
      <c r="F1637" s="25"/>
      <c r="G1637" s="26"/>
      <c r="H1637" s="19">
        <f>MAX(0,H1636-648000)</f>
        <v>590500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6.25">
      <c r="A1638" s="28" t="s">
        <v>17</v>
      </c>
      <c r="B1638" s="25"/>
      <c r="C1638" s="25"/>
      <c r="D1638" s="25"/>
      <c r="E1638" s="25"/>
      <c r="F1638" s="25"/>
      <c r="G1638" s="26"/>
      <c r="H1638" s="20">
        <v>649000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6.25">
      <c r="A1639" s="24"/>
      <c r="B1639" s="25"/>
      <c r="C1639" s="25"/>
      <c r="D1639" s="25"/>
      <c r="E1639" s="25"/>
      <c r="F1639" s="25"/>
      <c r="G1639" s="25"/>
      <c r="H1639" s="26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6.25">
      <c r="A1640" s="23"/>
      <c r="B1640" s="23"/>
      <c r="C1640" s="23"/>
      <c r="D1640" s="23"/>
      <c r="E1640" s="23"/>
      <c r="F1640" s="23"/>
      <c r="G1640" s="23"/>
      <c r="H1640" s="23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6.25">
      <c r="A1641" s="23"/>
      <c r="B1641" s="23"/>
      <c r="C1641" s="23"/>
      <c r="D1641" s="23"/>
      <c r="E1641" s="23"/>
      <c r="F1641" s="23"/>
      <c r="G1641" s="23"/>
      <c r="H1641" s="23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6.25">
      <c r="A1642" s="23"/>
      <c r="B1642" s="23"/>
      <c r="C1642" s="23"/>
      <c r="D1642" s="23"/>
      <c r="E1642" s="23"/>
      <c r="F1642" s="23"/>
      <c r="G1642" s="23"/>
      <c r="H1642" s="23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6.25">
      <c r="A1643" s="23"/>
      <c r="B1643" s="23"/>
      <c r="C1643" s="23"/>
      <c r="D1643" s="23"/>
      <c r="E1643" s="23"/>
      <c r="F1643" s="23"/>
      <c r="G1643" s="23"/>
      <c r="H1643" s="23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6.25">
      <c r="A1644" s="23"/>
      <c r="B1644" s="23"/>
      <c r="C1644" s="23"/>
      <c r="D1644" s="23"/>
      <c r="E1644" s="23"/>
      <c r="F1644" s="23"/>
      <c r="G1644" s="23"/>
      <c r="H1644" s="23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6.25">
      <c r="A1645" s="24" t="s">
        <v>0</v>
      </c>
      <c r="B1645" s="25"/>
      <c r="C1645" s="25"/>
      <c r="D1645" s="25"/>
      <c r="E1645" s="25"/>
      <c r="F1645" s="25"/>
      <c r="G1645" s="25"/>
      <c r="H1645" s="26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6.25">
      <c r="A1646" s="24" t="s">
        <v>432</v>
      </c>
      <c r="B1646" s="25"/>
      <c r="C1646" s="25"/>
      <c r="D1646" s="25"/>
      <c r="E1646" s="25"/>
      <c r="F1646" s="25"/>
      <c r="G1646" s="25"/>
      <c r="H1646" s="26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8.75">
      <c r="A1647" s="2" t="s">
        <v>2</v>
      </c>
      <c r="B1647" s="2" t="s">
        <v>3</v>
      </c>
      <c r="C1647" s="2" t="s">
        <v>4</v>
      </c>
      <c r="D1647" s="2" t="s">
        <v>5</v>
      </c>
      <c r="E1647" s="2" t="s">
        <v>6</v>
      </c>
      <c r="F1647" s="3" t="s">
        <v>7</v>
      </c>
      <c r="G1647" s="2" t="s">
        <v>8</v>
      </c>
      <c r="H1647" s="4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6.25">
      <c r="A1648" s="5">
        <v>1</v>
      </c>
      <c r="B1648" s="6" t="s">
        <v>433</v>
      </c>
      <c r="C1648" s="7" t="s">
        <v>434</v>
      </c>
      <c r="D1648" s="6" t="s">
        <v>127</v>
      </c>
      <c r="E1648" s="6">
        <v>2.5</v>
      </c>
      <c r="F1648" s="8">
        <v>293000</v>
      </c>
      <c r="G1648" s="9">
        <f t="shared" ref="G1648:G1650" si="90">IFERROR(E1648*F1648,0)</f>
        <v>732500</v>
      </c>
      <c r="H1648" s="10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6.25">
      <c r="A1649" s="5">
        <v>2</v>
      </c>
      <c r="B1649" s="13" t="s">
        <v>167</v>
      </c>
      <c r="C1649" s="12" t="s">
        <v>435</v>
      </c>
      <c r="D1649" s="13" t="s">
        <v>12</v>
      </c>
      <c r="E1649" s="13">
        <v>1</v>
      </c>
      <c r="F1649" s="14">
        <v>435000</v>
      </c>
      <c r="G1649" s="9">
        <f t="shared" si="90"/>
        <v>435000</v>
      </c>
      <c r="H1649" s="10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6.25">
      <c r="A1650" s="5">
        <v>3</v>
      </c>
      <c r="B1650" s="17" t="s">
        <v>14</v>
      </c>
      <c r="C1650" s="10"/>
      <c r="D1650" s="10"/>
      <c r="E1650" s="10"/>
      <c r="F1650" s="10"/>
      <c r="G1650" s="18">
        <f t="shared" si="90"/>
        <v>0</v>
      </c>
      <c r="H1650" s="10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6.25">
      <c r="A1651" s="27" t="s">
        <v>15</v>
      </c>
      <c r="B1651" s="25"/>
      <c r="C1651" s="25"/>
      <c r="D1651" s="25"/>
      <c r="E1651" s="25"/>
      <c r="F1651" s="25"/>
      <c r="G1651" s="26"/>
      <c r="H1651" s="19">
        <f>SUM(G1648:G1650)</f>
        <v>1167500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6.25">
      <c r="A1652" s="27" t="s">
        <v>16</v>
      </c>
      <c r="B1652" s="25"/>
      <c r="C1652" s="25"/>
      <c r="D1652" s="25"/>
      <c r="E1652" s="25"/>
      <c r="F1652" s="25"/>
      <c r="G1652" s="26"/>
      <c r="H1652" s="19">
        <f>MAX(0,H1651-648000)</f>
        <v>519500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6.25">
      <c r="A1653" s="28" t="s">
        <v>17</v>
      </c>
      <c r="B1653" s="25"/>
      <c r="C1653" s="25"/>
      <c r="D1653" s="25"/>
      <c r="E1653" s="25"/>
      <c r="F1653" s="25"/>
      <c r="G1653" s="26"/>
      <c r="H1653" s="20">
        <v>649000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6.25">
      <c r="A1654" s="24"/>
      <c r="B1654" s="25"/>
      <c r="C1654" s="25"/>
      <c r="D1654" s="25"/>
      <c r="E1654" s="25"/>
      <c r="F1654" s="25"/>
      <c r="G1654" s="25"/>
      <c r="H1654" s="26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6.25">
      <c r="A1655" s="23"/>
      <c r="B1655" s="23"/>
      <c r="C1655" s="23"/>
      <c r="D1655" s="23"/>
      <c r="E1655" s="23"/>
      <c r="F1655" s="23"/>
      <c r="G1655" s="23"/>
      <c r="H1655" s="23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6.25">
      <c r="A1656" s="23"/>
      <c r="B1656" s="23"/>
      <c r="C1656" s="23"/>
      <c r="D1656" s="23"/>
      <c r="E1656" s="23"/>
      <c r="F1656" s="23"/>
      <c r="G1656" s="23"/>
      <c r="H1656" s="23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6.25">
      <c r="A1657" s="23"/>
      <c r="B1657" s="23"/>
      <c r="C1657" s="23"/>
      <c r="D1657" s="23"/>
      <c r="E1657" s="23"/>
      <c r="F1657" s="23"/>
      <c r="G1657" s="23"/>
      <c r="H1657" s="23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6.25">
      <c r="A1658" s="23"/>
      <c r="B1658" s="23"/>
      <c r="C1658" s="23"/>
      <c r="D1658" s="23"/>
      <c r="E1658" s="23"/>
      <c r="F1658" s="23"/>
      <c r="G1658" s="23"/>
      <c r="H1658" s="23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6.25">
      <c r="A1659" s="23"/>
      <c r="B1659" s="23"/>
      <c r="C1659" s="23"/>
      <c r="D1659" s="23"/>
      <c r="E1659" s="23"/>
      <c r="F1659" s="23"/>
      <c r="G1659" s="23"/>
      <c r="H1659" s="23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6.25">
      <c r="A1660" s="23"/>
      <c r="B1660" s="23"/>
      <c r="C1660" s="23"/>
      <c r="D1660" s="23"/>
      <c r="E1660" s="23"/>
      <c r="F1660" s="23"/>
      <c r="G1660" s="23"/>
      <c r="H1660" s="23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6.25">
      <c r="A1661" s="24" t="s">
        <v>0</v>
      </c>
      <c r="B1661" s="25"/>
      <c r="C1661" s="25"/>
      <c r="D1661" s="25"/>
      <c r="E1661" s="25"/>
      <c r="F1661" s="25"/>
      <c r="G1661" s="25"/>
      <c r="H1661" s="26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6.25">
      <c r="A1662" s="24" t="s">
        <v>436</v>
      </c>
      <c r="B1662" s="25"/>
      <c r="C1662" s="25"/>
      <c r="D1662" s="25"/>
      <c r="E1662" s="25"/>
      <c r="F1662" s="25"/>
      <c r="G1662" s="25"/>
      <c r="H1662" s="26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8.75">
      <c r="A1663" s="2" t="s">
        <v>2</v>
      </c>
      <c r="B1663" s="2" t="s">
        <v>3</v>
      </c>
      <c r="C1663" s="2" t="s">
        <v>4</v>
      </c>
      <c r="D1663" s="2" t="s">
        <v>5</v>
      </c>
      <c r="E1663" s="2" t="s">
        <v>6</v>
      </c>
      <c r="F1663" s="3" t="s">
        <v>7</v>
      </c>
      <c r="G1663" s="2" t="s">
        <v>8</v>
      </c>
      <c r="H1663" s="4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6.25">
      <c r="A1664" s="5">
        <v>1</v>
      </c>
      <c r="B1664" s="6" t="s">
        <v>46</v>
      </c>
      <c r="C1664" s="7">
        <v>7958</v>
      </c>
      <c r="D1664" s="6" t="s">
        <v>127</v>
      </c>
      <c r="E1664" s="6">
        <v>2.96</v>
      </c>
      <c r="F1664" s="8">
        <v>293000</v>
      </c>
      <c r="G1664" s="9">
        <f t="shared" ref="G1664:G1666" si="91">IFERROR(E1664*F1664,0)</f>
        <v>867280</v>
      </c>
      <c r="H1664" s="10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6.25">
      <c r="A1665" s="5">
        <v>2</v>
      </c>
      <c r="B1665" s="13" t="s">
        <v>53</v>
      </c>
      <c r="C1665" s="12" t="s">
        <v>437</v>
      </c>
      <c r="D1665" s="13" t="s">
        <v>12</v>
      </c>
      <c r="E1665" s="13">
        <v>0.7</v>
      </c>
      <c r="F1665" s="14">
        <v>435000</v>
      </c>
      <c r="G1665" s="9">
        <f t="shared" si="91"/>
        <v>304500</v>
      </c>
      <c r="H1665" s="10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6.25">
      <c r="A1666" s="5">
        <v>3</v>
      </c>
      <c r="B1666" s="17" t="s">
        <v>14</v>
      </c>
      <c r="C1666" s="10"/>
      <c r="D1666" s="10"/>
      <c r="E1666" s="10"/>
      <c r="F1666" s="10"/>
      <c r="G1666" s="18">
        <f t="shared" si="91"/>
        <v>0</v>
      </c>
      <c r="H1666" s="10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6.25">
      <c r="A1667" s="27" t="s">
        <v>15</v>
      </c>
      <c r="B1667" s="25"/>
      <c r="C1667" s="25"/>
      <c r="D1667" s="25"/>
      <c r="E1667" s="25"/>
      <c r="F1667" s="25"/>
      <c r="G1667" s="26"/>
      <c r="H1667" s="19">
        <f>SUM(G1664:G1666)</f>
        <v>1171780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6.25">
      <c r="A1668" s="27" t="s">
        <v>16</v>
      </c>
      <c r="B1668" s="25"/>
      <c r="C1668" s="25"/>
      <c r="D1668" s="25"/>
      <c r="E1668" s="25"/>
      <c r="F1668" s="25"/>
      <c r="G1668" s="26"/>
      <c r="H1668" s="19">
        <f>MAX(0,H1667-648000)</f>
        <v>523780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6.25">
      <c r="A1669" s="28" t="s">
        <v>17</v>
      </c>
      <c r="B1669" s="25"/>
      <c r="C1669" s="25"/>
      <c r="D1669" s="25"/>
      <c r="E1669" s="25"/>
      <c r="F1669" s="25"/>
      <c r="G1669" s="26"/>
      <c r="H1669" s="20">
        <v>649000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6.25">
      <c r="A1670" s="24"/>
      <c r="B1670" s="25"/>
      <c r="C1670" s="25"/>
      <c r="D1670" s="25"/>
      <c r="E1670" s="25"/>
      <c r="F1670" s="25"/>
      <c r="G1670" s="25"/>
      <c r="H1670" s="26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6.25">
      <c r="A1671" s="23"/>
      <c r="B1671" s="23"/>
      <c r="C1671" s="23"/>
      <c r="D1671" s="23"/>
      <c r="E1671" s="23"/>
      <c r="F1671" s="23"/>
      <c r="G1671" s="23"/>
      <c r="H1671" s="23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6.25">
      <c r="A1672" s="23"/>
      <c r="B1672" s="23"/>
      <c r="C1672" s="23"/>
      <c r="D1672" s="23"/>
      <c r="E1672" s="23"/>
      <c r="F1672" s="23"/>
      <c r="G1672" s="23"/>
      <c r="H1672" s="23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6.25">
      <c r="A1673" s="23"/>
      <c r="B1673" s="23"/>
      <c r="C1673" s="23"/>
      <c r="D1673" s="23"/>
      <c r="E1673" s="23"/>
      <c r="F1673" s="23"/>
      <c r="G1673" s="23"/>
      <c r="H1673" s="23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6.25">
      <c r="A1674" s="23"/>
      <c r="B1674" s="23"/>
      <c r="C1674" s="23"/>
      <c r="D1674" s="23"/>
      <c r="E1674" s="23"/>
      <c r="F1674" s="23"/>
      <c r="G1674" s="23"/>
      <c r="H1674" s="23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6.25">
      <c r="A1675" s="24" t="s">
        <v>0</v>
      </c>
      <c r="B1675" s="25"/>
      <c r="C1675" s="25"/>
      <c r="D1675" s="25"/>
      <c r="E1675" s="25"/>
      <c r="F1675" s="25"/>
      <c r="G1675" s="25"/>
      <c r="H1675" s="26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6.25">
      <c r="A1676" s="24" t="s">
        <v>438</v>
      </c>
      <c r="B1676" s="25"/>
      <c r="C1676" s="25"/>
      <c r="D1676" s="25"/>
      <c r="E1676" s="25"/>
      <c r="F1676" s="25"/>
      <c r="G1676" s="25"/>
      <c r="H1676" s="26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8.75">
      <c r="A1677" s="2" t="s">
        <v>2</v>
      </c>
      <c r="B1677" s="2" t="s">
        <v>3</v>
      </c>
      <c r="C1677" s="2" t="s">
        <v>4</v>
      </c>
      <c r="D1677" s="2" t="s">
        <v>5</v>
      </c>
      <c r="E1677" s="2" t="s">
        <v>6</v>
      </c>
      <c r="F1677" s="3" t="s">
        <v>7</v>
      </c>
      <c r="G1677" s="2" t="s">
        <v>8</v>
      </c>
      <c r="H1677" s="4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6.25">
      <c r="A1678" s="5">
        <v>1</v>
      </c>
      <c r="B1678" s="6" t="s">
        <v>439</v>
      </c>
      <c r="C1678" s="7" t="s">
        <v>440</v>
      </c>
      <c r="D1678" s="6" t="s">
        <v>127</v>
      </c>
      <c r="E1678" s="6">
        <v>2</v>
      </c>
      <c r="F1678" s="8">
        <v>293000</v>
      </c>
      <c r="G1678" s="9">
        <f t="shared" ref="G1678:G1680" si="92">IFERROR(E1678*F1678,0)</f>
        <v>586000</v>
      </c>
      <c r="H1678" s="10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6.25">
      <c r="A1679" s="5">
        <v>2</v>
      </c>
      <c r="B1679" s="13" t="s">
        <v>441</v>
      </c>
      <c r="C1679" s="12" t="s">
        <v>442</v>
      </c>
      <c r="D1679" s="13" t="s">
        <v>12</v>
      </c>
      <c r="E1679" s="13">
        <v>1.66</v>
      </c>
      <c r="F1679" s="14">
        <v>435000</v>
      </c>
      <c r="G1679" s="9">
        <f t="shared" si="92"/>
        <v>722100</v>
      </c>
      <c r="H1679" s="10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6.25">
      <c r="A1680" s="5">
        <v>3</v>
      </c>
      <c r="B1680" s="17" t="s">
        <v>14</v>
      </c>
      <c r="C1680" s="10"/>
      <c r="D1680" s="10"/>
      <c r="E1680" s="10"/>
      <c r="F1680" s="10"/>
      <c r="G1680" s="18">
        <f t="shared" si="92"/>
        <v>0</v>
      </c>
      <c r="H1680" s="10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6.25">
      <c r="A1681" s="27" t="s">
        <v>15</v>
      </c>
      <c r="B1681" s="25"/>
      <c r="C1681" s="25"/>
      <c r="D1681" s="25"/>
      <c r="E1681" s="25"/>
      <c r="F1681" s="25"/>
      <c r="G1681" s="26"/>
      <c r="H1681" s="19">
        <f>SUM(G1678:G1680)</f>
        <v>1308100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6.25">
      <c r="A1682" s="27" t="s">
        <v>16</v>
      </c>
      <c r="B1682" s="25"/>
      <c r="C1682" s="25"/>
      <c r="D1682" s="25"/>
      <c r="E1682" s="25"/>
      <c r="F1682" s="25"/>
      <c r="G1682" s="26"/>
      <c r="H1682" s="19">
        <f>MAX(0,H1681-648000)</f>
        <v>660100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6.25">
      <c r="A1683" s="28" t="s">
        <v>17</v>
      </c>
      <c r="B1683" s="25"/>
      <c r="C1683" s="25"/>
      <c r="D1683" s="25"/>
      <c r="E1683" s="25"/>
      <c r="F1683" s="25"/>
      <c r="G1683" s="26"/>
      <c r="H1683" s="20">
        <v>649000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6.25">
      <c r="A1684" s="24"/>
      <c r="B1684" s="25"/>
      <c r="C1684" s="25"/>
      <c r="D1684" s="25"/>
      <c r="E1684" s="25"/>
      <c r="F1684" s="25"/>
      <c r="G1684" s="25"/>
      <c r="H1684" s="26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6.25">
      <c r="A1685" s="23"/>
      <c r="B1685" s="23"/>
      <c r="C1685" s="23"/>
      <c r="D1685" s="23"/>
      <c r="E1685" s="23"/>
      <c r="F1685" s="23"/>
      <c r="G1685" s="23"/>
      <c r="H1685" s="23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6.25">
      <c r="A1686" s="23"/>
      <c r="B1686" s="23"/>
      <c r="C1686" s="23"/>
      <c r="D1686" s="23"/>
      <c r="E1686" s="23"/>
      <c r="F1686" s="23"/>
      <c r="G1686" s="23"/>
      <c r="H1686" s="23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6.25">
      <c r="A1687" s="23"/>
      <c r="B1687" s="23"/>
      <c r="C1687" s="23"/>
      <c r="D1687" s="23"/>
      <c r="E1687" s="23"/>
      <c r="F1687" s="23"/>
      <c r="G1687" s="23"/>
      <c r="H1687" s="23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6.25">
      <c r="A1688" s="23"/>
      <c r="B1688" s="23"/>
      <c r="C1688" s="23"/>
      <c r="D1688" s="23"/>
      <c r="E1688" s="23"/>
      <c r="F1688" s="23"/>
      <c r="G1688" s="23"/>
      <c r="H1688" s="23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6.25">
      <c r="A1689" s="23"/>
      <c r="B1689" s="23"/>
      <c r="C1689" s="23"/>
      <c r="D1689" s="23"/>
      <c r="E1689" s="23"/>
      <c r="F1689" s="23"/>
      <c r="G1689" s="23"/>
      <c r="H1689" s="23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6.25">
      <c r="A1690" s="24" t="s">
        <v>0</v>
      </c>
      <c r="B1690" s="25"/>
      <c r="C1690" s="25"/>
      <c r="D1690" s="25"/>
      <c r="E1690" s="25"/>
      <c r="F1690" s="25"/>
      <c r="G1690" s="25"/>
      <c r="H1690" s="26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6.25">
      <c r="A1691" s="24" t="s">
        <v>443</v>
      </c>
      <c r="B1691" s="25"/>
      <c r="C1691" s="25"/>
      <c r="D1691" s="25"/>
      <c r="E1691" s="25"/>
      <c r="F1691" s="25"/>
      <c r="G1691" s="25"/>
      <c r="H1691" s="26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8.75">
      <c r="A1692" s="2" t="s">
        <v>2</v>
      </c>
      <c r="B1692" s="2" t="s">
        <v>3</v>
      </c>
      <c r="C1692" s="2" t="s">
        <v>4</v>
      </c>
      <c r="D1692" s="2" t="s">
        <v>5</v>
      </c>
      <c r="E1692" s="2" t="s">
        <v>6</v>
      </c>
      <c r="F1692" s="3" t="s">
        <v>7</v>
      </c>
      <c r="G1692" s="2" t="s">
        <v>8</v>
      </c>
      <c r="H1692" s="4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6.25">
      <c r="A1693" s="5">
        <v>1</v>
      </c>
      <c r="B1693" s="6" t="s">
        <v>371</v>
      </c>
      <c r="C1693" s="7" t="s">
        <v>372</v>
      </c>
      <c r="D1693" s="6" t="s">
        <v>127</v>
      </c>
      <c r="E1693" s="6">
        <v>1.9</v>
      </c>
      <c r="F1693" s="8">
        <v>293000</v>
      </c>
      <c r="G1693" s="9">
        <f t="shared" ref="G1693:G1695" si="93">IFERROR(E1693*F1693,0)</f>
        <v>556700</v>
      </c>
      <c r="H1693" s="10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6.25">
      <c r="A1694" s="5">
        <v>2</v>
      </c>
      <c r="B1694" s="13" t="s">
        <v>73</v>
      </c>
      <c r="C1694" s="12" t="s">
        <v>74</v>
      </c>
      <c r="D1694" s="13" t="s">
        <v>12</v>
      </c>
      <c r="E1694" s="13">
        <v>1.45</v>
      </c>
      <c r="F1694" s="14">
        <v>435000</v>
      </c>
      <c r="G1694" s="9">
        <f t="shared" si="93"/>
        <v>630750</v>
      </c>
      <c r="H1694" s="10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6.25">
      <c r="A1695" s="5">
        <v>3</v>
      </c>
      <c r="B1695" s="17" t="s">
        <v>14</v>
      </c>
      <c r="C1695" s="10"/>
      <c r="D1695" s="10"/>
      <c r="E1695" s="10"/>
      <c r="F1695" s="10"/>
      <c r="G1695" s="18">
        <f t="shared" si="93"/>
        <v>0</v>
      </c>
      <c r="H1695" s="10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6.25">
      <c r="A1696" s="27" t="s">
        <v>15</v>
      </c>
      <c r="B1696" s="25"/>
      <c r="C1696" s="25"/>
      <c r="D1696" s="25"/>
      <c r="E1696" s="25"/>
      <c r="F1696" s="25"/>
      <c r="G1696" s="26"/>
      <c r="H1696" s="19">
        <f>SUM(G1693:G1695)</f>
        <v>1187450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6.25">
      <c r="A1697" s="27" t="s">
        <v>16</v>
      </c>
      <c r="B1697" s="25"/>
      <c r="C1697" s="25"/>
      <c r="D1697" s="25"/>
      <c r="E1697" s="25"/>
      <c r="F1697" s="25"/>
      <c r="G1697" s="26"/>
      <c r="H1697" s="19">
        <f>MAX(0,H1696-648000)</f>
        <v>539450</v>
      </c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6.25">
      <c r="A1698" s="28" t="s">
        <v>17</v>
      </c>
      <c r="B1698" s="25"/>
      <c r="C1698" s="25"/>
      <c r="D1698" s="25"/>
      <c r="E1698" s="25"/>
      <c r="F1698" s="25"/>
      <c r="G1698" s="26"/>
      <c r="H1698" s="20">
        <v>649000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6.25">
      <c r="A1699" s="24"/>
      <c r="B1699" s="25"/>
      <c r="C1699" s="25"/>
      <c r="D1699" s="25"/>
      <c r="E1699" s="25"/>
      <c r="F1699" s="25"/>
      <c r="G1699" s="25"/>
      <c r="H1699" s="26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6.25">
      <c r="A1700" s="23"/>
      <c r="B1700" s="23"/>
      <c r="C1700" s="23"/>
      <c r="D1700" s="23"/>
      <c r="E1700" s="23"/>
      <c r="F1700" s="23"/>
      <c r="G1700" s="23"/>
      <c r="H1700" s="23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6.25">
      <c r="A1701" s="23"/>
      <c r="B1701" s="23"/>
      <c r="C1701" s="23"/>
      <c r="D1701" s="23"/>
      <c r="E1701" s="23"/>
      <c r="F1701" s="23"/>
      <c r="G1701" s="23"/>
      <c r="H1701" s="23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6.25">
      <c r="A1702" s="23"/>
      <c r="B1702" s="23"/>
      <c r="C1702" s="23"/>
      <c r="D1702" s="23"/>
      <c r="E1702" s="23"/>
      <c r="F1702" s="23"/>
      <c r="G1702" s="23"/>
      <c r="H1702" s="23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6.25">
      <c r="A1703" s="23"/>
      <c r="B1703" s="23"/>
      <c r="C1703" s="23"/>
      <c r="D1703" s="23"/>
      <c r="E1703" s="23"/>
      <c r="F1703" s="23"/>
      <c r="G1703" s="23"/>
      <c r="H1703" s="2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6.25">
      <c r="A1704" s="23"/>
      <c r="B1704" s="23"/>
      <c r="C1704" s="23"/>
      <c r="D1704" s="23"/>
      <c r="E1704" s="23"/>
      <c r="F1704" s="23"/>
      <c r="G1704" s="23"/>
      <c r="H1704" s="23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6.25">
      <c r="A1705" s="23"/>
      <c r="B1705" s="23"/>
      <c r="C1705" s="23"/>
      <c r="D1705" s="23"/>
      <c r="E1705" s="23"/>
      <c r="F1705" s="23"/>
      <c r="G1705" s="23"/>
      <c r="H1705" s="23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6.25">
      <c r="A1706" s="24" t="s">
        <v>0</v>
      </c>
      <c r="B1706" s="25"/>
      <c r="C1706" s="25"/>
      <c r="D1706" s="25"/>
      <c r="E1706" s="25"/>
      <c r="F1706" s="25"/>
      <c r="G1706" s="25"/>
      <c r="H1706" s="26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6.25">
      <c r="A1707" s="24" t="s">
        <v>444</v>
      </c>
      <c r="B1707" s="25"/>
      <c r="C1707" s="25"/>
      <c r="D1707" s="25"/>
      <c r="E1707" s="25"/>
      <c r="F1707" s="25"/>
      <c r="G1707" s="25"/>
      <c r="H1707" s="26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8.75">
      <c r="A1708" s="2" t="s">
        <v>2</v>
      </c>
      <c r="B1708" s="2" t="s">
        <v>3</v>
      </c>
      <c r="C1708" s="2" t="s">
        <v>4</v>
      </c>
      <c r="D1708" s="2" t="s">
        <v>5</v>
      </c>
      <c r="E1708" s="2" t="s">
        <v>6</v>
      </c>
      <c r="F1708" s="3" t="s">
        <v>7</v>
      </c>
      <c r="G1708" s="2" t="s">
        <v>8</v>
      </c>
      <c r="H1708" s="4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6.25">
      <c r="A1709" s="5">
        <v>1</v>
      </c>
      <c r="B1709" s="6" t="s">
        <v>371</v>
      </c>
      <c r="C1709" s="7" t="s">
        <v>372</v>
      </c>
      <c r="D1709" s="6" t="s">
        <v>127</v>
      </c>
      <c r="E1709" s="6">
        <v>2</v>
      </c>
      <c r="F1709" s="8">
        <v>293000</v>
      </c>
      <c r="G1709" s="9">
        <f t="shared" ref="G1709:G1711" si="94">IFERROR(E1709*F1709,0)</f>
        <v>586000</v>
      </c>
      <c r="H1709" s="10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6.25">
      <c r="A1710" s="5">
        <v>2</v>
      </c>
      <c r="B1710" s="13" t="s">
        <v>167</v>
      </c>
      <c r="C1710" s="12" t="s">
        <v>445</v>
      </c>
      <c r="D1710" s="13" t="s">
        <v>12</v>
      </c>
      <c r="E1710" s="13">
        <v>1.45</v>
      </c>
      <c r="F1710" s="14">
        <v>435000</v>
      </c>
      <c r="G1710" s="9">
        <f t="shared" si="94"/>
        <v>630750</v>
      </c>
      <c r="H1710" s="10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6.25">
      <c r="A1711" s="5">
        <v>3</v>
      </c>
      <c r="B1711" s="17" t="s">
        <v>14</v>
      </c>
      <c r="C1711" s="10"/>
      <c r="D1711" s="10"/>
      <c r="E1711" s="10"/>
      <c r="F1711" s="10"/>
      <c r="G1711" s="18">
        <f t="shared" si="94"/>
        <v>0</v>
      </c>
      <c r="H1711" s="10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6.25">
      <c r="A1712" s="27" t="s">
        <v>15</v>
      </c>
      <c r="B1712" s="25"/>
      <c r="C1712" s="25"/>
      <c r="D1712" s="25"/>
      <c r="E1712" s="25"/>
      <c r="F1712" s="25"/>
      <c r="G1712" s="26"/>
      <c r="H1712" s="19">
        <f>SUM(G1709:G1711)</f>
        <v>1216750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6.25">
      <c r="A1713" s="27" t="s">
        <v>16</v>
      </c>
      <c r="B1713" s="25"/>
      <c r="C1713" s="25"/>
      <c r="D1713" s="25"/>
      <c r="E1713" s="25"/>
      <c r="F1713" s="25"/>
      <c r="G1713" s="26"/>
      <c r="H1713" s="19">
        <f>MAX(0,H1712-648000)</f>
        <v>568750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6.25">
      <c r="A1714" s="28" t="s">
        <v>17</v>
      </c>
      <c r="B1714" s="25"/>
      <c r="C1714" s="25"/>
      <c r="D1714" s="25"/>
      <c r="E1714" s="25"/>
      <c r="F1714" s="25"/>
      <c r="G1714" s="26"/>
      <c r="H1714" s="20">
        <v>649000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6.25">
      <c r="A1715" s="24"/>
      <c r="B1715" s="25"/>
      <c r="C1715" s="25"/>
      <c r="D1715" s="25"/>
      <c r="E1715" s="25"/>
      <c r="F1715" s="25"/>
      <c r="G1715" s="25"/>
      <c r="H1715" s="26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6.25">
      <c r="A1716" s="23"/>
      <c r="B1716" s="23"/>
      <c r="C1716" s="23"/>
      <c r="D1716" s="23"/>
      <c r="E1716" s="23"/>
      <c r="F1716" s="23"/>
      <c r="G1716" s="23"/>
      <c r="H1716" s="23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6.25">
      <c r="A1717" s="23"/>
      <c r="B1717" s="23"/>
      <c r="C1717" s="23"/>
      <c r="D1717" s="23"/>
      <c r="E1717" s="23"/>
      <c r="F1717" s="23"/>
      <c r="G1717" s="23"/>
      <c r="H1717" s="23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6.25">
      <c r="A1718" s="23"/>
      <c r="B1718" s="23"/>
      <c r="C1718" s="23"/>
      <c r="D1718" s="23"/>
      <c r="E1718" s="23"/>
      <c r="F1718" s="23"/>
      <c r="G1718" s="23"/>
      <c r="H1718" s="23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6.25">
      <c r="A1719" s="23"/>
      <c r="B1719" s="23"/>
      <c r="C1719" s="23"/>
      <c r="D1719" s="23"/>
      <c r="E1719" s="23"/>
      <c r="F1719" s="23"/>
      <c r="G1719" s="23"/>
      <c r="H1719" s="23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6.25">
      <c r="A1720" s="23"/>
      <c r="B1720" s="23"/>
      <c r="C1720" s="23"/>
      <c r="D1720" s="23"/>
      <c r="E1720" s="23"/>
      <c r="F1720" s="23"/>
      <c r="G1720" s="23"/>
      <c r="H1720" s="23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6.25">
      <c r="A1721" s="23"/>
      <c r="B1721" s="23"/>
      <c r="C1721" s="23"/>
      <c r="D1721" s="23"/>
      <c r="E1721" s="23"/>
      <c r="F1721" s="23"/>
      <c r="G1721" s="23"/>
      <c r="H1721" s="23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6.25">
      <c r="A1722" s="23"/>
      <c r="B1722" s="23"/>
      <c r="C1722" s="23"/>
      <c r="D1722" s="23"/>
      <c r="E1722" s="23"/>
      <c r="F1722" s="23"/>
      <c r="G1722" s="23"/>
      <c r="H1722" s="23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6.25">
      <c r="A1723" s="24" t="s">
        <v>0</v>
      </c>
      <c r="B1723" s="25"/>
      <c r="C1723" s="25"/>
      <c r="D1723" s="25"/>
      <c r="E1723" s="25"/>
      <c r="F1723" s="25"/>
      <c r="G1723" s="25"/>
      <c r="H1723" s="26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6.25">
      <c r="A1724" s="24" t="s">
        <v>446</v>
      </c>
      <c r="B1724" s="25"/>
      <c r="C1724" s="25"/>
      <c r="D1724" s="25"/>
      <c r="E1724" s="25"/>
      <c r="F1724" s="25"/>
      <c r="G1724" s="25"/>
      <c r="H1724" s="26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8.75">
      <c r="A1725" s="2" t="s">
        <v>2</v>
      </c>
      <c r="B1725" s="2" t="s">
        <v>3</v>
      </c>
      <c r="C1725" s="2" t="s">
        <v>4</v>
      </c>
      <c r="D1725" s="2" t="s">
        <v>5</v>
      </c>
      <c r="E1725" s="2" t="s">
        <v>6</v>
      </c>
      <c r="F1725" s="3" t="s">
        <v>7</v>
      </c>
      <c r="G1725" s="2" t="s">
        <v>8</v>
      </c>
      <c r="H1725" s="4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6.25">
      <c r="A1726" s="5">
        <v>1</v>
      </c>
      <c r="B1726" s="6" t="s">
        <v>371</v>
      </c>
      <c r="C1726" s="7" t="s">
        <v>372</v>
      </c>
      <c r="D1726" s="6" t="s">
        <v>127</v>
      </c>
      <c r="E1726" s="6">
        <v>2</v>
      </c>
      <c r="F1726" s="8">
        <v>293000</v>
      </c>
      <c r="G1726" s="9">
        <f t="shared" ref="G1726:G1728" si="95">IFERROR(E1726*F1726,0)</f>
        <v>586000</v>
      </c>
      <c r="H1726" s="10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6.25">
      <c r="A1727" s="5">
        <v>2</v>
      </c>
      <c r="B1727" s="13" t="s">
        <v>167</v>
      </c>
      <c r="C1727" s="12" t="s">
        <v>447</v>
      </c>
      <c r="D1727" s="13" t="s">
        <v>12</v>
      </c>
      <c r="E1727" s="13">
        <v>1.45</v>
      </c>
      <c r="F1727" s="14">
        <v>435000</v>
      </c>
      <c r="G1727" s="9">
        <f t="shared" si="95"/>
        <v>630750</v>
      </c>
      <c r="H1727" s="10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6.25">
      <c r="A1728" s="5">
        <v>3</v>
      </c>
      <c r="B1728" s="17" t="s">
        <v>14</v>
      </c>
      <c r="C1728" s="10"/>
      <c r="D1728" s="10"/>
      <c r="E1728" s="10"/>
      <c r="F1728" s="10"/>
      <c r="G1728" s="18">
        <f t="shared" si="95"/>
        <v>0</v>
      </c>
      <c r="H1728" s="10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6.25">
      <c r="A1729" s="27" t="s">
        <v>15</v>
      </c>
      <c r="B1729" s="25"/>
      <c r="C1729" s="25"/>
      <c r="D1729" s="25"/>
      <c r="E1729" s="25"/>
      <c r="F1729" s="25"/>
      <c r="G1729" s="26"/>
      <c r="H1729" s="19">
        <f>SUM(G1726:G1728)</f>
        <v>1216750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6.25">
      <c r="A1730" s="27" t="s">
        <v>16</v>
      </c>
      <c r="B1730" s="25"/>
      <c r="C1730" s="25"/>
      <c r="D1730" s="25"/>
      <c r="E1730" s="25"/>
      <c r="F1730" s="25"/>
      <c r="G1730" s="26"/>
      <c r="H1730" s="19">
        <f>MAX(0,H1729-648000)</f>
        <v>568750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6.25">
      <c r="A1731" s="28" t="s">
        <v>17</v>
      </c>
      <c r="B1731" s="25"/>
      <c r="C1731" s="25"/>
      <c r="D1731" s="25"/>
      <c r="E1731" s="25"/>
      <c r="F1731" s="25"/>
      <c r="G1731" s="26"/>
      <c r="H1731" s="20">
        <v>649000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6.25">
      <c r="A1732" s="24"/>
      <c r="B1732" s="25"/>
      <c r="C1732" s="25"/>
      <c r="D1732" s="25"/>
      <c r="E1732" s="25"/>
      <c r="F1732" s="25"/>
      <c r="G1732" s="25"/>
      <c r="H1732" s="26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6.25">
      <c r="A1733" s="23"/>
      <c r="B1733" s="23"/>
      <c r="C1733" s="23"/>
      <c r="D1733" s="23"/>
      <c r="E1733" s="23"/>
      <c r="F1733" s="23"/>
      <c r="G1733" s="23"/>
      <c r="H1733" s="23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6.25">
      <c r="A1734" s="23"/>
      <c r="B1734" s="23"/>
      <c r="C1734" s="23"/>
      <c r="D1734" s="23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6.25">
      <c r="A1735" s="23"/>
      <c r="B1735" s="23"/>
      <c r="C1735" s="23"/>
      <c r="D1735" s="23"/>
      <c r="E1735" s="23"/>
      <c r="F1735" s="23"/>
      <c r="G1735" s="23"/>
      <c r="H1735" s="23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6.25">
      <c r="A1736" s="23"/>
      <c r="B1736" s="23"/>
      <c r="C1736" s="23"/>
      <c r="D1736" s="23"/>
      <c r="E1736" s="23"/>
      <c r="F1736" s="23"/>
      <c r="G1736" s="23"/>
      <c r="H1736" s="23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6.25">
      <c r="A1737" s="23"/>
      <c r="B1737" s="23"/>
      <c r="C1737" s="23"/>
      <c r="D1737" s="23"/>
      <c r="E1737" s="23"/>
      <c r="F1737" s="23"/>
      <c r="G1737" s="23"/>
      <c r="H1737" s="23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6.25">
      <c r="A1738" s="23"/>
      <c r="B1738" s="23"/>
      <c r="C1738" s="23"/>
      <c r="D1738" s="23"/>
      <c r="E1738" s="23"/>
      <c r="F1738" s="23"/>
      <c r="G1738" s="23"/>
      <c r="H1738" s="23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6.25">
      <c r="A1739" s="23"/>
      <c r="B1739" s="23"/>
      <c r="C1739" s="23"/>
      <c r="D1739" s="23"/>
      <c r="E1739" s="23"/>
      <c r="F1739" s="23"/>
      <c r="G1739" s="23"/>
      <c r="H1739" s="23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6.25">
      <c r="A1740" s="23"/>
      <c r="B1740" s="23"/>
      <c r="C1740" s="23"/>
      <c r="D1740" s="23"/>
      <c r="E1740" s="23"/>
      <c r="F1740" s="23"/>
      <c r="G1740" s="23"/>
      <c r="H1740" s="23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6.25">
      <c r="A1741" s="23"/>
      <c r="B1741" s="23"/>
      <c r="C1741" s="23"/>
      <c r="D1741" s="23"/>
      <c r="E1741" s="23"/>
      <c r="F1741" s="23"/>
      <c r="G1741" s="23"/>
      <c r="H1741" s="2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6.25">
      <c r="A1742" s="23"/>
      <c r="B1742" s="23"/>
      <c r="C1742" s="23"/>
      <c r="D1742" s="23"/>
      <c r="E1742" s="23"/>
      <c r="F1742" s="23"/>
      <c r="G1742" s="23"/>
      <c r="H1742" s="23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6.25">
      <c r="A1743" s="23"/>
      <c r="B1743" s="23"/>
      <c r="C1743" s="23"/>
      <c r="D1743" s="23"/>
      <c r="E1743" s="23"/>
      <c r="F1743" s="23"/>
      <c r="G1743" s="23"/>
      <c r="H1743" s="23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6.25">
      <c r="A1744" s="24" t="s">
        <v>0</v>
      </c>
      <c r="B1744" s="25"/>
      <c r="C1744" s="25"/>
      <c r="D1744" s="25"/>
      <c r="E1744" s="25"/>
      <c r="F1744" s="25"/>
      <c r="G1744" s="25"/>
      <c r="H1744" s="26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6.25">
      <c r="A1745" s="24" t="s">
        <v>448</v>
      </c>
      <c r="B1745" s="25"/>
      <c r="C1745" s="25"/>
      <c r="D1745" s="25"/>
      <c r="E1745" s="25"/>
      <c r="F1745" s="25"/>
      <c r="G1745" s="25"/>
      <c r="H1745" s="26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8.75">
      <c r="A1746" s="2" t="s">
        <v>2</v>
      </c>
      <c r="B1746" s="2" t="s">
        <v>3</v>
      </c>
      <c r="C1746" s="2" t="s">
        <v>4</v>
      </c>
      <c r="D1746" s="2" t="s">
        <v>5</v>
      </c>
      <c r="E1746" s="2" t="s">
        <v>6</v>
      </c>
      <c r="F1746" s="3" t="s">
        <v>7</v>
      </c>
      <c r="G1746" s="2" t="s">
        <v>8</v>
      </c>
      <c r="H1746" s="4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6.25">
      <c r="A1747" s="5">
        <v>1</v>
      </c>
      <c r="B1747" s="6" t="s">
        <v>106</v>
      </c>
      <c r="C1747" s="7" t="s">
        <v>449</v>
      </c>
      <c r="D1747" s="6" t="s">
        <v>127</v>
      </c>
      <c r="E1747" s="6">
        <v>1.26</v>
      </c>
      <c r="F1747" s="8">
        <v>293000</v>
      </c>
      <c r="G1747" s="9">
        <f t="shared" ref="G1747:G1749" si="96">IFERROR(E1747*F1747,0)</f>
        <v>369180</v>
      </c>
      <c r="H1747" s="10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6.25">
      <c r="A1748" s="5">
        <v>2</v>
      </c>
      <c r="B1748" s="13" t="s">
        <v>175</v>
      </c>
      <c r="C1748" s="12" t="s">
        <v>450</v>
      </c>
      <c r="D1748" s="13" t="s">
        <v>12</v>
      </c>
      <c r="E1748" s="13">
        <v>2</v>
      </c>
      <c r="F1748" s="14">
        <v>435000</v>
      </c>
      <c r="G1748" s="9">
        <f t="shared" si="96"/>
        <v>870000</v>
      </c>
      <c r="H1748" s="10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6.25">
      <c r="A1749" s="5">
        <v>3</v>
      </c>
      <c r="B1749" s="17" t="s">
        <v>14</v>
      </c>
      <c r="C1749" s="10"/>
      <c r="D1749" s="10"/>
      <c r="E1749" s="10"/>
      <c r="F1749" s="10"/>
      <c r="G1749" s="18">
        <f t="shared" si="96"/>
        <v>0</v>
      </c>
      <c r="H1749" s="10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6.25">
      <c r="A1750" s="27" t="s">
        <v>15</v>
      </c>
      <c r="B1750" s="25"/>
      <c r="C1750" s="25"/>
      <c r="D1750" s="25"/>
      <c r="E1750" s="25"/>
      <c r="F1750" s="25"/>
      <c r="G1750" s="26"/>
      <c r="H1750" s="19">
        <f>SUM(G1747:G1749)</f>
        <v>1239180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6.25">
      <c r="A1751" s="27" t="s">
        <v>16</v>
      </c>
      <c r="B1751" s="25"/>
      <c r="C1751" s="25"/>
      <c r="D1751" s="25"/>
      <c r="E1751" s="25"/>
      <c r="F1751" s="25"/>
      <c r="G1751" s="26"/>
      <c r="H1751" s="19">
        <f>MAX(0,H1750-648000)</f>
        <v>591180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6.25">
      <c r="A1752" s="28" t="s">
        <v>17</v>
      </c>
      <c r="B1752" s="25"/>
      <c r="C1752" s="25"/>
      <c r="D1752" s="25"/>
      <c r="E1752" s="25"/>
      <c r="F1752" s="25"/>
      <c r="G1752" s="26"/>
      <c r="H1752" s="20">
        <v>649000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6.25">
      <c r="A1753" s="24"/>
      <c r="B1753" s="25"/>
      <c r="C1753" s="25"/>
      <c r="D1753" s="25"/>
      <c r="E1753" s="25"/>
      <c r="F1753" s="25"/>
      <c r="G1753" s="25"/>
      <c r="H1753" s="26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6.25">
      <c r="A1754" s="23"/>
      <c r="B1754" s="23"/>
      <c r="C1754" s="23"/>
      <c r="D1754" s="23"/>
      <c r="E1754" s="23"/>
      <c r="F1754" s="23"/>
      <c r="G1754" s="23"/>
      <c r="H1754" s="23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6.25">
      <c r="A1755" s="23"/>
      <c r="B1755" s="23"/>
      <c r="C1755" s="23"/>
      <c r="D1755" s="23"/>
      <c r="E1755" s="23"/>
      <c r="F1755" s="23"/>
      <c r="G1755" s="23"/>
      <c r="H1755" s="23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6.25">
      <c r="A1756" s="23"/>
      <c r="B1756" s="23"/>
      <c r="C1756" s="23"/>
      <c r="D1756" s="23"/>
      <c r="E1756" s="23"/>
      <c r="F1756" s="23"/>
      <c r="G1756" s="23"/>
      <c r="H1756" s="23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6.25">
      <c r="A1757" s="23"/>
      <c r="B1757" s="23"/>
      <c r="C1757" s="23"/>
      <c r="D1757" s="23"/>
      <c r="E1757" s="23"/>
      <c r="F1757" s="23"/>
      <c r="G1757" s="23"/>
      <c r="H1757" s="2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6.25">
      <c r="A1758" s="23"/>
      <c r="B1758" s="23"/>
      <c r="C1758" s="23"/>
      <c r="D1758" s="23"/>
      <c r="E1758" s="23"/>
      <c r="F1758" s="23"/>
      <c r="G1758" s="23"/>
      <c r="H1758" s="23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6.25">
      <c r="A1759" s="23"/>
      <c r="B1759" s="23"/>
      <c r="C1759" s="23"/>
      <c r="D1759" s="23"/>
      <c r="E1759" s="23"/>
      <c r="F1759" s="23"/>
      <c r="G1759" s="23"/>
      <c r="H1759" s="23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6.25">
      <c r="A1760" s="23"/>
      <c r="B1760" s="23"/>
      <c r="C1760" s="23"/>
      <c r="D1760" s="23"/>
      <c r="E1760" s="23"/>
      <c r="F1760" s="23"/>
      <c r="G1760" s="23"/>
      <c r="H1760" s="23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6.25">
      <c r="A1761" s="23"/>
      <c r="B1761" s="23"/>
      <c r="C1761" s="23"/>
      <c r="D1761" s="23"/>
      <c r="E1761" s="23"/>
      <c r="F1761" s="23"/>
      <c r="G1761" s="23"/>
      <c r="H1761" s="23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6.25">
      <c r="A1762" s="23"/>
      <c r="B1762" s="23"/>
      <c r="C1762" s="23"/>
      <c r="D1762" s="23"/>
      <c r="E1762" s="23"/>
      <c r="F1762" s="23"/>
      <c r="G1762" s="23"/>
      <c r="H1762" s="2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6.25">
      <c r="A1763" s="23"/>
      <c r="B1763" s="23"/>
      <c r="C1763" s="23"/>
      <c r="D1763" s="23"/>
      <c r="E1763" s="23"/>
      <c r="F1763" s="23"/>
      <c r="G1763" s="23"/>
      <c r="H1763" s="23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6.25">
      <c r="A1764" s="24" t="s">
        <v>0</v>
      </c>
      <c r="B1764" s="25"/>
      <c r="C1764" s="25"/>
      <c r="D1764" s="25"/>
      <c r="E1764" s="25"/>
      <c r="F1764" s="25"/>
      <c r="G1764" s="25"/>
      <c r="H1764" s="26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6.25">
      <c r="A1765" s="24" t="s">
        <v>451</v>
      </c>
      <c r="B1765" s="25"/>
      <c r="C1765" s="25"/>
      <c r="D1765" s="25"/>
      <c r="E1765" s="25"/>
      <c r="F1765" s="25"/>
      <c r="G1765" s="25"/>
      <c r="H1765" s="26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8.75">
      <c r="A1766" s="2" t="s">
        <v>2</v>
      </c>
      <c r="B1766" s="2" t="s">
        <v>3</v>
      </c>
      <c r="C1766" s="2" t="s">
        <v>4</v>
      </c>
      <c r="D1766" s="2" t="s">
        <v>5</v>
      </c>
      <c r="E1766" s="2" t="s">
        <v>6</v>
      </c>
      <c r="F1766" s="3" t="s">
        <v>7</v>
      </c>
      <c r="G1766" s="2" t="s">
        <v>8</v>
      </c>
      <c r="H1766" s="4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6.25">
      <c r="A1767" s="5">
        <v>1</v>
      </c>
      <c r="B1767" s="6" t="s">
        <v>275</v>
      </c>
      <c r="C1767" s="7" t="s">
        <v>452</v>
      </c>
      <c r="D1767" s="6" t="s">
        <v>127</v>
      </c>
      <c r="E1767" s="6">
        <v>1.5</v>
      </c>
      <c r="F1767" s="8">
        <v>293000</v>
      </c>
      <c r="G1767" s="9">
        <f t="shared" ref="G1767:G1769" si="97">IFERROR(E1767*F1767,0)</f>
        <v>439500</v>
      </c>
      <c r="H1767" s="10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6.25">
      <c r="A1768" s="5">
        <v>2</v>
      </c>
      <c r="B1768" s="13" t="s">
        <v>329</v>
      </c>
      <c r="C1768" s="12" t="s">
        <v>453</v>
      </c>
      <c r="D1768" s="13" t="s">
        <v>12</v>
      </c>
      <c r="E1768" s="13">
        <v>2</v>
      </c>
      <c r="F1768" s="14">
        <v>435000</v>
      </c>
      <c r="G1768" s="9">
        <f t="shared" si="97"/>
        <v>870000</v>
      </c>
      <c r="H1768" s="10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6.25">
      <c r="A1769" s="5">
        <v>3</v>
      </c>
      <c r="B1769" s="17" t="s">
        <v>14</v>
      </c>
      <c r="C1769" s="10"/>
      <c r="D1769" s="10"/>
      <c r="E1769" s="10"/>
      <c r="F1769" s="10"/>
      <c r="G1769" s="18">
        <f t="shared" si="97"/>
        <v>0</v>
      </c>
      <c r="H1769" s="10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6.25">
      <c r="A1770" s="27" t="s">
        <v>15</v>
      </c>
      <c r="B1770" s="25"/>
      <c r="C1770" s="25"/>
      <c r="D1770" s="25"/>
      <c r="E1770" s="25"/>
      <c r="F1770" s="25"/>
      <c r="G1770" s="26"/>
      <c r="H1770" s="19">
        <f>SUM(G1767:G1769)</f>
        <v>1309500</v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6.25">
      <c r="A1771" s="27" t="s">
        <v>16</v>
      </c>
      <c r="B1771" s="25"/>
      <c r="C1771" s="25"/>
      <c r="D1771" s="25"/>
      <c r="E1771" s="25"/>
      <c r="F1771" s="25"/>
      <c r="G1771" s="26"/>
      <c r="H1771" s="19">
        <f>MAX(0,H1770-648000)</f>
        <v>661500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6.25">
      <c r="A1772" s="28" t="s">
        <v>17</v>
      </c>
      <c r="B1772" s="25"/>
      <c r="C1772" s="25"/>
      <c r="D1772" s="25"/>
      <c r="E1772" s="25"/>
      <c r="F1772" s="25"/>
      <c r="G1772" s="26"/>
      <c r="H1772" s="20">
        <v>649000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6.25">
      <c r="A1773" s="24"/>
      <c r="B1773" s="25"/>
      <c r="C1773" s="25"/>
      <c r="D1773" s="25"/>
      <c r="E1773" s="25"/>
      <c r="F1773" s="25"/>
      <c r="G1773" s="25"/>
      <c r="H1773" s="26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6.25">
      <c r="A1774" s="23"/>
      <c r="B1774" s="23"/>
      <c r="C1774" s="23"/>
      <c r="D1774" s="23"/>
      <c r="E1774" s="23"/>
      <c r="F1774" s="23"/>
      <c r="G1774" s="23"/>
      <c r="H1774" s="23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6.25">
      <c r="A1775" s="23"/>
      <c r="B1775" s="23"/>
      <c r="C1775" s="23"/>
      <c r="D1775" s="23"/>
      <c r="E1775" s="23"/>
      <c r="F1775" s="23"/>
      <c r="G1775" s="23"/>
      <c r="H1775" s="23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6.25">
      <c r="A1776" s="23"/>
      <c r="B1776" s="23"/>
      <c r="C1776" s="23"/>
      <c r="D1776" s="23"/>
      <c r="E1776" s="23"/>
      <c r="F1776" s="23"/>
      <c r="G1776" s="23"/>
      <c r="H1776" s="23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6.25">
      <c r="A1777" s="23"/>
      <c r="B1777" s="23"/>
      <c r="C1777" s="23"/>
      <c r="D1777" s="23"/>
      <c r="E1777" s="23"/>
      <c r="F1777" s="23"/>
      <c r="G1777" s="23"/>
      <c r="H1777" s="23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6.25">
      <c r="A1778" s="23"/>
      <c r="B1778" s="23"/>
      <c r="C1778" s="23"/>
      <c r="D1778" s="23"/>
      <c r="E1778" s="23"/>
      <c r="F1778" s="23"/>
      <c r="G1778" s="23"/>
      <c r="H1778" s="23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6.25">
      <c r="A1779" s="23"/>
      <c r="B1779" s="23"/>
      <c r="C1779" s="23"/>
      <c r="D1779" s="23"/>
      <c r="E1779" s="23"/>
      <c r="F1779" s="23"/>
      <c r="G1779" s="23"/>
      <c r="H1779" s="23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6.25">
      <c r="A1780" s="23"/>
      <c r="B1780" s="23"/>
      <c r="C1780" s="23"/>
      <c r="D1780" s="23"/>
      <c r="E1780" s="23"/>
      <c r="F1780" s="23"/>
      <c r="G1780" s="23"/>
      <c r="H1780" s="23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6.25">
      <c r="A1781" s="23"/>
      <c r="B1781" s="23"/>
      <c r="C1781" s="23"/>
      <c r="D1781" s="23"/>
      <c r="E1781" s="23"/>
      <c r="F1781" s="23"/>
      <c r="G1781" s="23"/>
      <c r="H1781" s="23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6.25">
      <c r="A1782" s="24" t="s">
        <v>0</v>
      </c>
      <c r="B1782" s="25"/>
      <c r="C1782" s="25"/>
      <c r="D1782" s="25"/>
      <c r="E1782" s="25"/>
      <c r="F1782" s="25"/>
      <c r="G1782" s="25"/>
      <c r="H1782" s="26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6.25">
      <c r="A1783" s="24" t="s">
        <v>454</v>
      </c>
      <c r="B1783" s="25"/>
      <c r="C1783" s="25"/>
      <c r="D1783" s="25"/>
      <c r="E1783" s="25"/>
      <c r="F1783" s="25"/>
      <c r="G1783" s="25"/>
      <c r="H1783" s="26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8.75">
      <c r="A1784" s="2" t="s">
        <v>2</v>
      </c>
      <c r="B1784" s="2" t="s">
        <v>3</v>
      </c>
      <c r="C1784" s="2" t="s">
        <v>4</v>
      </c>
      <c r="D1784" s="2" t="s">
        <v>5</v>
      </c>
      <c r="E1784" s="2" t="s">
        <v>6</v>
      </c>
      <c r="F1784" s="3" t="s">
        <v>7</v>
      </c>
      <c r="G1784" s="2" t="s">
        <v>8</v>
      </c>
      <c r="H1784" s="4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6.25">
      <c r="A1785" s="5">
        <v>1</v>
      </c>
      <c r="B1785" s="6" t="s">
        <v>421</v>
      </c>
      <c r="C1785" s="7" t="s">
        <v>455</v>
      </c>
      <c r="D1785" s="6" t="s">
        <v>127</v>
      </c>
      <c r="E1785" s="6">
        <v>1.48</v>
      </c>
      <c r="F1785" s="8">
        <v>293000</v>
      </c>
      <c r="G1785" s="9">
        <f t="shared" ref="G1785:G1787" si="98">IFERROR(E1785*F1785,0)</f>
        <v>433640</v>
      </c>
      <c r="H1785" s="10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6.25">
      <c r="A1786" s="5">
        <v>2</v>
      </c>
      <c r="B1786" s="13" t="s">
        <v>167</v>
      </c>
      <c r="C1786" s="12" t="s">
        <v>456</v>
      </c>
      <c r="D1786" s="13" t="s">
        <v>12</v>
      </c>
      <c r="E1786" s="13">
        <v>2</v>
      </c>
      <c r="F1786" s="14">
        <v>435000</v>
      </c>
      <c r="G1786" s="9">
        <f t="shared" si="98"/>
        <v>870000</v>
      </c>
      <c r="H1786" s="10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6.25">
      <c r="A1787" s="5">
        <v>3</v>
      </c>
      <c r="B1787" s="17" t="s">
        <v>14</v>
      </c>
      <c r="C1787" s="10"/>
      <c r="D1787" s="10"/>
      <c r="E1787" s="10"/>
      <c r="F1787" s="10"/>
      <c r="G1787" s="18">
        <f t="shared" si="98"/>
        <v>0</v>
      </c>
      <c r="H1787" s="10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6.25">
      <c r="A1788" s="27" t="s">
        <v>15</v>
      </c>
      <c r="B1788" s="25"/>
      <c r="C1788" s="25"/>
      <c r="D1788" s="25"/>
      <c r="E1788" s="25"/>
      <c r="F1788" s="25"/>
      <c r="G1788" s="26"/>
      <c r="H1788" s="19">
        <f>SUM(G1785:G1787)</f>
        <v>1303640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6.25">
      <c r="A1789" s="27" t="s">
        <v>16</v>
      </c>
      <c r="B1789" s="25"/>
      <c r="C1789" s="25"/>
      <c r="D1789" s="25"/>
      <c r="E1789" s="25"/>
      <c r="F1789" s="25"/>
      <c r="G1789" s="26"/>
      <c r="H1789" s="19">
        <f>MAX(0,H1788-648000)</f>
        <v>655640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6.25">
      <c r="A1790" s="28" t="s">
        <v>17</v>
      </c>
      <c r="B1790" s="25"/>
      <c r="C1790" s="25"/>
      <c r="D1790" s="25"/>
      <c r="E1790" s="25"/>
      <c r="F1790" s="25"/>
      <c r="G1790" s="26"/>
      <c r="H1790" s="20">
        <v>649000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6.25">
      <c r="A1791" s="24"/>
      <c r="B1791" s="25"/>
      <c r="C1791" s="25"/>
      <c r="D1791" s="25"/>
      <c r="E1791" s="25"/>
      <c r="F1791" s="25"/>
      <c r="G1791" s="25"/>
      <c r="H1791" s="26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6.25">
      <c r="A1792" s="23"/>
      <c r="B1792" s="23"/>
      <c r="C1792" s="23"/>
      <c r="D1792" s="23"/>
      <c r="E1792" s="23"/>
      <c r="F1792" s="23"/>
      <c r="G1792" s="23"/>
      <c r="H1792" s="23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6.25">
      <c r="A1793" s="23"/>
      <c r="B1793" s="23"/>
      <c r="C1793" s="23"/>
      <c r="D1793" s="23"/>
      <c r="E1793" s="23"/>
      <c r="F1793" s="23"/>
      <c r="G1793" s="23"/>
      <c r="H1793" s="23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6.25">
      <c r="A1794" s="23"/>
      <c r="B1794" s="23"/>
      <c r="C1794" s="23"/>
      <c r="D1794" s="23"/>
      <c r="E1794" s="23"/>
      <c r="F1794" s="23"/>
      <c r="G1794" s="23"/>
      <c r="H1794" s="23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6.25">
      <c r="A1795" s="23"/>
      <c r="B1795" s="23"/>
      <c r="C1795" s="23"/>
      <c r="D1795" s="23"/>
      <c r="E1795" s="23"/>
      <c r="F1795" s="23"/>
      <c r="G1795" s="23"/>
      <c r="H1795" s="23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6.25">
      <c r="A1796" s="23"/>
      <c r="B1796" s="23"/>
      <c r="C1796" s="23"/>
      <c r="D1796" s="23"/>
      <c r="E1796" s="23"/>
      <c r="F1796" s="23"/>
      <c r="G1796" s="23"/>
      <c r="H1796" s="23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6.25">
      <c r="A1797" s="23"/>
      <c r="B1797" s="23"/>
      <c r="C1797" s="23"/>
      <c r="D1797" s="23"/>
      <c r="E1797" s="23"/>
      <c r="F1797" s="23"/>
      <c r="G1797" s="23"/>
      <c r="H1797" s="2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6.25">
      <c r="A1798" s="24" t="s">
        <v>0</v>
      </c>
      <c r="B1798" s="25"/>
      <c r="C1798" s="25"/>
      <c r="D1798" s="25"/>
      <c r="E1798" s="25"/>
      <c r="F1798" s="25"/>
      <c r="G1798" s="25"/>
      <c r="H1798" s="26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6.25">
      <c r="A1799" s="24" t="s">
        <v>457</v>
      </c>
      <c r="B1799" s="25"/>
      <c r="C1799" s="25"/>
      <c r="D1799" s="25"/>
      <c r="E1799" s="25"/>
      <c r="F1799" s="25"/>
      <c r="G1799" s="25"/>
      <c r="H1799" s="26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8.75">
      <c r="A1800" s="2" t="s">
        <v>458</v>
      </c>
      <c r="B1800" s="2" t="s">
        <v>3</v>
      </c>
      <c r="C1800" s="2" t="s">
        <v>4</v>
      </c>
      <c r="D1800" s="2" t="s">
        <v>5</v>
      </c>
      <c r="E1800" s="2" t="s">
        <v>6</v>
      </c>
      <c r="F1800" s="3" t="s">
        <v>7</v>
      </c>
      <c r="G1800" s="2" t="s">
        <v>8</v>
      </c>
      <c r="H1800" s="4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6.25">
      <c r="A1801" s="5">
        <v>1</v>
      </c>
      <c r="B1801" s="6" t="s">
        <v>459</v>
      </c>
      <c r="C1801" s="7" t="s">
        <v>460</v>
      </c>
      <c r="D1801" s="6" t="s">
        <v>127</v>
      </c>
      <c r="E1801" s="6">
        <v>1.5</v>
      </c>
      <c r="F1801" s="8">
        <v>293000</v>
      </c>
      <c r="G1801" s="9">
        <f t="shared" ref="G1801:G1803" si="99">IFERROR(E1801*F1801,0)</f>
        <v>439500</v>
      </c>
      <c r="H1801" s="10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6.25">
      <c r="A1802" s="5">
        <v>2</v>
      </c>
      <c r="B1802" s="13" t="s">
        <v>68</v>
      </c>
      <c r="C1802" s="12" t="s">
        <v>461</v>
      </c>
      <c r="D1802" s="13" t="s">
        <v>12</v>
      </c>
      <c r="E1802" s="13">
        <v>2</v>
      </c>
      <c r="F1802" s="14">
        <v>435000</v>
      </c>
      <c r="G1802" s="9">
        <f t="shared" si="99"/>
        <v>870000</v>
      </c>
      <c r="H1802" s="10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6.25">
      <c r="A1803" s="5">
        <v>3</v>
      </c>
      <c r="B1803" s="17" t="s">
        <v>14</v>
      </c>
      <c r="C1803" s="10"/>
      <c r="D1803" s="10"/>
      <c r="E1803" s="10"/>
      <c r="F1803" s="10"/>
      <c r="G1803" s="18">
        <f t="shared" si="99"/>
        <v>0</v>
      </c>
      <c r="H1803" s="10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6.25">
      <c r="A1804" s="27" t="s">
        <v>15</v>
      </c>
      <c r="B1804" s="25"/>
      <c r="C1804" s="25"/>
      <c r="D1804" s="25"/>
      <c r="E1804" s="25"/>
      <c r="F1804" s="25"/>
      <c r="G1804" s="26"/>
      <c r="H1804" s="19">
        <f>SUM(G1801:G1803)</f>
        <v>1309500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6.25">
      <c r="A1805" s="27" t="s">
        <v>16</v>
      </c>
      <c r="B1805" s="25"/>
      <c r="C1805" s="25"/>
      <c r="D1805" s="25"/>
      <c r="E1805" s="25"/>
      <c r="F1805" s="25"/>
      <c r="G1805" s="26"/>
      <c r="H1805" s="19">
        <f>MAX(0,H1804-648000)</f>
        <v>661500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6.25">
      <c r="A1806" s="28" t="s">
        <v>17</v>
      </c>
      <c r="B1806" s="25"/>
      <c r="C1806" s="25"/>
      <c r="D1806" s="25"/>
      <c r="E1806" s="25"/>
      <c r="F1806" s="25"/>
      <c r="G1806" s="26"/>
      <c r="H1806" s="20">
        <v>649000</v>
      </c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6.25">
      <c r="A1807" s="24"/>
      <c r="B1807" s="25"/>
      <c r="C1807" s="25"/>
      <c r="D1807" s="25"/>
      <c r="E1807" s="25"/>
      <c r="F1807" s="25"/>
      <c r="G1807" s="25"/>
      <c r="H1807" s="26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6.25">
      <c r="A1808" s="23"/>
      <c r="B1808" s="23"/>
      <c r="C1808" s="23"/>
      <c r="D1808" s="23"/>
      <c r="E1808" s="23"/>
      <c r="F1808" s="23"/>
      <c r="G1808" s="23"/>
      <c r="H1808" s="23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6.25">
      <c r="A1809" s="23"/>
      <c r="B1809" s="23"/>
      <c r="C1809" s="23"/>
      <c r="D1809" s="23"/>
      <c r="E1809" s="23"/>
      <c r="F1809" s="23"/>
      <c r="G1809" s="23"/>
      <c r="H1809" s="23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6.25">
      <c r="A1810" s="23"/>
      <c r="B1810" s="23"/>
      <c r="C1810" s="23"/>
      <c r="D1810" s="23"/>
      <c r="E1810" s="23"/>
      <c r="F1810" s="23"/>
      <c r="G1810" s="23"/>
      <c r="H1810" s="23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6.25">
      <c r="A1811" s="23"/>
      <c r="B1811" s="23"/>
      <c r="C1811" s="23"/>
      <c r="D1811" s="23"/>
      <c r="E1811" s="23"/>
      <c r="F1811" s="23"/>
      <c r="G1811" s="23"/>
      <c r="H1811" s="23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6.25">
      <c r="A1812" s="23"/>
      <c r="B1812" s="23"/>
      <c r="C1812" s="23"/>
      <c r="D1812" s="23"/>
      <c r="E1812" s="23"/>
      <c r="F1812" s="23"/>
      <c r="G1812" s="23"/>
      <c r="H1812" s="23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6.25">
      <c r="A1813" s="23"/>
      <c r="B1813" s="23"/>
      <c r="C1813" s="23"/>
      <c r="D1813" s="23"/>
      <c r="E1813" s="23"/>
      <c r="F1813" s="23"/>
      <c r="G1813" s="23"/>
      <c r="H1813" s="2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6.25">
      <c r="A1814" s="23"/>
      <c r="B1814" s="23"/>
      <c r="C1814" s="23"/>
      <c r="D1814" s="23"/>
      <c r="E1814" s="23"/>
      <c r="F1814" s="23"/>
      <c r="G1814" s="23"/>
      <c r="H1814" s="23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6.25">
      <c r="A1815" s="24" t="s">
        <v>0</v>
      </c>
      <c r="B1815" s="25"/>
      <c r="C1815" s="25"/>
      <c r="D1815" s="25"/>
      <c r="E1815" s="25"/>
      <c r="F1815" s="25"/>
      <c r="G1815" s="25"/>
      <c r="H1815" s="26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6.25">
      <c r="A1816" s="24" t="s">
        <v>462</v>
      </c>
      <c r="B1816" s="25"/>
      <c r="C1816" s="25"/>
      <c r="D1816" s="25"/>
      <c r="E1816" s="25"/>
      <c r="F1816" s="25"/>
      <c r="G1816" s="25"/>
      <c r="H1816" s="26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8.75">
      <c r="A1817" s="2" t="s">
        <v>458</v>
      </c>
      <c r="B1817" s="2" t="s">
        <v>3</v>
      </c>
      <c r="C1817" s="2" t="s">
        <v>4</v>
      </c>
      <c r="D1817" s="2" t="s">
        <v>5</v>
      </c>
      <c r="E1817" s="2" t="s">
        <v>6</v>
      </c>
      <c r="F1817" s="3" t="s">
        <v>7</v>
      </c>
      <c r="G1817" s="2" t="s">
        <v>8</v>
      </c>
      <c r="H1817" s="4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26.25">
      <c r="A1818" s="5">
        <v>1</v>
      </c>
      <c r="B1818" s="6" t="s">
        <v>53</v>
      </c>
      <c r="C1818" s="7" t="s">
        <v>463</v>
      </c>
      <c r="D1818" s="6" t="s">
        <v>127</v>
      </c>
      <c r="E1818" s="6">
        <v>1.5</v>
      </c>
      <c r="F1818" s="8">
        <v>293000</v>
      </c>
      <c r="G1818" s="9">
        <f t="shared" ref="G1818:G1820" si="100">IFERROR(E1818*F1818,0)</f>
        <v>439500</v>
      </c>
      <c r="H1818" s="10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26.25">
      <c r="A1819" s="5">
        <v>2</v>
      </c>
      <c r="B1819" s="13" t="s">
        <v>191</v>
      </c>
      <c r="C1819" s="12" t="s">
        <v>464</v>
      </c>
      <c r="D1819" s="13" t="s">
        <v>12</v>
      </c>
      <c r="E1819" s="13">
        <v>2</v>
      </c>
      <c r="F1819" s="14">
        <v>435000</v>
      </c>
      <c r="G1819" s="9">
        <f t="shared" si="100"/>
        <v>870000</v>
      </c>
      <c r="H1819" s="10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26.25">
      <c r="A1820" s="5">
        <v>3</v>
      </c>
      <c r="B1820" s="17" t="s">
        <v>14</v>
      </c>
      <c r="C1820" s="10"/>
      <c r="D1820" s="10"/>
      <c r="E1820" s="10"/>
      <c r="F1820" s="10"/>
      <c r="G1820" s="18">
        <f t="shared" si="100"/>
        <v>0</v>
      </c>
      <c r="H1820" s="10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26.25">
      <c r="A1821" s="27" t="s">
        <v>15</v>
      </c>
      <c r="B1821" s="25"/>
      <c r="C1821" s="25"/>
      <c r="D1821" s="25"/>
      <c r="E1821" s="25"/>
      <c r="F1821" s="25"/>
      <c r="G1821" s="26"/>
      <c r="H1821" s="19">
        <f>SUM(G1818:G1820)</f>
        <v>1309500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26.25">
      <c r="A1822" s="27" t="s">
        <v>16</v>
      </c>
      <c r="B1822" s="25"/>
      <c r="C1822" s="25"/>
      <c r="D1822" s="25"/>
      <c r="E1822" s="25"/>
      <c r="F1822" s="25"/>
      <c r="G1822" s="26"/>
      <c r="H1822" s="19">
        <f>MAX(0,H1821-648000)</f>
        <v>661500</v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26.25">
      <c r="A1823" s="28" t="s">
        <v>17</v>
      </c>
      <c r="B1823" s="25"/>
      <c r="C1823" s="25"/>
      <c r="D1823" s="25"/>
      <c r="E1823" s="25"/>
      <c r="F1823" s="25"/>
      <c r="G1823" s="26"/>
      <c r="H1823" s="20">
        <v>649000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26.25">
      <c r="A1824" s="24"/>
      <c r="B1824" s="25"/>
      <c r="C1824" s="25"/>
      <c r="D1824" s="25"/>
      <c r="E1824" s="25"/>
      <c r="F1824" s="25"/>
      <c r="G1824" s="25"/>
      <c r="H1824" s="26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26.25">
      <c r="A1825" s="23"/>
      <c r="B1825" s="23"/>
      <c r="C1825" s="23"/>
      <c r="D1825" s="23"/>
      <c r="E1825" s="23"/>
      <c r="F1825" s="23"/>
      <c r="G1825" s="23"/>
      <c r="H1825" s="2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26.25">
      <c r="A1826" s="23"/>
      <c r="B1826" s="23"/>
      <c r="C1826" s="23"/>
      <c r="D1826" s="23"/>
      <c r="E1826" s="23"/>
      <c r="F1826" s="23"/>
      <c r="G1826" s="23"/>
      <c r="H1826" s="23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26.25">
      <c r="A1827" s="23"/>
      <c r="B1827" s="23"/>
      <c r="C1827" s="23"/>
      <c r="D1827" s="23"/>
      <c r="E1827" s="23"/>
      <c r="F1827" s="23"/>
      <c r="G1827" s="23"/>
      <c r="H1827" s="23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26.25">
      <c r="A1828" s="23"/>
      <c r="B1828" s="23"/>
      <c r="C1828" s="23"/>
      <c r="D1828" s="23"/>
      <c r="E1828" s="23"/>
      <c r="F1828" s="23"/>
      <c r="G1828" s="23"/>
      <c r="H1828" s="2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26.25">
      <c r="A1829" s="23"/>
      <c r="B1829" s="23"/>
      <c r="C1829" s="23"/>
      <c r="D1829" s="23"/>
      <c r="E1829" s="23"/>
      <c r="F1829" s="23"/>
      <c r="G1829" s="23"/>
      <c r="H1829" s="23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26.25">
      <c r="A1830" s="23"/>
      <c r="B1830" s="23"/>
      <c r="C1830" s="23"/>
      <c r="D1830" s="23"/>
      <c r="E1830" s="23"/>
      <c r="F1830" s="23"/>
      <c r="G1830" s="23"/>
      <c r="H1830" s="23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26.25">
      <c r="A1831" s="24" t="s">
        <v>0</v>
      </c>
      <c r="B1831" s="25"/>
      <c r="C1831" s="25"/>
      <c r="D1831" s="25"/>
      <c r="E1831" s="25"/>
      <c r="F1831" s="25"/>
      <c r="G1831" s="25"/>
      <c r="H1831" s="26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26.25">
      <c r="A1832" s="24" t="s">
        <v>465</v>
      </c>
      <c r="B1832" s="25"/>
      <c r="C1832" s="25"/>
      <c r="D1832" s="25"/>
      <c r="E1832" s="25"/>
      <c r="F1832" s="25"/>
      <c r="G1832" s="25"/>
      <c r="H1832" s="26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8.75">
      <c r="A1833" s="2" t="s">
        <v>458</v>
      </c>
      <c r="B1833" s="2" t="s">
        <v>3</v>
      </c>
      <c r="C1833" s="2" t="s">
        <v>4</v>
      </c>
      <c r="D1833" s="2" t="s">
        <v>5</v>
      </c>
      <c r="E1833" s="2" t="s">
        <v>6</v>
      </c>
      <c r="F1833" s="3" t="s">
        <v>7</v>
      </c>
      <c r="G1833" s="2" t="s">
        <v>8</v>
      </c>
      <c r="H1833" s="4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26.25">
      <c r="A1834" s="5">
        <v>1</v>
      </c>
      <c r="B1834" s="6" t="s">
        <v>68</v>
      </c>
      <c r="C1834" s="7" t="s">
        <v>466</v>
      </c>
      <c r="D1834" s="6" t="s">
        <v>127</v>
      </c>
      <c r="E1834" s="6">
        <v>1.9</v>
      </c>
      <c r="F1834" s="8">
        <v>293000</v>
      </c>
      <c r="G1834" s="9">
        <f t="shared" ref="G1834:G1836" si="101">IFERROR(E1834*F1834,0)</f>
        <v>556700</v>
      </c>
      <c r="H1834" s="10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26.25">
      <c r="A1835" s="5">
        <v>2</v>
      </c>
      <c r="B1835" s="13" t="s">
        <v>150</v>
      </c>
      <c r="C1835" s="12" t="s">
        <v>467</v>
      </c>
      <c r="D1835" s="13" t="s">
        <v>12</v>
      </c>
      <c r="E1835" s="13">
        <v>1.45</v>
      </c>
      <c r="F1835" s="14">
        <v>435000</v>
      </c>
      <c r="G1835" s="9">
        <f t="shared" si="101"/>
        <v>630750</v>
      </c>
      <c r="H1835" s="10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26.25">
      <c r="A1836" s="5">
        <v>3</v>
      </c>
      <c r="B1836" s="17" t="s">
        <v>14</v>
      </c>
      <c r="C1836" s="10"/>
      <c r="D1836" s="10"/>
      <c r="E1836" s="10"/>
      <c r="F1836" s="10"/>
      <c r="G1836" s="18">
        <f t="shared" si="101"/>
        <v>0</v>
      </c>
      <c r="H1836" s="10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26.25">
      <c r="A1837" s="27" t="s">
        <v>15</v>
      </c>
      <c r="B1837" s="25"/>
      <c r="C1837" s="25"/>
      <c r="D1837" s="25"/>
      <c r="E1837" s="25"/>
      <c r="F1837" s="25"/>
      <c r="G1837" s="26"/>
      <c r="H1837" s="19">
        <f>SUM(G1834:G1836)</f>
        <v>1187450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26.25">
      <c r="A1838" s="27" t="s">
        <v>16</v>
      </c>
      <c r="B1838" s="25"/>
      <c r="C1838" s="25"/>
      <c r="D1838" s="25"/>
      <c r="E1838" s="25"/>
      <c r="F1838" s="25"/>
      <c r="G1838" s="26"/>
      <c r="H1838" s="19">
        <f>MAX(0,H1837-648000)</f>
        <v>539450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26.25">
      <c r="A1839" s="28" t="s">
        <v>17</v>
      </c>
      <c r="B1839" s="25"/>
      <c r="C1839" s="25"/>
      <c r="D1839" s="25"/>
      <c r="E1839" s="25"/>
      <c r="F1839" s="25"/>
      <c r="G1839" s="26"/>
      <c r="H1839" s="20">
        <v>649000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26.25">
      <c r="A1840" s="24"/>
      <c r="B1840" s="25"/>
      <c r="C1840" s="25"/>
      <c r="D1840" s="25"/>
      <c r="E1840" s="25"/>
      <c r="F1840" s="25"/>
      <c r="G1840" s="25"/>
      <c r="H1840" s="26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26.25">
      <c r="A1841" s="23"/>
      <c r="B1841" s="23"/>
      <c r="C1841" s="23"/>
      <c r="D1841" s="23"/>
      <c r="E1841" s="23"/>
      <c r="F1841" s="23"/>
      <c r="G1841" s="23"/>
      <c r="H1841" s="23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26.25">
      <c r="A1842" s="23"/>
      <c r="B1842" s="23"/>
      <c r="C1842" s="23"/>
      <c r="D1842" s="23"/>
      <c r="E1842" s="23"/>
      <c r="F1842" s="23"/>
      <c r="G1842" s="23"/>
      <c r="H1842" s="23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26.25">
      <c r="A1843" s="23"/>
      <c r="B1843" s="23"/>
      <c r="C1843" s="23"/>
      <c r="D1843" s="23"/>
      <c r="E1843" s="23"/>
      <c r="F1843" s="23"/>
      <c r="G1843" s="23"/>
      <c r="H1843" s="23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26.25">
      <c r="A1844" s="23"/>
      <c r="B1844" s="23"/>
      <c r="C1844" s="23"/>
      <c r="D1844" s="23"/>
      <c r="E1844" s="23"/>
      <c r="F1844" s="23"/>
      <c r="G1844" s="23"/>
      <c r="H1844" s="23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26.25">
      <c r="A1845" s="23"/>
      <c r="B1845" s="23"/>
      <c r="C1845" s="23"/>
      <c r="D1845" s="23"/>
      <c r="E1845" s="23"/>
      <c r="F1845" s="23"/>
      <c r="G1845" s="23"/>
      <c r="H1845" s="23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26.25">
      <c r="A1846" s="23"/>
      <c r="B1846" s="23"/>
      <c r="C1846" s="23"/>
      <c r="D1846" s="23"/>
      <c r="E1846" s="23"/>
      <c r="F1846" s="23"/>
      <c r="G1846" s="23"/>
      <c r="H1846" s="23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26.25">
      <c r="A1847" s="23"/>
      <c r="B1847" s="23"/>
      <c r="C1847" s="23"/>
      <c r="D1847" s="23"/>
      <c r="E1847" s="23"/>
      <c r="F1847" s="23"/>
      <c r="G1847" s="23"/>
      <c r="H1847" s="23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26.25">
      <c r="A1848" s="24" t="s">
        <v>0</v>
      </c>
      <c r="B1848" s="25"/>
      <c r="C1848" s="25"/>
      <c r="D1848" s="25"/>
      <c r="E1848" s="25"/>
      <c r="F1848" s="25"/>
      <c r="G1848" s="25"/>
      <c r="H1848" s="26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26.25">
      <c r="A1849" s="24" t="s">
        <v>468</v>
      </c>
      <c r="B1849" s="25"/>
      <c r="C1849" s="25"/>
      <c r="D1849" s="25"/>
      <c r="E1849" s="25"/>
      <c r="F1849" s="25"/>
      <c r="G1849" s="25"/>
      <c r="H1849" s="26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8.75">
      <c r="A1850" s="2" t="s">
        <v>458</v>
      </c>
      <c r="B1850" s="2" t="s">
        <v>3</v>
      </c>
      <c r="C1850" s="2" t="s">
        <v>4</v>
      </c>
      <c r="D1850" s="2" t="s">
        <v>5</v>
      </c>
      <c r="E1850" s="2" t="s">
        <v>6</v>
      </c>
      <c r="F1850" s="3" t="s">
        <v>7</v>
      </c>
      <c r="G1850" s="2" t="s">
        <v>8</v>
      </c>
      <c r="H1850" s="4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26.25">
      <c r="A1851" s="5">
        <v>1</v>
      </c>
      <c r="B1851" s="6" t="s">
        <v>249</v>
      </c>
      <c r="C1851" s="7" t="s">
        <v>469</v>
      </c>
      <c r="D1851" s="6" t="s">
        <v>127</v>
      </c>
      <c r="E1851" s="6">
        <v>1.5</v>
      </c>
      <c r="F1851" s="8">
        <v>293000</v>
      </c>
      <c r="G1851" s="9">
        <f t="shared" ref="G1851:G1853" si="102">IFERROR(E1851*F1851,0)</f>
        <v>439500</v>
      </c>
      <c r="H1851" s="10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26.25">
      <c r="A1852" s="5">
        <v>2</v>
      </c>
      <c r="B1852" s="13" t="s">
        <v>44</v>
      </c>
      <c r="C1852" s="12">
        <v>8408</v>
      </c>
      <c r="D1852" s="13" t="s">
        <v>12</v>
      </c>
      <c r="E1852" s="13">
        <v>1.95</v>
      </c>
      <c r="F1852" s="14">
        <v>435000</v>
      </c>
      <c r="G1852" s="9">
        <f t="shared" si="102"/>
        <v>848250</v>
      </c>
      <c r="H1852" s="10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26.25">
      <c r="A1853" s="5">
        <v>3</v>
      </c>
      <c r="B1853" s="17" t="s">
        <v>14</v>
      </c>
      <c r="C1853" s="10"/>
      <c r="D1853" s="10"/>
      <c r="E1853" s="10"/>
      <c r="F1853" s="10"/>
      <c r="G1853" s="18">
        <f t="shared" si="102"/>
        <v>0</v>
      </c>
      <c r="H1853" s="10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26.25">
      <c r="A1854" s="27" t="s">
        <v>15</v>
      </c>
      <c r="B1854" s="25"/>
      <c r="C1854" s="25"/>
      <c r="D1854" s="25"/>
      <c r="E1854" s="25"/>
      <c r="F1854" s="25"/>
      <c r="G1854" s="26"/>
      <c r="H1854" s="19">
        <f>SUM(G1851:G1853)</f>
        <v>1287750</v>
      </c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26.25">
      <c r="A1855" s="27" t="s">
        <v>16</v>
      </c>
      <c r="B1855" s="25"/>
      <c r="C1855" s="25"/>
      <c r="D1855" s="25"/>
      <c r="E1855" s="25"/>
      <c r="F1855" s="25"/>
      <c r="G1855" s="26"/>
      <c r="H1855" s="19">
        <f>MAX(0,H1854-648000)</f>
        <v>639750</v>
      </c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26.25">
      <c r="A1856" s="28" t="s">
        <v>17</v>
      </c>
      <c r="B1856" s="25"/>
      <c r="C1856" s="25"/>
      <c r="D1856" s="25"/>
      <c r="E1856" s="25"/>
      <c r="F1856" s="25"/>
      <c r="G1856" s="26"/>
      <c r="H1856" s="20">
        <v>649000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26.25">
      <c r="A1857" s="24"/>
      <c r="B1857" s="25"/>
      <c r="C1857" s="25"/>
      <c r="D1857" s="25"/>
      <c r="E1857" s="25"/>
      <c r="F1857" s="25"/>
      <c r="G1857" s="25"/>
      <c r="H1857" s="26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26.25">
      <c r="A1858" s="23"/>
      <c r="B1858" s="23"/>
      <c r="C1858" s="23"/>
      <c r="D1858" s="23"/>
      <c r="E1858" s="23"/>
      <c r="F1858" s="23"/>
      <c r="G1858" s="23"/>
      <c r="H1858" s="23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26.25">
      <c r="A1859" s="23"/>
      <c r="B1859" s="23"/>
      <c r="C1859" s="23"/>
      <c r="D1859" s="23"/>
      <c r="E1859" s="23"/>
      <c r="F1859" s="23"/>
      <c r="G1859" s="23"/>
      <c r="H1859" s="23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26.25">
      <c r="A1860" s="23"/>
      <c r="B1860" s="23"/>
      <c r="C1860" s="23"/>
      <c r="D1860" s="23"/>
      <c r="E1860" s="23"/>
      <c r="F1860" s="23"/>
      <c r="G1860" s="23"/>
      <c r="H1860" s="23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26.25">
      <c r="A1861" s="23"/>
      <c r="B1861" s="23"/>
      <c r="C1861" s="23"/>
      <c r="D1861" s="23"/>
      <c r="E1861" s="23"/>
      <c r="F1861" s="23"/>
      <c r="G1861" s="23"/>
      <c r="H1861" s="23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26.25">
      <c r="A1862" s="23"/>
      <c r="B1862" s="23"/>
      <c r="C1862" s="23"/>
      <c r="D1862" s="23"/>
      <c r="E1862" s="23"/>
      <c r="F1862" s="23"/>
      <c r="G1862" s="23"/>
      <c r="H1862" s="23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26.25">
      <c r="A1863" s="24" t="s">
        <v>0</v>
      </c>
      <c r="B1863" s="25"/>
      <c r="C1863" s="25"/>
      <c r="D1863" s="25"/>
      <c r="E1863" s="25"/>
      <c r="F1863" s="25"/>
      <c r="G1863" s="25"/>
      <c r="H1863" s="26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26.25">
      <c r="A1864" s="24" t="s">
        <v>470</v>
      </c>
      <c r="B1864" s="25"/>
      <c r="C1864" s="25"/>
      <c r="D1864" s="25"/>
      <c r="E1864" s="25"/>
      <c r="F1864" s="25"/>
      <c r="G1864" s="25"/>
      <c r="H1864" s="26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8.75">
      <c r="A1865" s="2" t="s">
        <v>458</v>
      </c>
      <c r="B1865" s="2" t="s">
        <v>3</v>
      </c>
      <c r="C1865" s="2" t="s">
        <v>4</v>
      </c>
      <c r="D1865" s="2" t="s">
        <v>5</v>
      </c>
      <c r="E1865" s="2" t="s">
        <v>6</v>
      </c>
      <c r="F1865" s="3" t="s">
        <v>7</v>
      </c>
      <c r="G1865" s="2" t="s">
        <v>8</v>
      </c>
      <c r="H1865" s="4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26.25">
      <c r="A1866" s="5">
        <v>1</v>
      </c>
      <c r="B1866" s="6" t="s">
        <v>29</v>
      </c>
      <c r="C1866" s="7" t="s">
        <v>471</v>
      </c>
      <c r="D1866" s="6" t="s">
        <v>127</v>
      </c>
      <c r="E1866" s="6">
        <v>2</v>
      </c>
      <c r="F1866" s="8">
        <v>293000</v>
      </c>
      <c r="G1866" s="9">
        <f t="shared" ref="G1866:G1868" si="103">IFERROR(E1866*F1866,0)</f>
        <v>586000</v>
      </c>
      <c r="H1866" s="10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26.25">
      <c r="A1867" s="5">
        <v>2</v>
      </c>
      <c r="B1867" s="13" t="s">
        <v>277</v>
      </c>
      <c r="C1867" s="12" t="s">
        <v>472</v>
      </c>
      <c r="D1867" s="13" t="s">
        <v>12</v>
      </c>
      <c r="E1867" s="13">
        <v>1.45</v>
      </c>
      <c r="F1867" s="14">
        <v>435000</v>
      </c>
      <c r="G1867" s="9">
        <f t="shared" si="103"/>
        <v>630750</v>
      </c>
      <c r="H1867" s="10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26.25">
      <c r="A1868" s="5">
        <v>3</v>
      </c>
      <c r="B1868" s="17" t="s">
        <v>14</v>
      </c>
      <c r="C1868" s="10"/>
      <c r="D1868" s="10"/>
      <c r="E1868" s="10"/>
      <c r="F1868" s="10"/>
      <c r="G1868" s="18">
        <f t="shared" si="103"/>
        <v>0</v>
      </c>
      <c r="H1868" s="10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26.25">
      <c r="A1869" s="27" t="s">
        <v>15</v>
      </c>
      <c r="B1869" s="25"/>
      <c r="C1869" s="25"/>
      <c r="D1869" s="25"/>
      <c r="E1869" s="25"/>
      <c r="F1869" s="25"/>
      <c r="G1869" s="26"/>
      <c r="H1869" s="19">
        <f>SUM(G1866:G1868)</f>
        <v>1216750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26.25">
      <c r="A1870" s="27" t="s">
        <v>16</v>
      </c>
      <c r="B1870" s="25"/>
      <c r="C1870" s="25"/>
      <c r="D1870" s="25"/>
      <c r="E1870" s="25"/>
      <c r="F1870" s="25"/>
      <c r="G1870" s="26"/>
      <c r="H1870" s="19">
        <f>MAX(0,H1869-648000)</f>
        <v>568750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26.25">
      <c r="A1871" s="28" t="s">
        <v>17</v>
      </c>
      <c r="B1871" s="25"/>
      <c r="C1871" s="25"/>
      <c r="D1871" s="25"/>
      <c r="E1871" s="25"/>
      <c r="F1871" s="25"/>
      <c r="G1871" s="26"/>
      <c r="H1871" s="20">
        <v>649000</v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6.25">
      <c r="A1872" s="24"/>
      <c r="B1872" s="25"/>
      <c r="C1872" s="25"/>
      <c r="D1872" s="25"/>
      <c r="E1872" s="25"/>
      <c r="F1872" s="25"/>
      <c r="G1872" s="25"/>
      <c r="H1872" s="26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26.25">
      <c r="A1873" s="23"/>
      <c r="B1873" s="23"/>
      <c r="C1873" s="23"/>
      <c r="D1873" s="23"/>
      <c r="E1873" s="23"/>
      <c r="F1873" s="23"/>
      <c r="G1873" s="23"/>
      <c r="H1873" s="23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26.25">
      <c r="A1874" s="23"/>
      <c r="B1874" s="23"/>
      <c r="C1874" s="23"/>
      <c r="D1874" s="23"/>
      <c r="E1874" s="23"/>
      <c r="F1874" s="23"/>
      <c r="G1874" s="23"/>
      <c r="H1874" s="2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26.25">
      <c r="A1875" s="23"/>
      <c r="B1875" s="23"/>
      <c r="C1875" s="23"/>
      <c r="D1875" s="23"/>
      <c r="E1875" s="23"/>
      <c r="F1875" s="23"/>
      <c r="G1875" s="23"/>
      <c r="H1875" s="23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26.25">
      <c r="A1876" s="23"/>
      <c r="B1876" s="23"/>
      <c r="C1876" s="23"/>
      <c r="D1876" s="23"/>
      <c r="E1876" s="23"/>
      <c r="F1876" s="23"/>
      <c r="G1876" s="23"/>
      <c r="H1876" s="23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26.25">
      <c r="A1877" s="23"/>
      <c r="B1877" s="23"/>
      <c r="C1877" s="23"/>
      <c r="D1877" s="23"/>
      <c r="E1877" s="23"/>
      <c r="F1877" s="23"/>
      <c r="G1877" s="23"/>
      <c r="H1877" s="2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26.25">
      <c r="A1878" s="23"/>
      <c r="B1878" s="23"/>
      <c r="C1878" s="23"/>
      <c r="D1878" s="23"/>
      <c r="E1878" s="23"/>
      <c r="F1878" s="23"/>
      <c r="G1878" s="23"/>
      <c r="H1878" s="23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26.25">
      <c r="A1879" s="23"/>
      <c r="B1879" s="23"/>
      <c r="C1879" s="23"/>
      <c r="D1879" s="23"/>
      <c r="E1879" s="23"/>
      <c r="F1879" s="23"/>
      <c r="G1879" s="23"/>
      <c r="H1879" s="23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26.25">
      <c r="A1880" s="23"/>
      <c r="B1880" s="23"/>
      <c r="C1880" s="23"/>
      <c r="D1880" s="23"/>
      <c r="E1880" s="23"/>
      <c r="F1880" s="23"/>
      <c r="G1880" s="23"/>
      <c r="H1880" s="23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26.25">
      <c r="A1881" s="24" t="s">
        <v>0</v>
      </c>
      <c r="B1881" s="25"/>
      <c r="C1881" s="25"/>
      <c r="D1881" s="25"/>
      <c r="E1881" s="25"/>
      <c r="F1881" s="25"/>
      <c r="G1881" s="25"/>
      <c r="H1881" s="26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26.25">
      <c r="A1882" s="24" t="s">
        <v>473</v>
      </c>
      <c r="B1882" s="25"/>
      <c r="C1882" s="25"/>
      <c r="D1882" s="25"/>
      <c r="E1882" s="25"/>
      <c r="F1882" s="25"/>
      <c r="G1882" s="25"/>
      <c r="H1882" s="26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8.75">
      <c r="A1883" s="2" t="s">
        <v>458</v>
      </c>
      <c r="B1883" s="2" t="s">
        <v>3</v>
      </c>
      <c r="C1883" s="2" t="s">
        <v>4</v>
      </c>
      <c r="D1883" s="2" t="s">
        <v>5</v>
      </c>
      <c r="E1883" s="2" t="s">
        <v>6</v>
      </c>
      <c r="F1883" s="3" t="s">
        <v>7</v>
      </c>
      <c r="G1883" s="2" t="s">
        <v>8</v>
      </c>
      <c r="H1883" s="4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26.25">
      <c r="A1884" s="5">
        <v>1</v>
      </c>
      <c r="B1884" s="6" t="s">
        <v>39</v>
      </c>
      <c r="C1884" s="7" t="s">
        <v>474</v>
      </c>
      <c r="D1884" s="6" t="s">
        <v>127</v>
      </c>
      <c r="E1884" s="6">
        <v>1.94</v>
      </c>
      <c r="F1884" s="8">
        <v>293000</v>
      </c>
      <c r="G1884" s="9">
        <f t="shared" ref="G1884:G1886" si="104">IFERROR(E1884*F1884,0)</f>
        <v>568420</v>
      </c>
      <c r="H1884" s="10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26.25">
      <c r="A1885" s="5">
        <v>2</v>
      </c>
      <c r="B1885" s="13" t="s">
        <v>329</v>
      </c>
      <c r="C1885" s="12" t="s">
        <v>475</v>
      </c>
      <c r="D1885" s="13" t="s">
        <v>12</v>
      </c>
      <c r="E1885" s="13">
        <v>1.48</v>
      </c>
      <c r="F1885" s="14">
        <v>435000</v>
      </c>
      <c r="G1885" s="9">
        <f t="shared" si="104"/>
        <v>643800</v>
      </c>
      <c r="H1885" s="10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26.25">
      <c r="A1886" s="5">
        <v>3</v>
      </c>
      <c r="B1886" s="17" t="s">
        <v>14</v>
      </c>
      <c r="C1886" s="10"/>
      <c r="D1886" s="10"/>
      <c r="E1886" s="10"/>
      <c r="F1886" s="10"/>
      <c r="G1886" s="18">
        <f t="shared" si="104"/>
        <v>0</v>
      </c>
      <c r="H1886" s="10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26.25">
      <c r="A1887" s="27" t="s">
        <v>15</v>
      </c>
      <c r="B1887" s="25"/>
      <c r="C1887" s="25"/>
      <c r="D1887" s="25"/>
      <c r="E1887" s="25"/>
      <c r="F1887" s="25"/>
      <c r="G1887" s="26"/>
      <c r="H1887" s="19">
        <f>SUM(G1884:G1886)</f>
        <v>1212220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26.25">
      <c r="A1888" s="27" t="s">
        <v>16</v>
      </c>
      <c r="B1888" s="25"/>
      <c r="C1888" s="25"/>
      <c r="D1888" s="25"/>
      <c r="E1888" s="25"/>
      <c r="F1888" s="25"/>
      <c r="G1888" s="26"/>
      <c r="H1888" s="19">
        <f>MAX(0,H1887-648000)</f>
        <v>564220</v>
      </c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26.25">
      <c r="A1889" s="28" t="s">
        <v>17</v>
      </c>
      <c r="B1889" s="25"/>
      <c r="C1889" s="25"/>
      <c r="D1889" s="25"/>
      <c r="E1889" s="25"/>
      <c r="F1889" s="25"/>
      <c r="G1889" s="26"/>
      <c r="H1889" s="20">
        <v>649000</v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26.25">
      <c r="A1890" s="24"/>
      <c r="B1890" s="25"/>
      <c r="C1890" s="25"/>
      <c r="D1890" s="25"/>
      <c r="E1890" s="25"/>
      <c r="F1890" s="25"/>
      <c r="G1890" s="25"/>
      <c r="H1890" s="26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26.25">
      <c r="A1891" s="23"/>
      <c r="B1891" s="23"/>
      <c r="C1891" s="23"/>
      <c r="D1891" s="23"/>
      <c r="E1891" s="23"/>
      <c r="F1891" s="23"/>
      <c r="G1891" s="23"/>
      <c r="H1891" s="2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26.25">
      <c r="A1892" s="23"/>
      <c r="B1892" s="23"/>
      <c r="C1892" s="23"/>
      <c r="D1892" s="23"/>
      <c r="E1892" s="23"/>
      <c r="F1892" s="23"/>
      <c r="G1892" s="23"/>
      <c r="H1892" s="23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26.25">
      <c r="A1893" s="23"/>
      <c r="B1893" s="23"/>
      <c r="C1893" s="23"/>
      <c r="D1893" s="23"/>
      <c r="E1893" s="23"/>
      <c r="F1893" s="23"/>
      <c r="G1893" s="23"/>
      <c r="H1893" s="23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26.25">
      <c r="A1894" s="23"/>
      <c r="B1894" s="23"/>
      <c r="C1894" s="23"/>
      <c r="D1894" s="23"/>
      <c r="E1894" s="23"/>
      <c r="F1894" s="23"/>
      <c r="G1894" s="23"/>
      <c r="H1894" s="23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26.25">
      <c r="A1895" s="23"/>
      <c r="B1895" s="23"/>
      <c r="C1895" s="23"/>
      <c r="D1895" s="23"/>
      <c r="E1895" s="23"/>
      <c r="F1895" s="23"/>
      <c r="G1895" s="23"/>
      <c r="H1895" s="23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26.25">
      <c r="A1896" s="23"/>
      <c r="B1896" s="23"/>
      <c r="C1896" s="23"/>
      <c r="D1896" s="23"/>
      <c r="E1896" s="23"/>
      <c r="F1896" s="23"/>
      <c r="G1896" s="23"/>
      <c r="H1896" s="23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26.25">
      <c r="A1897" s="24" t="s">
        <v>0</v>
      </c>
      <c r="B1897" s="25"/>
      <c r="C1897" s="25"/>
      <c r="D1897" s="25"/>
      <c r="E1897" s="25"/>
      <c r="F1897" s="25"/>
      <c r="G1897" s="25"/>
      <c r="H1897" s="26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26.25">
      <c r="A1898" s="24" t="s">
        <v>476</v>
      </c>
      <c r="B1898" s="25"/>
      <c r="C1898" s="25"/>
      <c r="D1898" s="25"/>
      <c r="E1898" s="25"/>
      <c r="F1898" s="25"/>
      <c r="G1898" s="25"/>
      <c r="H1898" s="26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8.75">
      <c r="A1899" s="2" t="s">
        <v>458</v>
      </c>
      <c r="B1899" s="2" t="s">
        <v>3</v>
      </c>
      <c r="C1899" s="2" t="s">
        <v>4</v>
      </c>
      <c r="D1899" s="2" t="s">
        <v>5</v>
      </c>
      <c r="E1899" s="2" t="s">
        <v>6</v>
      </c>
      <c r="F1899" s="3" t="s">
        <v>7</v>
      </c>
      <c r="G1899" s="2" t="s">
        <v>8</v>
      </c>
      <c r="H1899" s="4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26.25">
      <c r="A1900" s="5">
        <v>1</v>
      </c>
      <c r="B1900" s="6" t="s">
        <v>429</v>
      </c>
      <c r="C1900" s="7" t="s">
        <v>430</v>
      </c>
      <c r="D1900" s="6" t="s">
        <v>127</v>
      </c>
      <c r="E1900" s="6">
        <v>2</v>
      </c>
      <c r="F1900" s="8">
        <v>293000</v>
      </c>
      <c r="G1900" s="9">
        <f t="shared" ref="G1900:G1902" si="105">IFERROR(E1900*F1900,0)</f>
        <v>586000</v>
      </c>
      <c r="H1900" s="10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26.25">
      <c r="A1901" s="5">
        <v>2</v>
      </c>
      <c r="B1901" s="13" t="s">
        <v>477</v>
      </c>
      <c r="C1901" s="12" t="s">
        <v>478</v>
      </c>
      <c r="D1901" s="13" t="s">
        <v>12</v>
      </c>
      <c r="E1901" s="13">
        <v>1.45</v>
      </c>
      <c r="F1901" s="14">
        <v>435000</v>
      </c>
      <c r="G1901" s="9">
        <f t="shared" si="105"/>
        <v>630750</v>
      </c>
      <c r="H1901" s="10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6.25">
      <c r="A1902" s="5">
        <v>3</v>
      </c>
      <c r="B1902" s="17" t="s">
        <v>14</v>
      </c>
      <c r="C1902" s="10"/>
      <c r="D1902" s="10"/>
      <c r="E1902" s="10"/>
      <c r="F1902" s="10"/>
      <c r="G1902" s="18">
        <f t="shared" si="105"/>
        <v>0</v>
      </c>
      <c r="H1902" s="10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26.25">
      <c r="A1903" s="27" t="s">
        <v>15</v>
      </c>
      <c r="B1903" s="25"/>
      <c r="C1903" s="25"/>
      <c r="D1903" s="25"/>
      <c r="E1903" s="25"/>
      <c r="F1903" s="25"/>
      <c r="G1903" s="26"/>
      <c r="H1903" s="19">
        <f>SUM(G1900:G1902)</f>
        <v>1216750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26.25">
      <c r="A1904" s="27" t="s">
        <v>16</v>
      </c>
      <c r="B1904" s="25"/>
      <c r="C1904" s="25"/>
      <c r="D1904" s="25"/>
      <c r="E1904" s="25"/>
      <c r="F1904" s="25"/>
      <c r="G1904" s="26"/>
      <c r="H1904" s="19">
        <f>MAX(0,H1903-648000)</f>
        <v>568750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26.25">
      <c r="A1905" s="28" t="s">
        <v>17</v>
      </c>
      <c r="B1905" s="25"/>
      <c r="C1905" s="25"/>
      <c r="D1905" s="25"/>
      <c r="E1905" s="25"/>
      <c r="F1905" s="25"/>
      <c r="G1905" s="26"/>
      <c r="H1905" s="20">
        <v>649000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26.25">
      <c r="A1906" s="24"/>
      <c r="B1906" s="25"/>
      <c r="C1906" s="25"/>
      <c r="D1906" s="25"/>
      <c r="E1906" s="25"/>
      <c r="F1906" s="25"/>
      <c r="G1906" s="25"/>
      <c r="H1906" s="26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26.25">
      <c r="A1907" s="23"/>
      <c r="B1907" s="23"/>
      <c r="C1907" s="23"/>
      <c r="D1907" s="23"/>
      <c r="E1907" s="23"/>
      <c r="F1907" s="23"/>
      <c r="G1907" s="23"/>
      <c r="H1907" s="23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26.25">
      <c r="A1908" s="23"/>
      <c r="B1908" s="23"/>
      <c r="C1908" s="23"/>
      <c r="D1908" s="23"/>
      <c r="E1908" s="23"/>
      <c r="F1908" s="23"/>
      <c r="G1908" s="23"/>
      <c r="H1908" s="23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26.25">
      <c r="A1909" s="23"/>
      <c r="B1909" s="23"/>
      <c r="C1909" s="23"/>
      <c r="D1909" s="23"/>
      <c r="E1909" s="23"/>
      <c r="F1909" s="23"/>
      <c r="G1909" s="23"/>
      <c r="H1909" s="23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26.25">
      <c r="A1910" s="23"/>
      <c r="B1910" s="23"/>
      <c r="C1910" s="23"/>
      <c r="D1910" s="23"/>
      <c r="E1910" s="23"/>
      <c r="F1910" s="23"/>
      <c r="G1910" s="23"/>
      <c r="H1910" s="23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26.25">
      <c r="A1911" s="23"/>
      <c r="B1911" s="23"/>
      <c r="C1911" s="23"/>
      <c r="D1911" s="23"/>
      <c r="E1911" s="23"/>
      <c r="F1911" s="23"/>
      <c r="G1911" s="23"/>
      <c r="H1911" s="23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26.25">
      <c r="A1912" s="23"/>
      <c r="B1912" s="23"/>
      <c r="C1912" s="23"/>
      <c r="D1912" s="23"/>
      <c r="E1912" s="23"/>
      <c r="F1912" s="23"/>
      <c r="G1912" s="23"/>
      <c r="H1912" s="23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26.25">
      <c r="A1913" s="24" t="s">
        <v>0</v>
      </c>
      <c r="B1913" s="25"/>
      <c r="C1913" s="25"/>
      <c r="D1913" s="25"/>
      <c r="E1913" s="25"/>
      <c r="F1913" s="25"/>
      <c r="G1913" s="25"/>
      <c r="H1913" s="26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26.25">
      <c r="A1914" s="24" t="s">
        <v>479</v>
      </c>
      <c r="B1914" s="25"/>
      <c r="C1914" s="25"/>
      <c r="D1914" s="25"/>
      <c r="E1914" s="25"/>
      <c r="F1914" s="25"/>
      <c r="G1914" s="25"/>
      <c r="H1914" s="26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8.75">
      <c r="A1915" s="2" t="s">
        <v>458</v>
      </c>
      <c r="B1915" s="2" t="s">
        <v>3</v>
      </c>
      <c r="C1915" s="2" t="s">
        <v>4</v>
      </c>
      <c r="D1915" s="2" t="s">
        <v>5</v>
      </c>
      <c r="E1915" s="2" t="s">
        <v>6</v>
      </c>
      <c r="F1915" s="3" t="s">
        <v>7</v>
      </c>
      <c r="G1915" s="2" t="s">
        <v>8</v>
      </c>
      <c r="H1915" s="4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26.25">
      <c r="A1916" s="5">
        <v>1</v>
      </c>
      <c r="B1916" s="6" t="s">
        <v>175</v>
      </c>
      <c r="C1916" s="7" t="s">
        <v>480</v>
      </c>
      <c r="D1916" s="6" t="s">
        <v>127</v>
      </c>
      <c r="E1916" s="6">
        <v>1.45</v>
      </c>
      <c r="F1916" s="8">
        <v>293000</v>
      </c>
      <c r="G1916" s="9">
        <f t="shared" ref="G1916:G1918" si="106">IFERROR(E1916*F1916,0)</f>
        <v>424850</v>
      </c>
      <c r="H1916" s="10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26.25">
      <c r="A1917" s="5">
        <v>2</v>
      </c>
      <c r="B1917" s="13" t="s">
        <v>291</v>
      </c>
      <c r="C1917" s="12" t="s">
        <v>481</v>
      </c>
      <c r="D1917" s="13" t="s">
        <v>12</v>
      </c>
      <c r="E1917" s="13">
        <v>1.77</v>
      </c>
      <c r="F1917" s="14">
        <v>435000</v>
      </c>
      <c r="G1917" s="9">
        <f t="shared" si="106"/>
        <v>769950</v>
      </c>
      <c r="H1917" s="10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26.25">
      <c r="A1918" s="5">
        <v>3</v>
      </c>
      <c r="B1918" s="17" t="s">
        <v>14</v>
      </c>
      <c r="C1918" s="10"/>
      <c r="D1918" s="10"/>
      <c r="E1918" s="10"/>
      <c r="F1918" s="10"/>
      <c r="G1918" s="18">
        <f t="shared" si="106"/>
        <v>0</v>
      </c>
      <c r="H1918" s="10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26.25">
      <c r="A1919" s="27" t="s">
        <v>15</v>
      </c>
      <c r="B1919" s="25"/>
      <c r="C1919" s="25"/>
      <c r="D1919" s="25"/>
      <c r="E1919" s="25"/>
      <c r="F1919" s="25"/>
      <c r="G1919" s="26"/>
      <c r="H1919" s="19">
        <f>SUM(G1916:G1918)</f>
        <v>1194800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26.25">
      <c r="A1920" s="27" t="s">
        <v>16</v>
      </c>
      <c r="B1920" s="25"/>
      <c r="C1920" s="25"/>
      <c r="D1920" s="25"/>
      <c r="E1920" s="25"/>
      <c r="F1920" s="25"/>
      <c r="G1920" s="26"/>
      <c r="H1920" s="19">
        <f>MAX(0,H1919-648000)</f>
        <v>546800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26.25">
      <c r="A1921" s="28" t="s">
        <v>17</v>
      </c>
      <c r="B1921" s="25"/>
      <c r="C1921" s="25"/>
      <c r="D1921" s="25"/>
      <c r="E1921" s="25"/>
      <c r="F1921" s="25"/>
      <c r="G1921" s="26"/>
      <c r="H1921" s="20">
        <v>649000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26.25">
      <c r="A1922" s="24"/>
      <c r="B1922" s="25"/>
      <c r="C1922" s="25"/>
      <c r="D1922" s="25"/>
      <c r="E1922" s="25"/>
      <c r="F1922" s="25"/>
      <c r="G1922" s="25"/>
      <c r="H1922" s="26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26.25">
      <c r="A1923" s="23"/>
      <c r="B1923" s="23"/>
      <c r="C1923" s="23"/>
      <c r="D1923" s="23"/>
      <c r="E1923" s="23"/>
      <c r="F1923" s="23"/>
      <c r="G1923" s="23"/>
      <c r="H1923" s="23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26.25">
      <c r="A1924" s="23"/>
      <c r="B1924" s="23"/>
      <c r="C1924" s="23"/>
      <c r="D1924" s="23"/>
      <c r="E1924" s="23"/>
      <c r="F1924" s="23"/>
      <c r="G1924" s="23"/>
      <c r="H1924" s="23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26.25">
      <c r="A1925" s="23"/>
      <c r="B1925" s="23"/>
      <c r="C1925" s="23"/>
      <c r="D1925" s="23"/>
      <c r="E1925" s="23"/>
      <c r="F1925" s="23"/>
      <c r="G1925" s="23"/>
      <c r="H1925" s="23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26.25">
      <c r="A1926" s="23"/>
      <c r="B1926" s="23"/>
      <c r="C1926" s="23"/>
      <c r="D1926" s="23"/>
      <c r="E1926" s="23"/>
      <c r="F1926" s="23"/>
      <c r="G1926" s="23"/>
      <c r="H1926" s="23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26.25">
      <c r="A1927" s="23"/>
      <c r="B1927" s="23"/>
      <c r="C1927" s="23"/>
      <c r="D1927" s="23"/>
      <c r="E1927" s="23"/>
      <c r="F1927" s="23"/>
      <c r="G1927" s="23"/>
      <c r="H1927" s="23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26.25">
      <c r="A1928" s="24" t="s">
        <v>0</v>
      </c>
      <c r="B1928" s="25"/>
      <c r="C1928" s="25"/>
      <c r="D1928" s="25"/>
      <c r="E1928" s="25"/>
      <c r="F1928" s="25"/>
      <c r="G1928" s="25"/>
      <c r="H1928" s="26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26.25">
      <c r="A1929" s="24" t="s">
        <v>482</v>
      </c>
      <c r="B1929" s="25"/>
      <c r="C1929" s="25"/>
      <c r="D1929" s="25"/>
      <c r="E1929" s="25"/>
      <c r="F1929" s="25"/>
      <c r="G1929" s="25"/>
      <c r="H1929" s="26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8.75">
      <c r="A1930" s="2" t="s">
        <v>458</v>
      </c>
      <c r="B1930" s="2" t="s">
        <v>3</v>
      </c>
      <c r="C1930" s="2" t="s">
        <v>4</v>
      </c>
      <c r="D1930" s="2" t="s">
        <v>5</v>
      </c>
      <c r="E1930" s="2" t="s">
        <v>6</v>
      </c>
      <c r="F1930" s="3" t="s">
        <v>7</v>
      </c>
      <c r="G1930" s="2" t="s">
        <v>8</v>
      </c>
      <c r="H1930" s="4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26.25">
      <c r="A1931" s="5">
        <v>1</v>
      </c>
      <c r="B1931" s="6" t="s">
        <v>31</v>
      </c>
      <c r="C1931" s="7" t="s">
        <v>483</v>
      </c>
      <c r="D1931" s="6" t="s">
        <v>127</v>
      </c>
      <c r="E1931" s="6">
        <v>1.45</v>
      </c>
      <c r="F1931" s="8">
        <v>293000</v>
      </c>
      <c r="G1931" s="9">
        <f t="shared" ref="G1931:G1933" si="107">IFERROR(E1931*F1931,0)</f>
        <v>424850</v>
      </c>
      <c r="H1931" s="10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26.25">
      <c r="A1932" s="5">
        <v>2</v>
      </c>
      <c r="B1932" s="13" t="s">
        <v>285</v>
      </c>
      <c r="C1932" s="12" t="s">
        <v>484</v>
      </c>
      <c r="D1932" s="13" t="s">
        <v>12</v>
      </c>
      <c r="E1932" s="13">
        <v>2</v>
      </c>
      <c r="F1932" s="14">
        <v>435000</v>
      </c>
      <c r="G1932" s="9">
        <f t="shared" si="107"/>
        <v>870000</v>
      </c>
      <c r="H1932" s="10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26.25">
      <c r="A1933" s="5">
        <v>3</v>
      </c>
      <c r="B1933" s="17" t="s">
        <v>14</v>
      </c>
      <c r="C1933" s="10"/>
      <c r="D1933" s="10"/>
      <c r="E1933" s="10"/>
      <c r="F1933" s="10"/>
      <c r="G1933" s="18">
        <f t="shared" si="107"/>
        <v>0</v>
      </c>
      <c r="H1933" s="10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26.25">
      <c r="A1934" s="27" t="s">
        <v>15</v>
      </c>
      <c r="B1934" s="25"/>
      <c r="C1934" s="25"/>
      <c r="D1934" s="25"/>
      <c r="E1934" s="25"/>
      <c r="F1934" s="25"/>
      <c r="G1934" s="26"/>
      <c r="H1934" s="19">
        <f>SUM(G1931:G1933)</f>
        <v>1294850</v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26.25">
      <c r="A1935" s="27" t="s">
        <v>16</v>
      </c>
      <c r="B1935" s="25"/>
      <c r="C1935" s="25"/>
      <c r="D1935" s="25"/>
      <c r="E1935" s="25"/>
      <c r="F1935" s="25"/>
      <c r="G1935" s="26"/>
      <c r="H1935" s="19">
        <f>MAX(0,H1934-648000)</f>
        <v>646850</v>
      </c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26.25">
      <c r="A1936" s="28" t="s">
        <v>17</v>
      </c>
      <c r="B1936" s="25"/>
      <c r="C1936" s="25"/>
      <c r="D1936" s="25"/>
      <c r="E1936" s="25"/>
      <c r="F1936" s="25"/>
      <c r="G1936" s="26"/>
      <c r="H1936" s="20">
        <v>649000</v>
      </c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26.25">
      <c r="A1937" s="24"/>
      <c r="B1937" s="25"/>
      <c r="C1937" s="25"/>
      <c r="D1937" s="25"/>
      <c r="E1937" s="25"/>
      <c r="F1937" s="25"/>
      <c r="G1937" s="25"/>
      <c r="H1937" s="26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26.25">
      <c r="A1938" s="23"/>
      <c r="B1938" s="23"/>
      <c r="C1938" s="23"/>
      <c r="D1938" s="23"/>
      <c r="E1938" s="23"/>
      <c r="F1938" s="23"/>
      <c r="G1938" s="23"/>
      <c r="H1938" s="23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26.25">
      <c r="A1939" s="23"/>
      <c r="B1939" s="23"/>
      <c r="C1939" s="23"/>
      <c r="D1939" s="23"/>
      <c r="E1939" s="23"/>
      <c r="F1939" s="23"/>
      <c r="G1939" s="23"/>
      <c r="H1939" s="23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26.25">
      <c r="A1940" s="23"/>
      <c r="B1940" s="23"/>
      <c r="C1940" s="23"/>
      <c r="D1940" s="23"/>
      <c r="E1940" s="23"/>
      <c r="F1940" s="23"/>
      <c r="G1940" s="23"/>
      <c r="H1940" s="23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26.25">
      <c r="A1941" s="23"/>
      <c r="B1941" s="23"/>
      <c r="C1941" s="23"/>
      <c r="D1941" s="23"/>
      <c r="E1941" s="23"/>
      <c r="F1941" s="23"/>
      <c r="G1941" s="23"/>
      <c r="H1941" s="23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26.25">
      <c r="A1942" s="23"/>
      <c r="B1942" s="23"/>
      <c r="C1942" s="23"/>
      <c r="D1942" s="23"/>
      <c r="E1942" s="23"/>
      <c r="F1942" s="23"/>
      <c r="G1942" s="23"/>
      <c r="H1942" s="2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26.25">
      <c r="A1943" s="24" t="s">
        <v>0</v>
      </c>
      <c r="B1943" s="25"/>
      <c r="C1943" s="25"/>
      <c r="D1943" s="25"/>
      <c r="E1943" s="25"/>
      <c r="F1943" s="25"/>
      <c r="G1943" s="25"/>
      <c r="H1943" s="26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26.25">
      <c r="A1944" s="24" t="s">
        <v>485</v>
      </c>
      <c r="B1944" s="25"/>
      <c r="C1944" s="25"/>
      <c r="D1944" s="25"/>
      <c r="E1944" s="25"/>
      <c r="F1944" s="25"/>
      <c r="G1944" s="25"/>
      <c r="H1944" s="26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8.75">
      <c r="A1945" s="2" t="s">
        <v>458</v>
      </c>
      <c r="B1945" s="2" t="s">
        <v>3</v>
      </c>
      <c r="C1945" s="2" t="s">
        <v>4</v>
      </c>
      <c r="D1945" s="2" t="s">
        <v>5</v>
      </c>
      <c r="E1945" s="2" t="s">
        <v>6</v>
      </c>
      <c r="F1945" s="3" t="s">
        <v>7</v>
      </c>
      <c r="G1945" s="2" t="s">
        <v>8</v>
      </c>
      <c r="H1945" s="4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26.25">
      <c r="A1946" s="5">
        <v>1</v>
      </c>
      <c r="B1946" s="6" t="s">
        <v>211</v>
      </c>
      <c r="C1946" s="7" t="s">
        <v>486</v>
      </c>
      <c r="D1946" s="6" t="s">
        <v>127</v>
      </c>
      <c r="E1946" s="6">
        <v>1</v>
      </c>
      <c r="F1946" s="8">
        <v>293000</v>
      </c>
      <c r="G1946" s="9">
        <f t="shared" ref="G1946:G1948" si="108">IFERROR(E1946*F1946,0)</f>
        <v>293000</v>
      </c>
      <c r="H1946" s="10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26.25">
      <c r="A1947" s="5">
        <v>2</v>
      </c>
      <c r="B1947" s="13" t="s">
        <v>487</v>
      </c>
      <c r="C1947" s="12" t="s">
        <v>447</v>
      </c>
      <c r="D1947" s="13" t="s">
        <v>12</v>
      </c>
      <c r="E1947" s="13">
        <v>2.4300000000000002</v>
      </c>
      <c r="F1947" s="14">
        <v>435000</v>
      </c>
      <c r="G1947" s="9">
        <f t="shared" si="108"/>
        <v>1057050</v>
      </c>
      <c r="H1947" s="10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26.25">
      <c r="A1948" s="5">
        <v>3</v>
      </c>
      <c r="B1948" s="17" t="s">
        <v>14</v>
      </c>
      <c r="C1948" s="10"/>
      <c r="D1948" s="10"/>
      <c r="E1948" s="10"/>
      <c r="F1948" s="10"/>
      <c r="G1948" s="18">
        <f t="shared" si="108"/>
        <v>0</v>
      </c>
      <c r="H1948" s="10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26.25">
      <c r="A1949" s="27" t="s">
        <v>15</v>
      </c>
      <c r="B1949" s="25"/>
      <c r="C1949" s="25"/>
      <c r="D1949" s="25"/>
      <c r="E1949" s="25"/>
      <c r="F1949" s="25"/>
      <c r="G1949" s="26"/>
      <c r="H1949" s="19">
        <f>SUM(G1946:G1948)</f>
        <v>1350050</v>
      </c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6.25">
      <c r="A1950" s="27" t="s">
        <v>16</v>
      </c>
      <c r="B1950" s="25"/>
      <c r="C1950" s="25"/>
      <c r="D1950" s="25"/>
      <c r="E1950" s="25"/>
      <c r="F1950" s="25"/>
      <c r="G1950" s="26"/>
      <c r="H1950" s="19">
        <f>MAX(0,H1949-648000)</f>
        <v>702050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26.25">
      <c r="A1951" s="28" t="s">
        <v>17</v>
      </c>
      <c r="B1951" s="25"/>
      <c r="C1951" s="25"/>
      <c r="D1951" s="25"/>
      <c r="E1951" s="25"/>
      <c r="F1951" s="25"/>
      <c r="G1951" s="26"/>
      <c r="H1951" s="20">
        <v>649000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26.25">
      <c r="A1952" s="24"/>
      <c r="B1952" s="25"/>
      <c r="C1952" s="25"/>
      <c r="D1952" s="25"/>
      <c r="E1952" s="25"/>
      <c r="F1952" s="25"/>
      <c r="G1952" s="25"/>
      <c r="H1952" s="26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26.25">
      <c r="A1953" s="23"/>
      <c r="B1953" s="23"/>
      <c r="C1953" s="23"/>
      <c r="D1953" s="23"/>
      <c r="E1953" s="23"/>
      <c r="F1953" s="23"/>
      <c r="G1953" s="23"/>
      <c r="H1953" s="23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26.25">
      <c r="A1954" s="23"/>
      <c r="B1954" s="23"/>
      <c r="C1954" s="23"/>
      <c r="D1954" s="23"/>
      <c r="E1954" s="23"/>
      <c r="F1954" s="23"/>
      <c r="G1954" s="23"/>
      <c r="H1954" s="23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26.25">
      <c r="A1955" s="23"/>
      <c r="B1955" s="23"/>
      <c r="C1955" s="23"/>
      <c r="D1955" s="23"/>
      <c r="E1955" s="23"/>
      <c r="F1955" s="23"/>
      <c r="G1955" s="23"/>
      <c r="H1955" s="23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26.25">
      <c r="A1956" s="23"/>
      <c r="B1956" s="23"/>
      <c r="C1956" s="23"/>
      <c r="D1956" s="23"/>
      <c r="E1956" s="23"/>
      <c r="F1956" s="23"/>
      <c r="G1956" s="23"/>
      <c r="H1956" s="2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26.25">
      <c r="A1957" s="23"/>
      <c r="B1957" s="23"/>
      <c r="C1957" s="23"/>
      <c r="D1957" s="23"/>
      <c r="E1957" s="23"/>
      <c r="F1957" s="23"/>
      <c r="G1957" s="23"/>
      <c r="H1957" s="23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26.25">
      <c r="A1958" s="24" t="s">
        <v>0</v>
      </c>
      <c r="B1958" s="25"/>
      <c r="C1958" s="25"/>
      <c r="D1958" s="25"/>
      <c r="E1958" s="25"/>
      <c r="F1958" s="25"/>
      <c r="G1958" s="25"/>
      <c r="H1958" s="26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26.25">
      <c r="A1959" s="24" t="s">
        <v>488</v>
      </c>
      <c r="B1959" s="25"/>
      <c r="C1959" s="25"/>
      <c r="D1959" s="25"/>
      <c r="E1959" s="25"/>
      <c r="F1959" s="25"/>
      <c r="G1959" s="25"/>
      <c r="H1959" s="26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8.75">
      <c r="A1960" s="2" t="s">
        <v>2</v>
      </c>
      <c r="B1960" s="2" t="s">
        <v>3</v>
      </c>
      <c r="C1960" s="2" t="s">
        <v>4</v>
      </c>
      <c r="D1960" s="2" t="s">
        <v>5</v>
      </c>
      <c r="E1960" s="2" t="s">
        <v>6</v>
      </c>
      <c r="F1960" s="3" t="s">
        <v>7</v>
      </c>
      <c r="G1960" s="2" t="s">
        <v>8</v>
      </c>
      <c r="H1960" s="4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26.25">
      <c r="A1961" s="5">
        <v>1</v>
      </c>
      <c r="B1961" s="6" t="s">
        <v>200</v>
      </c>
      <c r="C1961" s="7" t="s">
        <v>489</v>
      </c>
      <c r="D1961" s="6" t="s">
        <v>10</v>
      </c>
      <c r="E1961" s="6">
        <v>0.9</v>
      </c>
      <c r="F1961" s="8">
        <v>293000</v>
      </c>
      <c r="G1961" s="9">
        <f t="shared" ref="G1961:G1964" si="109">IFERROR(E1961*F1961,0)</f>
        <v>263700</v>
      </c>
      <c r="H1961" s="10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26.25">
      <c r="A1962" s="5">
        <v>2</v>
      </c>
      <c r="B1962" s="13" t="s">
        <v>490</v>
      </c>
      <c r="C1962" s="12" t="s">
        <v>124</v>
      </c>
      <c r="D1962" s="13" t="s">
        <v>12</v>
      </c>
      <c r="E1962" s="13">
        <v>1.5</v>
      </c>
      <c r="F1962" s="14">
        <v>435000</v>
      </c>
      <c r="G1962" s="9">
        <f t="shared" si="109"/>
        <v>652500</v>
      </c>
      <c r="H1962" s="10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26.25">
      <c r="A1963" s="5">
        <v>3</v>
      </c>
      <c r="B1963" s="6" t="s">
        <v>491</v>
      </c>
      <c r="C1963" s="16" t="s">
        <v>492</v>
      </c>
      <c r="D1963" s="6" t="s">
        <v>10</v>
      </c>
      <c r="E1963" s="6">
        <v>1.5</v>
      </c>
      <c r="F1963" s="8">
        <v>293000</v>
      </c>
      <c r="G1963" s="9">
        <f t="shared" si="109"/>
        <v>439500</v>
      </c>
      <c r="H1963" s="10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26.25">
      <c r="A1964" s="5">
        <v>4</v>
      </c>
      <c r="B1964" s="17" t="s">
        <v>14</v>
      </c>
      <c r="C1964" s="10"/>
      <c r="D1964" s="10"/>
      <c r="E1964" s="10"/>
      <c r="F1964" s="10"/>
      <c r="G1964" s="18">
        <f t="shared" si="109"/>
        <v>0</v>
      </c>
      <c r="H1964" s="10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26.25">
      <c r="A1965" s="27" t="s">
        <v>15</v>
      </c>
      <c r="B1965" s="25"/>
      <c r="C1965" s="25"/>
      <c r="D1965" s="25"/>
      <c r="E1965" s="25"/>
      <c r="F1965" s="25"/>
      <c r="G1965" s="26"/>
      <c r="H1965" s="19">
        <f>SUM(G1961:G1964)</f>
        <v>1355700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26.25">
      <c r="A1966" s="27" t="s">
        <v>16</v>
      </c>
      <c r="B1966" s="25"/>
      <c r="C1966" s="25"/>
      <c r="D1966" s="25"/>
      <c r="E1966" s="25"/>
      <c r="F1966" s="25"/>
      <c r="G1966" s="26"/>
      <c r="H1966" s="19">
        <f>MAX(0,H1965-648000)</f>
        <v>707700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26.25">
      <c r="A1967" s="28" t="s">
        <v>17</v>
      </c>
      <c r="B1967" s="25"/>
      <c r="C1967" s="25"/>
      <c r="D1967" s="25"/>
      <c r="E1967" s="25"/>
      <c r="F1967" s="25"/>
      <c r="G1967" s="26"/>
      <c r="H1967" s="20">
        <v>649000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26.25">
      <c r="A1968" s="24"/>
      <c r="B1968" s="25"/>
      <c r="C1968" s="25"/>
      <c r="D1968" s="25"/>
      <c r="E1968" s="25"/>
      <c r="F1968" s="25"/>
      <c r="G1968" s="25"/>
      <c r="H1968" s="26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26.25">
      <c r="A1969" s="23"/>
      <c r="B1969" s="23"/>
      <c r="C1969" s="23"/>
      <c r="D1969" s="23"/>
      <c r="E1969" s="23"/>
      <c r="F1969" s="23"/>
      <c r="G1969" s="23"/>
      <c r="H1969" s="23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26.25">
      <c r="A1970" s="23"/>
      <c r="B1970" s="23"/>
      <c r="C1970" s="23"/>
      <c r="D1970" s="23"/>
      <c r="E1970" s="23"/>
      <c r="F1970" s="23"/>
      <c r="G1970" s="23"/>
      <c r="H1970" s="23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26.25">
      <c r="A1971" s="23"/>
      <c r="B1971" s="23"/>
      <c r="C1971" s="23"/>
      <c r="D1971" s="23"/>
      <c r="E1971" s="23"/>
      <c r="F1971" s="23"/>
      <c r="G1971" s="23"/>
      <c r="H1971" s="23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26.25">
      <c r="A1972" s="23"/>
      <c r="B1972" s="23"/>
      <c r="C1972" s="23"/>
      <c r="D1972" s="23"/>
      <c r="E1972" s="23"/>
      <c r="F1972" s="23"/>
      <c r="G1972" s="23"/>
      <c r="H1972" s="23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26.25">
      <c r="A1973" s="23"/>
      <c r="B1973" s="23"/>
      <c r="C1973" s="23"/>
      <c r="D1973" s="23"/>
      <c r="E1973" s="23"/>
      <c r="F1973" s="23"/>
      <c r="G1973" s="23"/>
      <c r="H1973" s="23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26.25">
      <c r="A1974" s="24" t="s">
        <v>0</v>
      </c>
      <c r="B1974" s="25"/>
      <c r="C1974" s="25"/>
      <c r="D1974" s="25"/>
      <c r="E1974" s="25"/>
      <c r="F1974" s="25"/>
      <c r="G1974" s="25"/>
      <c r="H1974" s="26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26.25">
      <c r="A1975" s="24" t="s">
        <v>493</v>
      </c>
      <c r="B1975" s="25"/>
      <c r="C1975" s="25"/>
      <c r="D1975" s="25"/>
      <c r="E1975" s="25"/>
      <c r="F1975" s="25"/>
      <c r="G1975" s="25"/>
      <c r="H1975" s="26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8.75">
      <c r="A1976" s="2" t="s">
        <v>2</v>
      </c>
      <c r="B1976" s="2" t="s">
        <v>3</v>
      </c>
      <c r="C1976" s="2" t="s">
        <v>4</v>
      </c>
      <c r="D1976" s="2" t="s">
        <v>5</v>
      </c>
      <c r="E1976" s="2" t="s">
        <v>6</v>
      </c>
      <c r="F1976" s="3" t="s">
        <v>7</v>
      </c>
      <c r="G1976" s="2" t="s">
        <v>8</v>
      </c>
      <c r="H1976" s="4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26.25">
      <c r="A1977" s="5">
        <v>1</v>
      </c>
      <c r="B1977" s="6" t="s">
        <v>106</v>
      </c>
      <c r="C1977" s="7" t="s">
        <v>494</v>
      </c>
      <c r="D1977" s="6" t="s">
        <v>10</v>
      </c>
      <c r="E1977" s="6">
        <v>0.94</v>
      </c>
      <c r="F1977" s="8">
        <v>293000</v>
      </c>
      <c r="G1977" s="9">
        <f t="shared" ref="G1977:G1980" si="110">IFERROR(E1977*F1977,0)</f>
        <v>275420</v>
      </c>
      <c r="H1977" s="10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26.25">
      <c r="A1978" s="5">
        <v>2</v>
      </c>
      <c r="B1978" s="13" t="s">
        <v>206</v>
      </c>
      <c r="C1978" s="12" t="s">
        <v>224</v>
      </c>
      <c r="D1978" s="13" t="s">
        <v>12</v>
      </c>
      <c r="E1978" s="13">
        <v>1.65</v>
      </c>
      <c r="F1978" s="14">
        <v>435000</v>
      </c>
      <c r="G1978" s="9">
        <f t="shared" si="110"/>
        <v>717750</v>
      </c>
      <c r="H1978" s="10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26.25">
      <c r="A1979" s="5">
        <v>3</v>
      </c>
      <c r="B1979" s="6" t="s">
        <v>68</v>
      </c>
      <c r="C1979" s="16" t="s">
        <v>495</v>
      </c>
      <c r="D1979" s="6" t="s">
        <v>10</v>
      </c>
      <c r="E1979" s="6">
        <v>1.22</v>
      </c>
      <c r="F1979" s="8">
        <v>293000</v>
      </c>
      <c r="G1979" s="9">
        <f t="shared" si="110"/>
        <v>357460</v>
      </c>
      <c r="H1979" s="10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26.25">
      <c r="A1980" s="5">
        <v>4</v>
      </c>
      <c r="B1980" s="17" t="s">
        <v>14</v>
      </c>
      <c r="C1980" s="10"/>
      <c r="D1980" s="10"/>
      <c r="E1980" s="10"/>
      <c r="F1980" s="10"/>
      <c r="G1980" s="18">
        <f t="shared" si="110"/>
        <v>0</v>
      </c>
      <c r="H1980" s="10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26.25">
      <c r="A1981" s="27" t="s">
        <v>15</v>
      </c>
      <c r="B1981" s="25"/>
      <c r="C1981" s="25"/>
      <c r="D1981" s="25"/>
      <c r="E1981" s="25"/>
      <c r="F1981" s="25"/>
      <c r="G1981" s="26"/>
      <c r="H1981" s="19">
        <f>SUM(G1977:G1980)</f>
        <v>1350630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26.25">
      <c r="A1982" s="27" t="s">
        <v>16</v>
      </c>
      <c r="B1982" s="25"/>
      <c r="C1982" s="25"/>
      <c r="D1982" s="25"/>
      <c r="E1982" s="25"/>
      <c r="F1982" s="25"/>
      <c r="G1982" s="26"/>
      <c r="H1982" s="19">
        <f>MAX(0,H1981-648000)</f>
        <v>702630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26.25">
      <c r="A1983" s="28" t="s">
        <v>17</v>
      </c>
      <c r="B1983" s="25"/>
      <c r="C1983" s="25"/>
      <c r="D1983" s="25"/>
      <c r="E1983" s="25"/>
      <c r="F1983" s="25"/>
      <c r="G1983" s="26"/>
      <c r="H1983" s="20">
        <v>649000</v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26.25">
      <c r="A1984" s="24"/>
      <c r="B1984" s="25"/>
      <c r="C1984" s="25"/>
      <c r="D1984" s="25"/>
      <c r="E1984" s="25"/>
      <c r="F1984" s="25"/>
      <c r="G1984" s="25"/>
      <c r="H1984" s="26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26.25">
      <c r="A1985" s="23"/>
      <c r="B1985" s="23"/>
      <c r="C1985" s="23"/>
      <c r="D1985" s="23"/>
      <c r="E1985" s="23"/>
      <c r="F1985" s="23"/>
      <c r="G1985" s="23"/>
      <c r="H1985" s="23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26.25">
      <c r="A1986" s="23"/>
      <c r="B1986" s="23"/>
      <c r="C1986" s="23"/>
      <c r="D1986" s="23"/>
      <c r="E1986" s="23"/>
      <c r="F1986" s="23"/>
      <c r="G1986" s="23"/>
      <c r="H1986" s="23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26.25">
      <c r="A1987" s="23"/>
      <c r="B1987" s="23"/>
      <c r="C1987" s="23"/>
      <c r="D1987" s="23"/>
      <c r="E1987" s="23"/>
      <c r="F1987" s="23"/>
      <c r="G1987" s="23"/>
      <c r="H1987" s="23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26.25">
      <c r="A1988" s="23"/>
      <c r="B1988" s="23"/>
      <c r="C1988" s="23"/>
      <c r="D1988" s="23"/>
      <c r="E1988" s="23"/>
      <c r="F1988" s="23"/>
      <c r="G1988" s="23"/>
      <c r="H1988" s="23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26.25">
      <c r="A1989" s="23"/>
      <c r="B1989" s="23"/>
      <c r="C1989" s="23"/>
      <c r="D1989" s="23"/>
      <c r="E1989" s="23"/>
      <c r="F1989" s="23"/>
      <c r="G1989" s="23"/>
      <c r="H1989" s="23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26.25">
      <c r="A1990" s="23"/>
      <c r="B1990" s="23"/>
      <c r="C1990" s="23"/>
      <c r="D1990" s="23"/>
      <c r="E1990" s="23"/>
      <c r="F1990" s="23"/>
      <c r="G1990" s="23"/>
      <c r="H1990" s="23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26.25">
      <c r="A1991" s="23"/>
      <c r="B1991" s="23"/>
      <c r="C1991" s="23"/>
      <c r="D1991" s="23"/>
      <c r="E1991" s="23"/>
      <c r="F1991" s="23"/>
      <c r="G1991" s="23"/>
      <c r="H1991" s="23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26.25">
      <c r="A1992" s="24" t="s">
        <v>0</v>
      </c>
      <c r="B1992" s="25"/>
      <c r="C1992" s="25"/>
      <c r="D1992" s="25"/>
      <c r="E1992" s="25"/>
      <c r="F1992" s="25"/>
      <c r="G1992" s="25"/>
      <c r="H1992" s="26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26.25">
      <c r="A1993" s="24" t="s">
        <v>496</v>
      </c>
      <c r="B1993" s="25"/>
      <c r="C1993" s="25"/>
      <c r="D1993" s="25"/>
      <c r="E1993" s="25"/>
      <c r="F1993" s="25"/>
      <c r="G1993" s="25"/>
      <c r="H1993" s="26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8.75">
      <c r="A1994" s="2" t="s">
        <v>2</v>
      </c>
      <c r="B1994" s="2" t="s">
        <v>3</v>
      </c>
      <c r="C1994" s="2" t="s">
        <v>4</v>
      </c>
      <c r="D1994" s="2" t="s">
        <v>5</v>
      </c>
      <c r="E1994" s="2" t="s">
        <v>6</v>
      </c>
      <c r="F1994" s="3" t="s">
        <v>7</v>
      </c>
      <c r="G1994" s="2" t="s">
        <v>8</v>
      </c>
      <c r="H1994" s="4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26.25">
      <c r="A1995" s="5">
        <v>1</v>
      </c>
      <c r="B1995" s="6" t="s">
        <v>497</v>
      </c>
      <c r="C1995" s="7" t="s">
        <v>498</v>
      </c>
      <c r="D1995" s="6" t="s">
        <v>10</v>
      </c>
      <c r="E1995" s="6">
        <v>1</v>
      </c>
      <c r="F1995" s="8">
        <v>293000</v>
      </c>
      <c r="G1995" s="9">
        <f t="shared" ref="G1995:G1998" si="111">IFERROR(E1995*F1995,0)</f>
        <v>293000</v>
      </c>
      <c r="H1995" s="10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6.25">
      <c r="A1996" s="5">
        <v>2</v>
      </c>
      <c r="B1996" s="13" t="s">
        <v>73</v>
      </c>
      <c r="C1996" s="12" t="s">
        <v>74</v>
      </c>
      <c r="D1996" s="13" t="s">
        <v>12</v>
      </c>
      <c r="E1996" s="13">
        <v>1.45</v>
      </c>
      <c r="F1996" s="14">
        <v>435000</v>
      </c>
      <c r="G1996" s="9">
        <f t="shared" si="111"/>
        <v>630750</v>
      </c>
      <c r="H1996" s="10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26.25">
      <c r="A1997" s="5">
        <v>3</v>
      </c>
      <c r="B1997" s="6" t="s">
        <v>58</v>
      </c>
      <c r="C1997" s="16" t="s">
        <v>499</v>
      </c>
      <c r="D1997" s="6" t="s">
        <v>10</v>
      </c>
      <c r="E1997" s="6">
        <v>1</v>
      </c>
      <c r="F1997" s="8">
        <v>293000</v>
      </c>
      <c r="G1997" s="9">
        <f t="shared" si="111"/>
        <v>293000</v>
      </c>
      <c r="H1997" s="10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26.25">
      <c r="A1998" s="5">
        <v>4</v>
      </c>
      <c r="B1998" s="17" t="s">
        <v>14</v>
      </c>
      <c r="C1998" s="10"/>
      <c r="D1998" s="10"/>
      <c r="E1998" s="10"/>
      <c r="F1998" s="10"/>
      <c r="G1998" s="18">
        <f t="shared" si="111"/>
        <v>0</v>
      </c>
      <c r="H1998" s="10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26.25">
      <c r="A1999" s="27" t="s">
        <v>15</v>
      </c>
      <c r="B1999" s="25"/>
      <c r="C1999" s="25"/>
      <c r="D1999" s="25"/>
      <c r="E1999" s="25"/>
      <c r="F1999" s="25"/>
      <c r="G1999" s="26"/>
      <c r="H1999" s="19">
        <f>SUM(G1995:G1998)</f>
        <v>1216750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26.25">
      <c r="A2000" s="27" t="s">
        <v>16</v>
      </c>
      <c r="B2000" s="25"/>
      <c r="C2000" s="25"/>
      <c r="D2000" s="25"/>
      <c r="E2000" s="25"/>
      <c r="F2000" s="25"/>
      <c r="G2000" s="26"/>
      <c r="H2000" s="19">
        <f>MAX(0,H1999-648000)</f>
        <v>568750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26.25">
      <c r="A2001" s="28" t="s">
        <v>17</v>
      </c>
      <c r="B2001" s="25"/>
      <c r="C2001" s="25"/>
      <c r="D2001" s="25"/>
      <c r="E2001" s="25"/>
      <c r="F2001" s="25"/>
      <c r="G2001" s="26"/>
      <c r="H2001" s="20">
        <v>649000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26.25">
      <c r="A2002" s="24"/>
      <c r="B2002" s="25"/>
      <c r="C2002" s="25"/>
      <c r="D2002" s="25"/>
      <c r="E2002" s="25"/>
      <c r="F2002" s="25"/>
      <c r="G2002" s="25"/>
      <c r="H2002" s="26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26.25">
      <c r="A2003" s="23"/>
      <c r="B2003" s="23"/>
      <c r="C2003" s="23"/>
      <c r="D2003" s="23"/>
      <c r="E2003" s="23"/>
      <c r="F2003" s="23"/>
      <c r="G2003" s="23"/>
      <c r="H2003" s="23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26.25">
      <c r="A2004" s="23"/>
      <c r="B2004" s="23"/>
      <c r="C2004" s="23"/>
      <c r="D2004" s="23"/>
      <c r="E2004" s="23"/>
      <c r="F2004" s="23"/>
      <c r="G2004" s="23"/>
      <c r="H2004" s="23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26.25">
      <c r="A2005" s="23"/>
      <c r="B2005" s="23"/>
      <c r="C2005" s="23"/>
      <c r="D2005" s="23"/>
      <c r="E2005" s="23"/>
      <c r="F2005" s="23"/>
      <c r="G2005" s="23"/>
      <c r="H2005" s="23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26.25">
      <c r="A2006" s="23"/>
      <c r="B2006" s="23"/>
      <c r="C2006" s="23"/>
      <c r="D2006" s="23"/>
      <c r="E2006" s="23"/>
      <c r="F2006" s="23"/>
      <c r="G2006" s="23"/>
      <c r="H2006" s="23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26.25">
      <c r="A2007" s="23"/>
      <c r="B2007" s="23"/>
      <c r="C2007" s="23"/>
      <c r="D2007" s="23"/>
      <c r="E2007" s="23"/>
      <c r="F2007" s="23"/>
      <c r="G2007" s="23"/>
      <c r="H2007" s="2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26.25">
      <c r="A2008" s="23"/>
      <c r="B2008" s="23"/>
      <c r="C2008" s="23"/>
      <c r="D2008" s="23"/>
      <c r="E2008" s="23"/>
      <c r="F2008" s="23"/>
      <c r="G2008" s="23"/>
      <c r="H2008" s="23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26.25">
      <c r="A2009" s="24" t="s">
        <v>0</v>
      </c>
      <c r="B2009" s="25"/>
      <c r="C2009" s="25"/>
      <c r="D2009" s="25"/>
      <c r="E2009" s="25"/>
      <c r="F2009" s="25"/>
      <c r="G2009" s="25"/>
      <c r="H2009" s="26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26.25">
      <c r="A2010" s="24" t="s">
        <v>500</v>
      </c>
      <c r="B2010" s="25"/>
      <c r="C2010" s="25"/>
      <c r="D2010" s="25"/>
      <c r="E2010" s="25"/>
      <c r="F2010" s="25"/>
      <c r="G2010" s="25"/>
      <c r="H2010" s="26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8.75">
      <c r="A2011" s="2" t="s">
        <v>2</v>
      </c>
      <c r="B2011" s="2" t="s">
        <v>3</v>
      </c>
      <c r="C2011" s="2" t="s">
        <v>4</v>
      </c>
      <c r="D2011" s="2" t="s">
        <v>5</v>
      </c>
      <c r="E2011" s="2" t="s">
        <v>6</v>
      </c>
      <c r="F2011" s="3" t="s">
        <v>7</v>
      </c>
      <c r="G2011" s="2" t="s">
        <v>8</v>
      </c>
      <c r="H2011" s="4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26.25">
      <c r="A2012" s="5">
        <v>1</v>
      </c>
      <c r="B2012" s="6" t="s">
        <v>287</v>
      </c>
      <c r="C2012" s="7" t="s">
        <v>501</v>
      </c>
      <c r="D2012" s="6" t="s">
        <v>10</v>
      </c>
      <c r="E2012" s="6">
        <v>0.9</v>
      </c>
      <c r="F2012" s="8">
        <v>293000</v>
      </c>
      <c r="G2012" s="9">
        <f t="shared" ref="G2012:G2015" si="112">IFERROR(E2012*F2012,0)</f>
        <v>263700</v>
      </c>
      <c r="H2012" s="10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26.25">
      <c r="A2013" s="5">
        <v>2</v>
      </c>
      <c r="B2013" s="13" t="s">
        <v>375</v>
      </c>
      <c r="C2013" s="12" t="s">
        <v>376</v>
      </c>
      <c r="D2013" s="13" t="s">
        <v>12</v>
      </c>
      <c r="E2013" s="13">
        <v>1.1000000000000001</v>
      </c>
      <c r="F2013" s="14">
        <v>435000</v>
      </c>
      <c r="G2013" s="9">
        <f t="shared" si="112"/>
        <v>478500.00000000006</v>
      </c>
      <c r="H2013" s="10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26.25">
      <c r="A2014" s="5">
        <v>3</v>
      </c>
      <c r="B2014" s="6" t="s">
        <v>502</v>
      </c>
      <c r="C2014" s="16" t="s">
        <v>503</v>
      </c>
      <c r="D2014" s="6" t="s">
        <v>10</v>
      </c>
      <c r="E2014" s="6">
        <v>1.58</v>
      </c>
      <c r="F2014" s="8">
        <v>293000</v>
      </c>
      <c r="G2014" s="9">
        <f t="shared" si="112"/>
        <v>462940</v>
      </c>
      <c r="H2014" s="10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26.25">
      <c r="A2015" s="5">
        <v>4</v>
      </c>
      <c r="B2015" s="17" t="s">
        <v>14</v>
      </c>
      <c r="C2015" s="10"/>
      <c r="D2015" s="10"/>
      <c r="E2015" s="10"/>
      <c r="F2015" s="10"/>
      <c r="G2015" s="18">
        <f t="shared" si="112"/>
        <v>0</v>
      </c>
      <c r="H2015" s="10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26.25">
      <c r="A2016" s="27" t="s">
        <v>15</v>
      </c>
      <c r="B2016" s="25"/>
      <c r="C2016" s="25"/>
      <c r="D2016" s="25"/>
      <c r="E2016" s="25"/>
      <c r="F2016" s="25"/>
      <c r="G2016" s="26"/>
      <c r="H2016" s="19">
        <f>SUM(G2012:G2015)</f>
        <v>1205140</v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26.25">
      <c r="A2017" s="27" t="s">
        <v>16</v>
      </c>
      <c r="B2017" s="25"/>
      <c r="C2017" s="25"/>
      <c r="D2017" s="25"/>
      <c r="E2017" s="25"/>
      <c r="F2017" s="25"/>
      <c r="G2017" s="26"/>
      <c r="H2017" s="19">
        <f>MAX(0,H2016-648000)</f>
        <v>557140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26.25">
      <c r="A2018" s="28" t="s">
        <v>17</v>
      </c>
      <c r="B2018" s="25"/>
      <c r="C2018" s="25"/>
      <c r="D2018" s="25"/>
      <c r="E2018" s="25"/>
      <c r="F2018" s="25"/>
      <c r="G2018" s="26"/>
      <c r="H2018" s="20">
        <v>649000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26.25">
      <c r="A2019" s="24"/>
      <c r="B2019" s="25"/>
      <c r="C2019" s="25"/>
      <c r="D2019" s="25"/>
      <c r="E2019" s="25"/>
      <c r="F2019" s="25"/>
      <c r="G2019" s="25"/>
      <c r="H2019" s="26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26.25">
      <c r="A2020" s="23"/>
      <c r="B2020" s="23"/>
      <c r="C2020" s="23"/>
      <c r="D2020" s="23"/>
      <c r="E2020" s="23"/>
      <c r="F2020" s="23"/>
      <c r="G2020" s="23"/>
      <c r="H2020" s="23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26.25">
      <c r="A2021" s="23"/>
      <c r="B2021" s="23"/>
      <c r="C2021" s="23"/>
      <c r="D2021" s="23"/>
      <c r="E2021" s="23"/>
      <c r="F2021" s="23"/>
      <c r="G2021" s="23"/>
      <c r="H2021" s="23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26.25">
      <c r="A2022" s="23"/>
      <c r="B2022" s="23"/>
      <c r="C2022" s="23"/>
      <c r="D2022" s="23"/>
      <c r="E2022" s="23"/>
      <c r="F2022" s="23"/>
      <c r="G2022" s="23"/>
      <c r="H2022" s="23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26.25">
      <c r="A2023" s="23"/>
      <c r="B2023" s="23"/>
      <c r="C2023" s="23"/>
      <c r="D2023" s="23"/>
      <c r="E2023" s="23"/>
      <c r="F2023" s="23"/>
      <c r="G2023" s="23"/>
      <c r="H2023" s="23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26.25">
      <c r="A2024" s="23"/>
      <c r="B2024" s="23"/>
      <c r="C2024" s="23"/>
      <c r="D2024" s="23"/>
      <c r="E2024" s="23"/>
      <c r="F2024" s="23"/>
      <c r="G2024" s="23"/>
      <c r="H2024" s="23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26.25">
      <c r="A2025" s="23"/>
      <c r="B2025" s="23"/>
      <c r="C2025" s="23"/>
      <c r="D2025" s="23"/>
      <c r="E2025" s="23"/>
      <c r="F2025" s="23"/>
      <c r="G2025" s="23"/>
      <c r="H2025" s="23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26.25">
      <c r="A2026" s="23"/>
      <c r="B2026" s="23"/>
      <c r="C2026" s="23"/>
      <c r="D2026" s="23"/>
      <c r="E2026" s="23"/>
      <c r="F2026" s="23"/>
      <c r="G2026" s="23"/>
      <c r="H2026" s="23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26.25">
      <c r="A2027" s="23"/>
      <c r="B2027" s="23"/>
      <c r="C2027" s="23"/>
      <c r="D2027" s="23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26.25">
      <c r="A2028" s="24" t="s">
        <v>0</v>
      </c>
      <c r="B2028" s="25"/>
      <c r="C2028" s="25"/>
      <c r="D2028" s="25"/>
      <c r="E2028" s="25"/>
      <c r="F2028" s="25"/>
      <c r="G2028" s="25"/>
      <c r="H2028" s="26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26.25">
      <c r="A2029" s="24" t="s">
        <v>504</v>
      </c>
      <c r="B2029" s="25"/>
      <c r="C2029" s="25"/>
      <c r="D2029" s="25"/>
      <c r="E2029" s="25"/>
      <c r="F2029" s="25"/>
      <c r="G2029" s="25"/>
      <c r="H2029" s="26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8.75">
      <c r="A2030" s="2" t="s">
        <v>2</v>
      </c>
      <c r="B2030" s="2" t="s">
        <v>3</v>
      </c>
      <c r="C2030" s="2" t="s">
        <v>4</v>
      </c>
      <c r="D2030" s="2" t="s">
        <v>5</v>
      </c>
      <c r="E2030" s="2" t="s">
        <v>6</v>
      </c>
      <c r="F2030" s="3" t="s">
        <v>7</v>
      </c>
      <c r="G2030" s="2" t="s">
        <v>8</v>
      </c>
      <c r="H2030" s="4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26.25">
      <c r="A2031" s="5">
        <v>1</v>
      </c>
      <c r="B2031" s="6" t="s">
        <v>505</v>
      </c>
      <c r="C2031" s="7" t="s">
        <v>506</v>
      </c>
      <c r="D2031" s="6" t="s">
        <v>10</v>
      </c>
      <c r="E2031" s="6">
        <v>1</v>
      </c>
      <c r="F2031" s="8">
        <v>293000</v>
      </c>
      <c r="G2031" s="9">
        <f t="shared" ref="G2031:G2034" si="113">IFERROR(E2031*F2031,0)</f>
        <v>293000</v>
      </c>
      <c r="H2031" s="10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26.25">
      <c r="A2032" s="5">
        <v>2</v>
      </c>
      <c r="B2032" s="13" t="s">
        <v>421</v>
      </c>
      <c r="C2032" s="12" t="s">
        <v>507</v>
      </c>
      <c r="D2032" s="13" t="s">
        <v>12</v>
      </c>
      <c r="E2032" s="13">
        <v>1.36</v>
      </c>
      <c r="F2032" s="14">
        <v>435000</v>
      </c>
      <c r="G2032" s="9">
        <f t="shared" si="113"/>
        <v>591600</v>
      </c>
      <c r="H2032" s="10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26.25">
      <c r="A2033" s="5">
        <v>3</v>
      </c>
      <c r="B2033" s="6" t="s">
        <v>508</v>
      </c>
      <c r="C2033" s="16" t="s">
        <v>509</v>
      </c>
      <c r="D2033" s="6" t="s">
        <v>10</v>
      </c>
      <c r="E2033" s="6">
        <v>1.35</v>
      </c>
      <c r="F2033" s="8">
        <v>293000</v>
      </c>
      <c r="G2033" s="9">
        <f t="shared" si="113"/>
        <v>395550</v>
      </c>
      <c r="H2033" s="10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26.25">
      <c r="A2034" s="5">
        <v>4</v>
      </c>
      <c r="B2034" s="17" t="s">
        <v>14</v>
      </c>
      <c r="C2034" s="10"/>
      <c r="D2034" s="10"/>
      <c r="E2034" s="10"/>
      <c r="F2034" s="10"/>
      <c r="G2034" s="18">
        <f t="shared" si="113"/>
        <v>0</v>
      </c>
      <c r="H2034" s="10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26.25">
      <c r="A2035" s="27" t="s">
        <v>15</v>
      </c>
      <c r="B2035" s="25"/>
      <c r="C2035" s="25"/>
      <c r="D2035" s="25"/>
      <c r="E2035" s="25"/>
      <c r="F2035" s="25"/>
      <c r="G2035" s="26"/>
      <c r="H2035" s="19">
        <f>SUM(G2031:G2034)</f>
        <v>1280150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26.25">
      <c r="A2036" s="27" t="s">
        <v>16</v>
      </c>
      <c r="B2036" s="25"/>
      <c r="C2036" s="25"/>
      <c r="D2036" s="25"/>
      <c r="E2036" s="25"/>
      <c r="F2036" s="25"/>
      <c r="G2036" s="26"/>
      <c r="H2036" s="19">
        <f>MAX(0,H2035-648000)</f>
        <v>632150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26.25">
      <c r="A2037" s="28" t="s">
        <v>17</v>
      </c>
      <c r="B2037" s="25"/>
      <c r="C2037" s="25"/>
      <c r="D2037" s="25"/>
      <c r="E2037" s="25"/>
      <c r="F2037" s="25"/>
      <c r="G2037" s="26"/>
      <c r="H2037" s="20">
        <v>649000</v>
      </c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26.25">
      <c r="A2038" s="24"/>
      <c r="B2038" s="25"/>
      <c r="C2038" s="25"/>
      <c r="D2038" s="25"/>
      <c r="E2038" s="25"/>
      <c r="F2038" s="25"/>
      <c r="G2038" s="25"/>
      <c r="H2038" s="26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26.25">
      <c r="A2039" s="23"/>
      <c r="B2039" s="23"/>
      <c r="C2039" s="23"/>
      <c r="D2039" s="23"/>
      <c r="E2039" s="23"/>
      <c r="F2039" s="23"/>
      <c r="G2039" s="23"/>
      <c r="H2039" s="23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26.25">
      <c r="A2040" s="23"/>
      <c r="B2040" s="23"/>
      <c r="C2040" s="23"/>
      <c r="D2040" s="23"/>
      <c r="E2040" s="23"/>
      <c r="F2040" s="23"/>
      <c r="G2040" s="23"/>
      <c r="H2040" s="23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26.25">
      <c r="A2041" s="23"/>
      <c r="B2041" s="23"/>
      <c r="C2041" s="23"/>
      <c r="D2041" s="23"/>
      <c r="E2041" s="23"/>
      <c r="F2041" s="23"/>
      <c r="G2041" s="23"/>
      <c r="H2041" s="23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26.25">
      <c r="A2042" s="23"/>
      <c r="B2042" s="23"/>
      <c r="C2042" s="23"/>
      <c r="D2042" s="23"/>
      <c r="E2042" s="23"/>
      <c r="F2042" s="23"/>
      <c r="G2042" s="23"/>
      <c r="H2042" s="23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26.25">
      <c r="A2043" s="23"/>
      <c r="B2043" s="23"/>
      <c r="C2043" s="23"/>
      <c r="D2043" s="23"/>
      <c r="E2043" s="23"/>
      <c r="F2043" s="23"/>
      <c r="G2043" s="23"/>
      <c r="H2043" s="23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26.25">
      <c r="A2044" s="23"/>
      <c r="B2044" s="23"/>
      <c r="C2044" s="23"/>
      <c r="D2044" s="23"/>
      <c r="E2044" s="23"/>
      <c r="F2044" s="23"/>
      <c r="G2044" s="23"/>
      <c r="H2044" s="23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26.25">
      <c r="A2045" s="24" t="s">
        <v>0</v>
      </c>
      <c r="B2045" s="25"/>
      <c r="C2045" s="25"/>
      <c r="D2045" s="25"/>
      <c r="E2045" s="25"/>
      <c r="F2045" s="25"/>
      <c r="G2045" s="25"/>
      <c r="H2045" s="26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26.25">
      <c r="A2046" s="24" t="s">
        <v>510</v>
      </c>
      <c r="B2046" s="25"/>
      <c r="C2046" s="25"/>
      <c r="D2046" s="25"/>
      <c r="E2046" s="25"/>
      <c r="F2046" s="25"/>
      <c r="G2046" s="25"/>
      <c r="H2046" s="26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8.75">
      <c r="A2047" s="2" t="s">
        <v>2</v>
      </c>
      <c r="B2047" s="2" t="s">
        <v>3</v>
      </c>
      <c r="C2047" s="2" t="s">
        <v>4</v>
      </c>
      <c r="D2047" s="2" t="s">
        <v>5</v>
      </c>
      <c r="E2047" s="2" t="s">
        <v>6</v>
      </c>
      <c r="F2047" s="3" t="s">
        <v>7</v>
      </c>
      <c r="G2047" s="2" t="s">
        <v>8</v>
      </c>
      <c r="H2047" s="4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26.25">
      <c r="A2048" s="5">
        <v>1</v>
      </c>
      <c r="B2048" s="6" t="s">
        <v>159</v>
      </c>
      <c r="C2048" s="7" t="s">
        <v>511</v>
      </c>
      <c r="D2048" s="6" t="s">
        <v>10</v>
      </c>
      <c r="E2048" s="6">
        <v>1</v>
      </c>
      <c r="F2048" s="8">
        <v>293000</v>
      </c>
      <c r="G2048" s="9">
        <f t="shared" ref="G2048:G2051" si="114">IFERROR(E2048*F2048,0)</f>
        <v>293000</v>
      </c>
      <c r="H2048" s="10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26.25">
      <c r="A2049" s="5">
        <v>2</v>
      </c>
      <c r="B2049" s="13" t="s">
        <v>150</v>
      </c>
      <c r="C2049" s="12" t="s">
        <v>467</v>
      </c>
      <c r="D2049" s="13" t="s">
        <v>12</v>
      </c>
      <c r="E2049" s="13">
        <v>1.5</v>
      </c>
      <c r="F2049" s="14">
        <v>435000</v>
      </c>
      <c r="G2049" s="9">
        <f t="shared" si="114"/>
        <v>652500</v>
      </c>
      <c r="H2049" s="10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26.25">
      <c r="A2050" s="5">
        <v>3</v>
      </c>
      <c r="B2050" s="6" t="s">
        <v>512</v>
      </c>
      <c r="C2050" s="16" t="s">
        <v>513</v>
      </c>
      <c r="D2050" s="6" t="s">
        <v>10</v>
      </c>
      <c r="E2050" s="6">
        <v>1.1000000000000001</v>
      </c>
      <c r="F2050" s="8">
        <v>293000</v>
      </c>
      <c r="G2050" s="9">
        <f t="shared" si="114"/>
        <v>322300</v>
      </c>
      <c r="H2050" s="10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26.25">
      <c r="A2051" s="5">
        <v>4</v>
      </c>
      <c r="B2051" s="17" t="s">
        <v>14</v>
      </c>
      <c r="C2051" s="10"/>
      <c r="D2051" s="10"/>
      <c r="E2051" s="10"/>
      <c r="F2051" s="10"/>
      <c r="G2051" s="18">
        <f t="shared" si="114"/>
        <v>0</v>
      </c>
      <c r="H2051" s="10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26.25">
      <c r="A2052" s="27" t="s">
        <v>15</v>
      </c>
      <c r="B2052" s="25"/>
      <c r="C2052" s="25"/>
      <c r="D2052" s="25"/>
      <c r="E2052" s="25"/>
      <c r="F2052" s="25"/>
      <c r="G2052" s="26"/>
      <c r="H2052" s="19">
        <f>SUM(G2048:G2051)</f>
        <v>1267800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26.25">
      <c r="A2053" s="27" t="s">
        <v>16</v>
      </c>
      <c r="B2053" s="25"/>
      <c r="C2053" s="25"/>
      <c r="D2053" s="25"/>
      <c r="E2053" s="25"/>
      <c r="F2053" s="25"/>
      <c r="G2053" s="26"/>
      <c r="H2053" s="19">
        <f>MAX(0,H2052-648000)</f>
        <v>619800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26.25">
      <c r="A2054" s="28" t="s">
        <v>17</v>
      </c>
      <c r="B2054" s="25"/>
      <c r="C2054" s="25"/>
      <c r="D2054" s="25"/>
      <c r="E2054" s="25"/>
      <c r="F2054" s="25"/>
      <c r="G2054" s="26"/>
      <c r="H2054" s="20">
        <v>649000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26.25">
      <c r="A2055" s="24"/>
      <c r="B2055" s="25"/>
      <c r="C2055" s="25"/>
      <c r="D2055" s="25"/>
      <c r="E2055" s="25"/>
      <c r="F2055" s="25"/>
      <c r="G2055" s="25"/>
      <c r="H2055" s="26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26.25">
      <c r="A2056" s="23"/>
      <c r="B2056" s="23"/>
      <c r="C2056" s="23"/>
      <c r="D2056" s="23"/>
      <c r="E2056" s="23"/>
      <c r="F2056" s="23"/>
      <c r="G2056" s="23"/>
      <c r="H2056" s="23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26.25">
      <c r="A2057" s="23"/>
      <c r="B2057" s="23"/>
      <c r="C2057" s="23"/>
      <c r="D2057" s="23"/>
      <c r="E2057" s="23"/>
      <c r="F2057" s="23"/>
      <c r="G2057" s="23"/>
      <c r="H2057" s="23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26.25">
      <c r="A2058" s="23"/>
      <c r="B2058" s="23"/>
      <c r="C2058" s="23"/>
      <c r="D2058" s="23"/>
      <c r="E2058" s="23"/>
      <c r="F2058" s="23"/>
      <c r="G2058" s="23"/>
      <c r="H2058" s="23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26.25">
      <c r="A2059" s="23"/>
      <c r="B2059" s="23"/>
      <c r="C2059" s="23"/>
      <c r="D2059" s="23"/>
      <c r="E2059" s="23"/>
      <c r="F2059" s="23"/>
      <c r="G2059" s="23"/>
      <c r="H2059" s="2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26.25">
      <c r="A2060" s="24" t="s">
        <v>0</v>
      </c>
      <c r="B2060" s="25"/>
      <c r="C2060" s="25"/>
      <c r="D2060" s="25"/>
      <c r="E2060" s="25"/>
      <c r="F2060" s="25"/>
      <c r="G2060" s="25"/>
      <c r="H2060" s="26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26.25">
      <c r="A2061" s="24" t="s">
        <v>514</v>
      </c>
      <c r="B2061" s="25"/>
      <c r="C2061" s="25"/>
      <c r="D2061" s="25"/>
      <c r="E2061" s="25"/>
      <c r="F2061" s="25"/>
      <c r="G2061" s="25"/>
      <c r="H2061" s="26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8.75">
      <c r="A2062" s="2" t="s">
        <v>2</v>
      </c>
      <c r="B2062" s="2" t="s">
        <v>3</v>
      </c>
      <c r="C2062" s="2" t="s">
        <v>4</v>
      </c>
      <c r="D2062" s="2" t="s">
        <v>5</v>
      </c>
      <c r="E2062" s="2" t="s">
        <v>6</v>
      </c>
      <c r="F2062" s="3" t="s">
        <v>7</v>
      </c>
      <c r="G2062" s="2" t="s">
        <v>8</v>
      </c>
      <c r="H2062" s="4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26.25">
      <c r="A2063" s="5">
        <v>1</v>
      </c>
      <c r="B2063" s="6" t="s">
        <v>515</v>
      </c>
      <c r="C2063" s="7" t="s">
        <v>516</v>
      </c>
      <c r="D2063" s="6" t="s">
        <v>10</v>
      </c>
      <c r="E2063" s="6">
        <v>0.98</v>
      </c>
      <c r="F2063" s="8">
        <v>293000</v>
      </c>
      <c r="G2063" s="9">
        <f t="shared" ref="G2063:G2066" si="115">IFERROR(E2063*F2063,0)</f>
        <v>287140</v>
      </c>
      <c r="H2063" s="10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26.25">
      <c r="A2064" s="5">
        <v>2</v>
      </c>
      <c r="B2064" s="13" t="s">
        <v>477</v>
      </c>
      <c r="C2064" s="12" t="s">
        <v>517</v>
      </c>
      <c r="D2064" s="13" t="s">
        <v>12</v>
      </c>
      <c r="E2064" s="13">
        <v>1.08</v>
      </c>
      <c r="F2064" s="14">
        <v>435000</v>
      </c>
      <c r="G2064" s="9">
        <f t="shared" si="115"/>
        <v>469800.00000000006</v>
      </c>
      <c r="H2064" s="10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26.25">
      <c r="A2065" s="5">
        <v>3</v>
      </c>
      <c r="B2065" s="6" t="s">
        <v>518</v>
      </c>
      <c r="C2065" s="16" t="s">
        <v>519</v>
      </c>
      <c r="D2065" s="6" t="s">
        <v>10</v>
      </c>
      <c r="E2065" s="6">
        <v>1.53</v>
      </c>
      <c r="F2065" s="8">
        <v>293000</v>
      </c>
      <c r="G2065" s="9">
        <f t="shared" si="115"/>
        <v>448290</v>
      </c>
      <c r="H2065" s="10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26.25">
      <c r="A2066" s="5">
        <v>4</v>
      </c>
      <c r="B2066" s="17" t="s">
        <v>14</v>
      </c>
      <c r="C2066" s="10"/>
      <c r="D2066" s="10"/>
      <c r="E2066" s="10"/>
      <c r="F2066" s="10"/>
      <c r="G2066" s="18">
        <f t="shared" si="115"/>
        <v>0</v>
      </c>
      <c r="H2066" s="10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26.25">
      <c r="A2067" s="27" t="s">
        <v>15</v>
      </c>
      <c r="B2067" s="25"/>
      <c r="C2067" s="25"/>
      <c r="D2067" s="25"/>
      <c r="E2067" s="25"/>
      <c r="F2067" s="25"/>
      <c r="G2067" s="26"/>
      <c r="H2067" s="19">
        <f>SUM(G2063:G2066)</f>
        <v>1205230</v>
      </c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26.25">
      <c r="A2068" s="27" t="s">
        <v>16</v>
      </c>
      <c r="B2068" s="25"/>
      <c r="C2068" s="25"/>
      <c r="D2068" s="25"/>
      <c r="E2068" s="25"/>
      <c r="F2068" s="25"/>
      <c r="G2068" s="26"/>
      <c r="H2068" s="19">
        <f>MAX(0,H2067-648000)</f>
        <v>557230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26.25">
      <c r="A2069" s="28" t="s">
        <v>17</v>
      </c>
      <c r="B2069" s="25"/>
      <c r="C2069" s="25"/>
      <c r="D2069" s="25"/>
      <c r="E2069" s="25"/>
      <c r="F2069" s="25"/>
      <c r="G2069" s="26"/>
      <c r="H2069" s="20">
        <v>649000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26.25">
      <c r="A2070" s="24"/>
      <c r="B2070" s="25"/>
      <c r="C2070" s="25"/>
      <c r="D2070" s="25"/>
      <c r="E2070" s="25"/>
      <c r="F2070" s="25"/>
      <c r="G2070" s="25"/>
      <c r="H2070" s="26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26.25">
      <c r="A2071" s="23"/>
      <c r="B2071" s="23"/>
      <c r="C2071" s="23"/>
      <c r="D2071" s="23"/>
      <c r="E2071" s="23"/>
      <c r="F2071" s="23"/>
      <c r="G2071" s="23"/>
      <c r="H2071" s="23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26.25">
      <c r="A2072" s="23"/>
      <c r="B2072" s="23"/>
      <c r="C2072" s="23"/>
      <c r="D2072" s="23"/>
      <c r="E2072" s="23"/>
      <c r="F2072" s="23"/>
      <c r="G2072" s="23"/>
      <c r="H2072" s="23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26.25">
      <c r="A2073" s="23"/>
      <c r="B2073" s="23"/>
      <c r="C2073" s="23"/>
      <c r="D2073" s="23"/>
      <c r="E2073" s="23"/>
      <c r="F2073" s="23"/>
      <c r="G2073" s="23"/>
      <c r="H2073" s="23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26.25">
      <c r="A2074" s="23"/>
      <c r="B2074" s="23"/>
      <c r="C2074" s="23"/>
      <c r="D2074" s="23"/>
      <c r="E2074" s="23"/>
      <c r="F2074" s="23"/>
      <c r="G2074" s="23"/>
      <c r="H2074" s="2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26.25">
      <c r="A2075" s="23"/>
      <c r="B2075" s="23"/>
      <c r="C2075" s="23"/>
      <c r="D2075" s="23"/>
      <c r="E2075" s="23"/>
      <c r="F2075" s="23"/>
      <c r="G2075" s="23"/>
      <c r="H2075" s="23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26.25">
      <c r="A2076" s="24" t="s">
        <v>0</v>
      </c>
      <c r="B2076" s="25"/>
      <c r="C2076" s="25"/>
      <c r="D2076" s="25"/>
      <c r="E2076" s="25"/>
      <c r="F2076" s="25"/>
      <c r="G2076" s="25"/>
      <c r="H2076" s="26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26.25">
      <c r="A2077" s="24" t="s">
        <v>520</v>
      </c>
      <c r="B2077" s="25"/>
      <c r="C2077" s="25"/>
      <c r="D2077" s="25"/>
      <c r="E2077" s="25"/>
      <c r="F2077" s="25"/>
      <c r="G2077" s="25"/>
      <c r="H2077" s="26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8.75">
      <c r="A2078" s="2" t="s">
        <v>2</v>
      </c>
      <c r="B2078" s="2" t="s">
        <v>3</v>
      </c>
      <c r="C2078" s="2" t="s">
        <v>4</v>
      </c>
      <c r="D2078" s="2" t="s">
        <v>5</v>
      </c>
      <c r="E2078" s="2" t="s">
        <v>6</v>
      </c>
      <c r="F2078" s="3" t="s">
        <v>7</v>
      </c>
      <c r="G2078" s="2" t="s">
        <v>8</v>
      </c>
      <c r="H2078" s="4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26.25">
      <c r="A2079" s="5">
        <v>1</v>
      </c>
      <c r="B2079" s="6" t="s">
        <v>521</v>
      </c>
      <c r="C2079" s="7" t="s">
        <v>522</v>
      </c>
      <c r="D2079" s="6" t="s">
        <v>10</v>
      </c>
      <c r="E2079" s="6">
        <v>1</v>
      </c>
      <c r="F2079" s="8">
        <v>293000</v>
      </c>
      <c r="G2079" s="9">
        <f t="shared" ref="G2079:G2082" si="116">IFERROR(E2079*F2079,0)</f>
        <v>293000</v>
      </c>
      <c r="H2079" s="10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26.25">
      <c r="A2080" s="5">
        <v>2</v>
      </c>
      <c r="B2080" s="13" t="s">
        <v>523</v>
      </c>
      <c r="C2080" s="12" t="s">
        <v>524</v>
      </c>
      <c r="D2080" s="13" t="s">
        <v>12</v>
      </c>
      <c r="E2080" s="13">
        <v>1.1000000000000001</v>
      </c>
      <c r="F2080" s="14">
        <v>435000</v>
      </c>
      <c r="G2080" s="9">
        <f t="shared" si="116"/>
        <v>478500.00000000006</v>
      </c>
      <c r="H2080" s="10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26.25">
      <c r="A2081" s="5">
        <v>3</v>
      </c>
      <c r="B2081" s="6" t="s">
        <v>525</v>
      </c>
      <c r="C2081" s="16" t="s">
        <v>526</v>
      </c>
      <c r="D2081" s="6" t="s">
        <v>10</v>
      </c>
      <c r="E2081" s="6">
        <v>1.5</v>
      </c>
      <c r="F2081" s="8">
        <v>293000</v>
      </c>
      <c r="G2081" s="9">
        <f t="shared" si="116"/>
        <v>439500</v>
      </c>
      <c r="H2081" s="10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26.25">
      <c r="A2082" s="5">
        <v>4</v>
      </c>
      <c r="B2082" s="17" t="s">
        <v>14</v>
      </c>
      <c r="C2082" s="10"/>
      <c r="D2082" s="10"/>
      <c r="E2082" s="10"/>
      <c r="F2082" s="10"/>
      <c r="G2082" s="18">
        <f t="shared" si="116"/>
        <v>0</v>
      </c>
      <c r="H2082" s="10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26.25">
      <c r="A2083" s="27" t="s">
        <v>15</v>
      </c>
      <c r="B2083" s="25"/>
      <c r="C2083" s="25"/>
      <c r="D2083" s="25"/>
      <c r="E2083" s="25"/>
      <c r="F2083" s="25"/>
      <c r="G2083" s="26"/>
      <c r="H2083" s="19">
        <f>SUM(G2079:G2082)</f>
        <v>1211000</v>
      </c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26.25">
      <c r="A2084" s="27" t="s">
        <v>16</v>
      </c>
      <c r="B2084" s="25"/>
      <c r="C2084" s="25"/>
      <c r="D2084" s="25"/>
      <c r="E2084" s="25"/>
      <c r="F2084" s="25"/>
      <c r="G2084" s="26"/>
      <c r="H2084" s="19">
        <f>MAX(0,H2083-648000)</f>
        <v>563000</v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26.25">
      <c r="A2085" s="28" t="s">
        <v>17</v>
      </c>
      <c r="B2085" s="25"/>
      <c r="C2085" s="25"/>
      <c r="D2085" s="25"/>
      <c r="E2085" s="25"/>
      <c r="F2085" s="25"/>
      <c r="G2085" s="26"/>
      <c r="H2085" s="20">
        <v>649000</v>
      </c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26.25">
      <c r="A2086" s="24"/>
      <c r="B2086" s="25"/>
      <c r="C2086" s="25"/>
      <c r="D2086" s="25"/>
      <c r="E2086" s="25"/>
      <c r="F2086" s="25"/>
      <c r="G2086" s="25"/>
      <c r="H2086" s="26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26.25">
      <c r="A2087" s="23"/>
      <c r="B2087" s="23"/>
      <c r="C2087" s="23"/>
      <c r="D2087" s="23"/>
      <c r="E2087" s="23"/>
      <c r="F2087" s="23"/>
      <c r="G2087" s="23"/>
      <c r="H2087" s="23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26.25">
      <c r="A2088" s="23"/>
      <c r="B2088" s="23"/>
      <c r="C2088" s="23"/>
      <c r="D2088" s="23"/>
      <c r="E2088" s="23"/>
      <c r="F2088" s="23"/>
      <c r="G2088" s="23"/>
      <c r="H2088" s="23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26.25">
      <c r="A2089" s="23"/>
      <c r="B2089" s="23"/>
      <c r="C2089" s="23"/>
      <c r="D2089" s="23"/>
      <c r="E2089" s="23"/>
      <c r="F2089" s="23"/>
      <c r="G2089" s="23"/>
      <c r="H2089" s="23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26.25">
      <c r="A2090" s="23"/>
      <c r="B2090" s="23"/>
      <c r="C2090" s="23"/>
      <c r="D2090" s="23"/>
      <c r="E2090" s="23"/>
      <c r="F2090" s="23"/>
      <c r="G2090" s="23"/>
      <c r="H2090" s="23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26.25">
      <c r="A2091" s="23"/>
      <c r="B2091" s="23"/>
      <c r="C2091" s="23"/>
      <c r="D2091" s="23"/>
      <c r="E2091" s="23"/>
      <c r="F2091" s="23"/>
      <c r="G2091" s="23"/>
      <c r="H2091" s="2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26.25">
      <c r="A2092" s="24" t="s">
        <v>0</v>
      </c>
      <c r="B2092" s="25"/>
      <c r="C2092" s="25"/>
      <c r="D2092" s="25"/>
      <c r="E2092" s="25"/>
      <c r="F2092" s="25"/>
      <c r="G2092" s="25"/>
      <c r="H2092" s="26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26.25">
      <c r="A2093" s="24" t="s">
        <v>527</v>
      </c>
      <c r="B2093" s="25"/>
      <c r="C2093" s="25"/>
      <c r="D2093" s="25"/>
      <c r="E2093" s="25"/>
      <c r="F2093" s="25"/>
      <c r="G2093" s="25"/>
      <c r="H2093" s="26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8.75">
      <c r="A2094" s="2" t="s">
        <v>2</v>
      </c>
      <c r="B2094" s="2" t="s">
        <v>3</v>
      </c>
      <c r="C2094" s="2" t="s">
        <v>4</v>
      </c>
      <c r="D2094" s="2" t="s">
        <v>5</v>
      </c>
      <c r="E2094" s="2" t="s">
        <v>6</v>
      </c>
      <c r="F2094" s="3" t="s">
        <v>7</v>
      </c>
      <c r="G2094" s="2" t="s">
        <v>8</v>
      </c>
      <c r="H2094" s="4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26.25">
      <c r="A2095" s="5">
        <v>1</v>
      </c>
      <c r="B2095" s="6" t="s">
        <v>93</v>
      </c>
      <c r="C2095" s="7" t="s">
        <v>528</v>
      </c>
      <c r="D2095" s="6" t="s">
        <v>10</v>
      </c>
      <c r="E2095" s="6">
        <v>1</v>
      </c>
      <c r="F2095" s="8">
        <v>293000</v>
      </c>
      <c r="G2095" s="9">
        <f t="shared" ref="G2095:G2098" si="117">IFERROR(E2095*F2095,0)</f>
        <v>293000</v>
      </c>
      <c r="H2095" s="10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26.25">
      <c r="A2096" s="5">
        <v>2</v>
      </c>
      <c r="B2096" s="13" t="s">
        <v>320</v>
      </c>
      <c r="C2096" s="12" t="s">
        <v>529</v>
      </c>
      <c r="D2096" s="13" t="s">
        <v>12</v>
      </c>
      <c r="E2096" s="13">
        <v>1.5</v>
      </c>
      <c r="F2096" s="14">
        <v>435000</v>
      </c>
      <c r="G2096" s="9">
        <f t="shared" si="117"/>
        <v>652500</v>
      </c>
      <c r="H2096" s="10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26.25">
      <c r="A2097" s="5">
        <v>3</v>
      </c>
      <c r="B2097" s="6" t="s">
        <v>515</v>
      </c>
      <c r="C2097" s="16" t="s">
        <v>530</v>
      </c>
      <c r="D2097" s="6" t="s">
        <v>10</v>
      </c>
      <c r="E2097" s="6">
        <v>1</v>
      </c>
      <c r="F2097" s="8">
        <v>293000</v>
      </c>
      <c r="G2097" s="9">
        <f t="shared" si="117"/>
        <v>293000</v>
      </c>
      <c r="H2097" s="10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26.25">
      <c r="A2098" s="5">
        <v>4</v>
      </c>
      <c r="B2098" s="17" t="s">
        <v>14</v>
      </c>
      <c r="C2098" s="10"/>
      <c r="D2098" s="10"/>
      <c r="E2098" s="10"/>
      <c r="F2098" s="10"/>
      <c r="G2098" s="18">
        <f t="shared" si="117"/>
        <v>0</v>
      </c>
      <c r="H2098" s="10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26.25">
      <c r="A2099" s="27" t="s">
        <v>15</v>
      </c>
      <c r="B2099" s="25"/>
      <c r="C2099" s="25"/>
      <c r="D2099" s="25"/>
      <c r="E2099" s="25"/>
      <c r="F2099" s="25"/>
      <c r="G2099" s="26"/>
      <c r="H2099" s="19">
        <f>SUM(G2095:G2098)</f>
        <v>1238500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26.25">
      <c r="A2100" s="27" t="s">
        <v>16</v>
      </c>
      <c r="B2100" s="25"/>
      <c r="C2100" s="25"/>
      <c r="D2100" s="25"/>
      <c r="E2100" s="25"/>
      <c r="F2100" s="25"/>
      <c r="G2100" s="26"/>
      <c r="H2100" s="19">
        <f>MAX(0,H2099-648000)</f>
        <v>590500</v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26.25">
      <c r="A2101" s="28" t="s">
        <v>17</v>
      </c>
      <c r="B2101" s="25"/>
      <c r="C2101" s="25"/>
      <c r="D2101" s="25"/>
      <c r="E2101" s="25"/>
      <c r="F2101" s="25"/>
      <c r="G2101" s="26"/>
      <c r="H2101" s="20">
        <v>649000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26.25">
      <c r="A2102" s="24"/>
      <c r="B2102" s="25"/>
      <c r="C2102" s="25"/>
      <c r="D2102" s="25"/>
      <c r="E2102" s="25"/>
      <c r="F2102" s="25"/>
      <c r="G2102" s="25"/>
      <c r="H2102" s="26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26.25">
      <c r="A2103" s="23"/>
      <c r="B2103" s="23"/>
      <c r="C2103" s="23"/>
      <c r="D2103" s="23"/>
      <c r="E2103" s="23"/>
      <c r="F2103" s="23"/>
      <c r="G2103" s="23"/>
      <c r="H2103" s="23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26.25">
      <c r="A2104" s="23"/>
      <c r="B2104" s="23"/>
      <c r="C2104" s="23"/>
      <c r="D2104" s="23"/>
      <c r="E2104" s="23"/>
      <c r="F2104" s="23"/>
      <c r="G2104" s="23"/>
      <c r="H2104" s="23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26.25">
      <c r="A2105" s="23"/>
      <c r="B2105" s="23"/>
      <c r="C2105" s="23"/>
      <c r="D2105" s="23"/>
      <c r="E2105" s="23"/>
      <c r="F2105" s="23"/>
      <c r="G2105" s="23"/>
      <c r="H2105" s="23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26.25">
      <c r="A2106" s="23"/>
      <c r="B2106" s="23"/>
      <c r="C2106" s="23"/>
      <c r="D2106" s="23"/>
      <c r="E2106" s="23"/>
      <c r="F2106" s="23"/>
      <c r="G2106" s="23"/>
      <c r="H2106" s="23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26.25">
      <c r="A2107" s="23"/>
      <c r="B2107" s="23"/>
      <c r="C2107" s="23"/>
      <c r="D2107" s="23"/>
      <c r="E2107" s="23"/>
      <c r="F2107" s="23"/>
      <c r="G2107" s="23"/>
      <c r="H2107" s="23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26.25">
      <c r="A2108" s="23"/>
      <c r="B2108" s="23"/>
      <c r="C2108" s="23"/>
      <c r="D2108" s="23"/>
      <c r="E2108" s="23"/>
      <c r="F2108" s="23"/>
      <c r="G2108" s="23"/>
      <c r="H2108" s="2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26.25">
      <c r="A2109" s="23"/>
      <c r="B2109" s="23"/>
      <c r="C2109" s="23"/>
      <c r="D2109" s="23"/>
      <c r="E2109" s="23"/>
      <c r="F2109" s="23"/>
      <c r="G2109" s="23"/>
      <c r="H2109" s="23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26.25">
      <c r="A2110" s="24" t="s">
        <v>0</v>
      </c>
      <c r="B2110" s="25"/>
      <c r="C2110" s="25"/>
      <c r="D2110" s="25"/>
      <c r="E2110" s="25"/>
      <c r="F2110" s="25"/>
      <c r="G2110" s="25"/>
      <c r="H2110" s="26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26.25">
      <c r="A2111" s="24" t="s">
        <v>531</v>
      </c>
      <c r="B2111" s="25"/>
      <c r="C2111" s="25"/>
      <c r="D2111" s="25"/>
      <c r="E2111" s="25"/>
      <c r="F2111" s="25"/>
      <c r="G2111" s="25"/>
      <c r="H2111" s="26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8.75">
      <c r="A2112" s="2" t="s">
        <v>2</v>
      </c>
      <c r="B2112" s="2" t="s">
        <v>3</v>
      </c>
      <c r="C2112" s="2" t="s">
        <v>4</v>
      </c>
      <c r="D2112" s="2" t="s">
        <v>5</v>
      </c>
      <c r="E2112" s="2" t="s">
        <v>6</v>
      </c>
      <c r="F2112" s="3" t="s">
        <v>7</v>
      </c>
      <c r="G2112" s="2" t="s">
        <v>8</v>
      </c>
      <c r="H2112" s="4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26.25">
      <c r="A2113" s="5">
        <v>1</v>
      </c>
      <c r="B2113" s="6" t="s">
        <v>29</v>
      </c>
      <c r="C2113" s="7" t="s">
        <v>532</v>
      </c>
      <c r="D2113" s="6" t="s">
        <v>10</v>
      </c>
      <c r="E2113" s="6">
        <v>1</v>
      </c>
      <c r="F2113" s="8">
        <v>293000</v>
      </c>
      <c r="G2113" s="9">
        <f>IFERROR(#REF!*F2113,0)</f>
        <v>0</v>
      </c>
      <c r="H2113" s="10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26.25">
      <c r="A2114" s="5">
        <v>2</v>
      </c>
      <c r="B2114" s="13" t="s">
        <v>375</v>
      </c>
      <c r="C2114" s="12" t="s">
        <v>533</v>
      </c>
      <c r="D2114" s="13" t="s">
        <v>62</v>
      </c>
      <c r="E2114" s="13">
        <v>1.2</v>
      </c>
      <c r="F2114" s="14">
        <v>435000</v>
      </c>
      <c r="G2114" s="9">
        <f t="shared" ref="G2114:G2116" si="118">IFERROR(E2114*F2114,0)</f>
        <v>522000</v>
      </c>
      <c r="H2114" s="10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26.25">
      <c r="A2115" s="5">
        <v>3</v>
      </c>
      <c r="B2115" s="6" t="s">
        <v>534</v>
      </c>
      <c r="C2115" s="16" t="s">
        <v>535</v>
      </c>
      <c r="D2115" s="6" t="s">
        <v>10</v>
      </c>
      <c r="E2115" s="6">
        <v>1.34</v>
      </c>
      <c r="F2115" s="8">
        <v>293000</v>
      </c>
      <c r="G2115" s="9">
        <f t="shared" si="118"/>
        <v>392620</v>
      </c>
      <c r="H2115" s="10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26.25">
      <c r="A2116" s="5">
        <v>4</v>
      </c>
      <c r="B2116" s="17" t="s">
        <v>14</v>
      </c>
      <c r="C2116" s="10"/>
      <c r="D2116" s="10"/>
      <c r="E2116" s="10"/>
      <c r="F2116" s="10"/>
      <c r="G2116" s="18">
        <f t="shared" si="118"/>
        <v>0</v>
      </c>
      <c r="H2116" s="10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26.25">
      <c r="A2117" s="27" t="s">
        <v>15</v>
      </c>
      <c r="B2117" s="25"/>
      <c r="C2117" s="25"/>
      <c r="D2117" s="25"/>
      <c r="E2117" s="25"/>
      <c r="F2117" s="25"/>
      <c r="G2117" s="26"/>
      <c r="H2117" s="19">
        <f>SUM(G2113:G2116)</f>
        <v>914620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26.25">
      <c r="A2118" s="27" t="s">
        <v>16</v>
      </c>
      <c r="B2118" s="25"/>
      <c r="C2118" s="25"/>
      <c r="D2118" s="25"/>
      <c r="E2118" s="25"/>
      <c r="F2118" s="25"/>
      <c r="G2118" s="26"/>
      <c r="H2118" s="19">
        <f>MAX(0,H2117-648000)</f>
        <v>266620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26.25">
      <c r="A2119" s="28" t="s">
        <v>17</v>
      </c>
      <c r="B2119" s="25"/>
      <c r="C2119" s="25"/>
      <c r="D2119" s="25"/>
      <c r="E2119" s="25"/>
      <c r="F2119" s="25"/>
      <c r="G2119" s="26"/>
      <c r="H2119" s="20">
        <v>649000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26.25">
      <c r="A2120" s="24"/>
      <c r="B2120" s="25"/>
      <c r="C2120" s="25"/>
      <c r="D2120" s="25"/>
      <c r="E2120" s="25"/>
      <c r="F2120" s="25"/>
      <c r="G2120" s="25"/>
      <c r="H2120" s="26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26.25">
      <c r="A2121" s="23"/>
      <c r="B2121" s="23"/>
      <c r="C2121" s="23"/>
      <c r="D2121" s="23"/>
      <c r="E2121" s="23"/>
      <c r="F2121" s="23"/>
      <c r="G2121" s="23"/>
      <c r="H2121" s="23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26.25">
      <c r="A2122" s="23"/>
      <c r="B2122" s="23"/>
      <c r="C2122" s="23"/>
      <c r="D2122" s="23"/>
      <c r="E2122" s="23"/>
      <c r="F2122" s="23"/>
      <c r="G2122" s="23"/>
      <c r="H2122" s="2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26.25">
      <c r="A2123" s="23"/>
      <c r="B2123" s="23"/>
      <c r="C2123" s="23"/>
      <c r="D2123" s="23"/>
      <c r="E2123" s="23"/>
      <c r="F2123" s="23"/>
      <c r="G2123" s="23"/>
      <c r="H2123" s="23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26.25">
      <c r="A2124" s="23"/>
      <c r="B2124" s="23"/>
      <c r="C2124" s="23"/>
      <c r="D2124" s="23"/>
      <c r="E2124" s="23"/>
      <c r="F2124" s="23"/>
      <c r="G2124" s="23"/>
      <c r="H2124" s="23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26.25">
      <c r="A2125" s="23"/>
      <c r="B2125" s="23"/>
      <c r="C2125" s="23"/>
      <c r="D2125" s="23"/>
      <c r="E2125" s="23"/>
      <c r="F2125" s="23"/>
      <c r="G2125" s="23"/>
      <c r="H2125" s="23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26.25">
      <c r="A2126" s="23"/>
      <c r="B2126" s="23"/>
      <c r="C2126" s="23"/>
      <c r="D2126" s="23"/>
      <c r="E2126" s="23"/>
      <c r="F2126" s="23"/>
      <c r="G2126" s="23"/>
      <c r="H2126" s="23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26.25">
      <c r="A2127" s="23"/>
      <c r="B2127" s="23"/>
      <c r="C2127" s="23"/>
      <c r="D2127" s="23"/>
      <c r="E2127" s="23"/>
      <c r="F2127" s="23"/>
      <c r="G2127" s="23"/>
      <c r="H2127" s="23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26.25">
      <c r="A2128" s="23"/>
      <c r="B2128" s="23"/>
      <c r="C2128" s="23"/>
      <c r="D2128" s="23"/>
      <c r="E2128" s="23"/>
      <c r="F2128" s="23"/>
      <c r="G2128" s="23"/>
      <c r="H2128" s="23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26.25">
      <c r="A2129" s="24" t="s">
        <v>0</v>
      </c>
      <c r="B2129" s="25"/>
      <c r="C2129" s="25"/>
      <c r="D2129" s="25"/>
      <c r="E2129" s="25"/>
      <c r="F2129" s="25"/>
      <c r="G2129" s="25"/>
      <c r="H2129" s="26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26.25">
      <c r="A2130" s="24" t="s">
        <v>536</v>
      </c>
      <c r="B2130" s="25"/>
      <c r="C2130" s="25"/>
      <c r="D2130" s="25"/>
      <c r="E2130" s="25"/>
      <c r="F2130" s="25"/>
      <c r="G2130" s="25"/>
      <c r="H2130" s="26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8.75">
      <c r="A2131" s="2" t="s">
        <v>2</v>
      </c>
      <c r="B2131" s="2" t="s">
        <v>3</v>
      </c>
      <c r="C2131" s="2" t="s">
        <v>4</v>
      </c>
      <c r="D2131" s="2" t="s">
        <v>5</v>
      </c>
      <c r="E2131" s="2" t="s">
        <v>6</v>
      </c>
      <c r="F2131" s="3" t="s">
        <v>7</v>
      </c>
      <c r="G2131" s="2" t="s">
        <v>8</v>
      </c>
      <c r="H2131" s="4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26.25">
      <c r="A2132" s="5">
        <v>1</v>
      </c>
      <c r="B2132" s="22" t="s">
        <v>191</v>
      </c>
      <c r="C2132" s="22" t="s">
        <v>537</v>
      </c>
      <c r="D2132" s="6" t="s">
        <v>10</v>
      </c>
      <c r="E2132" s="22">
        <v>1</v>
      </c>
      <c r="F2132" s="8">
        <v>293000</v>
      </c>
      <c r="G2132" s="9">
        <f>IFERROR(E2113*F2132,0)</f>
        <v>293000</v>
      </c>
      <c r="H2132" s="10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26.25">
      <c r="A2133" s="5">
        <v>2</v>
      </c>
      <c r="B2133" s="22" t="s">
        <v>68</v>
      </c>
      <c r="C2133" s="22" t="s">
        <v>538</v>
      </c>
      <c r="D2133" s="13" t="s">
        <v>12</v>
      </c>
      <c r="E2133" s="13">
        <v>1.8</v>
      </c>
      <c r="F2133" s="14">
        <v>435000</v>
      </c>
      <c r="G2133" s="9">
        <f t="shared" ref="G2133:G2135" si="119">IFERROR(E2133*F2133,0)</f>
        <v>783000</v>
      </c>
      <c r="H2133" s="10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26.25">
      <c r="A2134" s="5">
        <v>3</v>
      </c>
      <c r="B2134" s="6" t="s">
        <v>53</v>
      </c>
      <c r="C2134" s="16" t="s">
        <v>539</v>
      </c>
      <c r="D2134" s="6" t="s">
        <v>10</v>
      </c>
      <c r="E2134" s="6">
        <v>0.97</v>
      </c>
      <c r="F2134" s="8">
        <v>293000</v>
      </c>
      <c r="G2134" s="9">
        <f t="shared" si="119"/>
        <v>284210</v>
      </c>
      <c r="H2134" s="10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26.25">
      <c r="A2135" s="5">
        <v>4</v>
      </c>
      <c r="B2135" s="17" t="s">
        <v>14</v>
      </c>
      <c r="C2135" s="10"/>
      <c r="D2135" s="10"/>
      <c r="E2135" s="10"/>
      <c r="F2135" s="10"/>
      <c r="G2135" s="18">
        <f t="shared" si="119"/>
        <v>0</v>
      </c>
      <c r="H2135" s="10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26.25">
      <c r="A2136" s="27" t="s">
        <v>15</v>
      </c>
      <c r="B2136" s="25"/>
      <c r="C2136" s="25"/>
      <c r="D2136" s="25"/>
      <c r="E2136" s="25"/>
      <c r="F2136" s="25"/>
      <c r="G2136" s="26"/>
      <c r="H2136" s="19">
        <f>SUM(G2132:G2135)</f>
        <v>1360210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26.25">
      <c r="A2137" s="27" t="s">
        <v>16</v>
      </c>
      <c r="B2137" s="25"/>
      <c r="C2137" s="25"/>
      <c r="D2137" s="25"/>
      <c r="E2137" s="25"/>
      <c r="F2137" s="25"/>
      <c r="G2137" s="26"/>
      <c r="H2137" s="19">
        <f>MAX(0,H2136-648000)</f>
        <v>712210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26.25">
      <c r="A2138" s="28" t="s">
        <v>17</v>
      </c>
      <c r="B2138" s="25"/>
      <c r="C2138" s="25"/>
      <c r="D2138" s="25"/>
      <c r="E2138" s="25"/>
      <c r="F2138" s="25"/>
      <c r="G2138" s="26"/>
      <c r="H2138" s="20">
        <v>649000</v>
      </c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26.25">
      <c r="A2139" s="24"/>
      <c r="B2139" s="25"/>
      <c r="C2139" s="25"/>
      <c r="D2139" s="25"/>
      <c r="E2139" s="25"/>
      <c r="F2139" s="25"/>
      <c r="G2139" s="25"/>
      <c r="H2139" s="26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26.25">
      <c r="A2140" s="23"/>
      <c r="B2140" s="23"/>
      <c r="C2140" s="23"/>
      <c r="D2140" s="23"/>
      <c r="E2140" s="23"/>
      <c r="F2140" s="23"/>
      <c r="G2140" s="23"/>
      <c r="H2140" s="23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26.25">
      <c r="A2141" s="23"/>
      <c r="B2141" s="23"/>
      <c r="C2141" s="23"/>
      <c r="D2141" s="23"/>
      <c r="E2141" s="23"/>
      <c r="F2141" s="23"/>
      <c r="G2141" s="23"/>
      <c r="H2141" s="23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26.25">
      <c r="A2142" s="23"/>
      <c r="B2142" s="23"/>
      <c r="C2142" s="23"/>
      <c r="D2142" s="23"/>
      <c r="E2142" s="23"/>
      <c r="F2142" s="23"/>
      <c r="G2142" s="23"/>
      <c r="H2142" s="23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26.25">
      <c r="A2143" s="23"/>
      <c r="B2143" s="23"/>
      <c r="C2143" s="23"/>
      <c r="D2143" s="23"/>
      <c r="E2143" s="23"/>
      <c r="F2143" s="23"/>
      <c r="G2143" s="23"/>
      <c r="H2143" s="23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26.25">
      <c r="A2144" s="23"/>
      <c r="B2144" s="23"/>
      <c r="C2144" s="23"/>
      <c r="D2144" s="23"/>
      <c r="E2144" s="23"/>
      <c r="F2144" s="23"/>
      <c r="G2144" s="23"/>
      <c r="H2144" s="23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26.25">
      <c r="A2145" s="23"/>
      <c r="B2145" s="23"/>
      <c r="C2145" s="23"/>
      <c r="D2145" s="23"/>
      <c r="E2145" s="23"/>
      <c r="F2145" s="23"/>
      <c r="G2145" s="23"/>
      <c r="H2145" s="23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6.25">
      <c r="A2146" s="23"/>
      <c r="B2146" s="23"/>
      <c r="C2146" s="23"/>
      <c r="D2146" s="23"/>
      <c r="E2146" s="23"/>
      <c r="F2146" s="23"/>
      <c r="G2146" s="23"/>
      <c r="H2146" s="23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6.25">
      <c r="A2147" s="23"/>
      <c r="B2147" s="23"/>
      <c r="C2147" s="23"/>
      <c r="D2147" s="23"/>
      <c r="E2147" s="23"/>
      <c r="F2147" s="23"/>
      <c r="G2147" s="23"/>
      <c r="H2147" s="23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6.25">
      <c r="A2148" s="23"/>
      <c r="B2148" s="23"/>
      <c r="C2148" s="23"/>
      <c r="D2148" s="23"/>
      <c r="E2148" s="23"/>
      <c r="F2148" s="23"/>
      <c r="G2148" s="23"/>
      <c r="H2148" s="23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6.25">
      <c r="A2149" s="24" t="s">
        <v>0</v>
      </c>
      <c r="B2149" s="25"/>
      <c r="C2149" s="25"/>
      <c r="D2149" s="25"/>
      <c r="E2149" s="25"/>
      <c r="F2149" s="25"/>
      <c r="G2149" s="25"/>
      <c r="H2149" s="26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6.25">
      <c r="A2150" s="24" t="s">
        <v>540</v>
      </c>
      <c r="B2150" s="25"/>
      <c r="C2150" s="25"/>
      <c r="D2150" s="25"/>
      <c r="E2150" s="25"/>
      <c r="F2150" s="25"/>
      <c r="G2150" s="25"/>
      <c r="H2150" s="26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8.75">
      <c r="A2151" s="2" t="s">
        <v>2</v>
      </c>
      <c r="B2151" s="2" t="s">
        <v>3</v>
      </c>
      <c r="C2151" s="2" t="s">
        <v>4</v>
      </c>
      <c r="D2151" s="2" t="s">
        <v>5</v>
      </c>
      <c r="E2151" s="2" t="s">
        <v>6</v>
      </c>
      <c r="F2151" s="3" t="s">
        <v>7</v>
      </c>
      <c r="G2151" s="2" t="s">
        <v>8</v>
      </c>
      <c r="H2151" s="4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26.25">
      <c r="A2152" s="5">
        <v>1</v>
      </c>
      <c r="B2152" s="6" t="s">
        <v>541</v>
      </c>
      <c r="C2152" s="7" t="s">
        <v>542</v>
      </c>
      <c r="D2152" s="6" t="s">
        <v>10</v>
      </c>
      <c r="E2152" s="6">
        <v>1</v>
      </c>
      <c r="F2152" s="8">
        <v>293000</v>
      </c>
      <c r="G2152" s="9">
        <f t="shared" ref="G2152:G2155" si="120">IFERROR(E2152*F2152,0)</f>
        <v>293000</v>
      </c>
      <c r="H2152" s="10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26.25">
      <c r="A2153" s="5">
        <v>2</v>
      </c>
      <c r="B2153" s="13" t="s">
        <v>543</v>
      </c>
      <c r="C2153" s="12" t="s">
        <v>544</v>
      </c>
      <c r="D2153" s="13" t="s">
        <v>12</v>
      </c>
      <c r="E2153" s="13">
        <v>1.48</v>
      </c>
      <c r="F2153" s="14">
        <v>435000</v>
      </c>
      <c r="G2153" s="9">
        <f t="shared" si="120"/>
        <v>643800</v>
      </c>
      <c r="H2153" s="10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26.25">
      <c r="A2154" s="5">
        <v>3</v>
      </c>
      <c r="B2154" s="6" t="s">
        <v>545</v>
      </c>
      <c r="C2154" s="16" t="s">
        <v>546</v>
      </c>
      <c r="D2154" s="6" t="s">
        <v>10</v>
      </c>
      <c r="E2154" s="6">
        <v>1.27</v>
      </c>
      <c r="F2154" s="8">
        <v>293000</v>
      </c>
      <c r="G2154" s="9">
        <f t="shared" si="120"/>
        <v>372110</v>
      </c>
      <c r="H2154" s="10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26.25">
      <c r="A2155" s="5">
        <v>4</v>
      </c>
      <c r="B2155" s="17" t="s">
        <v>14</v>
      </c>
      <c r="C2155" s="10"/>
      <c r="D2155" s="10"/>
      <c r="E2155" s="10"/>
      <c r="F2155" s="10"/>
      <c r="G2155" s="18">
        <f t="shared" si="120"/>
        <v>0</v>
      </c>
      <c r="H2155" s="10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26.25">
      <c r="A2156" s="27" t="s">
        <v>15</v>
      </c>
      <c r="B2156" s="25"/>
      <c r="C2156" s="25"/>
      <c r="D2156" s="25"/>
      <c r="E2156" s="25"/>
      <c r="F2156" s="25"/>
      <c r="G2156" s="26"/>
      <c r="H2156" s="19">
        <f>SUM(G2152:G2155)</f>
        <v>1308910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26.25">
      <c r="A2157" s="27" t="s">
        <v>16</v>
      </c>
      <c r="B2157" s="25"/>
      <c r="C2157" s="25"/>
      <c r="D2157" s="25"/>
      <c r="E2157" s="25"/>
      <c r="F2157" s="25"/>
      <c r="G2157" s="26"/>
      <c r="H2157" s="19">
        <f>MAX(0,H2156-648000)</f>
        <v>660910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26.25">
      <c r="A2158" s="28" t="s">
        <v>17</v>
      </c>
      <c r="B2158" s="25"/>
      <c r="C2158" s="25"/>
      <c r="D2158" s="25"/>
      <c r="E2158" s="25"/>
      <c r="F2158" s="25"/>
      <c r="G2158" s="26"/>
      <c r="H2158" s="20">
        <v>649000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26.25">
      <c r="A2159" s="24"/>
      <c r="B2159" s="25"/>
      <c r="C2159" s="25"/>
      <c r="D2159" s="25"/>
      <c r="E2159" s="25"/>
      <c r="F2159" s="25"/>
      <c r="G2159" s="25"/>
      <c r="H2159" s="26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26.25">
      <c r="A2160" s="23"/>
      <c r="B2160" s="23"/>
      <c r="C2160" s="23"/>
      <c r="D2160" s="23"/>
      <c r="E2160" s="23"/>
      <c r="F2160" s="23"/>
      <c r="G2160" s="23"/>
      <c r="H2160" s="23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6.25">
      <c r="A2161" s="23"/>
      <c r="B2161" s="23"/>
      <c r="C2161" s="23"/>
      <c r="D2161" s="23"/>
      <c r="E2161" s="23"/>
      <c r="F2161" s="23"/>
      <c r="G2161" s="23"/>
      <c r="H2161" s="23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26.25">
      <c r="A2162" s="23"/>
      <c r="B2162" s="23"/>
      <c r="C2162" s="23"/>
      <c r="D2162" s="23"/>
      <c r="E2162" s="23"/>
      <c r="F2162" s="23"/>
      <c r="G2162" s="23"/>
      <c r="H2162" s="23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26.25">
      <c r="A2163" s="23"/>
      <c r="B2163" s="23"/>
      <c r="C2163" s="23"/>
      <c r="D2163" s="23"/>
      <c r="E2163" s="23"/>
      <c r="F2163" s="23"/>
      <c r="G2163" s="23"/>
      <c r="H2163" s="23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6.25">
      <c r="A2164" s="23"/>
      <c r="B2164" s="23"/>
      <c r="C2164" s="23"/>
      <c r="D2164" s="23"/>
      <c r="E2164" s="23"/>
      <c r="F2164" s="23"/>
      <c r="G2164" s="23"/>
      <c r="H2164" s="23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26.25">
      <c r="A2165" s="23"/>
      <c r="B2165" s="23"/>
      <c r="C2165" s="23"/>
      <c r="D2165" s="23"/>
      <c r="E2165" s="23"/>
      <c r="F2165" s="23"/>
      <c r="G2165" s="23"/>
      <c r="H2165" s="23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26.25">
      <c r="A2166" s="24" t="s">
        <v>0</v>
      </c>
      <c r="B2166" s="25"/>
      <c r="C2166" s="25"/>
      <c r="D2166" s="25"/>
      <c r="E2166" s="25"/>
      <c r="F2166" s="25"/>
      <c r="G2166" s="25"/>
      <c r="H2166" s="26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6.25">
      <c r="A2167" s="24" t="s">
        <v>547</v>
      </c>
      <c r="B2167" s="25"/>
      <c r="C2167" s="25"/>
      <c r="D2167" s="25"/>
      <c r="E2167" s="25"/>
      <c r="F2167" s="25"/>
      <c r="G2167" s="25"/>
      <c r="H2167" s="26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8.75">
      <c r="A2168" s="2" t="s">
        <v>2</v>
      </c>
      <c r="B2168" s="2" t="s">
        <v>3</v>
      </c>
      <c r="C2168" s="2" t="s">
        <v>4</v>
      </c>
      <c r="D2168" s="2" t="s">
        <v>5</v>
      </c>
      <c r="E2168" s="2" t="s">
        <v>6</v>
      </c>
      <c r="F2168" s="3" t="s">
        <v>7</v>
      </c>
      <c r="G2168" s="2" t="s">
        <v>8</v>
      </c>
      <c r="H2168" s="4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6.25">
      <c r="A2169" s="5">
        <v>1</v>
      </c>
      <c r="B2169" s="6" t="s">
        <v>548</v>
      </c>
      <c r="C2169" s="7" t="s">
        <v>549</v>
      </c>
      <c r="D2169" s="6" t="s">
        <v>10</v>
      </c>
      <c r="E2169" s="6">
        <v>1.35</v>
      </c>
      <c r="F2169" s="8">
        <v>293000</v>
      </c>
      <c r="G2169" s="9">
        <f t="shared" ref="G2169:G2172" si="121">IFERROR(E2169*F2169,0)</f>
        <v>395550</v>
      </c>
      <c r="H2169" s="10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26.25">
      <c r="A2170" s="5">
        <v>2</v>
      </c>
      <c r="B2170" s="13" t="s">
        <v>150</v>
      </c>
      <c r="C2170" s="12" t="s">
        <v>550</v>
      </c>
      <c r="D2170" s="13" t="s">
        <v>12</v>
      </c>
      <c r="E2170" s="13">
        <v>1.4</v>
      </c>
      <c r="F2170" s="14">
        <v>435000</v>
      </c>
      <c r="G2170" s="9">
        <f t="shared" si="121"/>
        <v>609000</v>
      </c>
      <c r="H2170" s="10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26.25">
      <c r="A2171" s="5">
        <v>3</v>
      </c>
      <c r="B2171" s="6" t="s">
        <v>551</v>
      </c>
      <c r="C2171" s="16" t="s">
        <v>552</v>
      </c>
      <c r="D2171" s="6" t="s">
        <v>10</v>
      </c>
      <c r="E2171" s="6">
        <v>1.3</v>
      </c>
      <c r="F2171" s="8">
        <v>293000</v>
      </c>
      <c r="G2171" s="9">
        <f t="shared" si="121"/>
        <v>380900</v>
      </c>
      <c r="H2171" s="10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6.25">
      <c r="A2172" s="5">
        <v>4</v>
      </c>
      <c r="B2172" s="17" t="s">
        <v>14</v>
      </c>
      <c r="C2172" s="10"/>
      <c r="D2172" s="10"/>
      <c r="E2172" s="10"/>
      <c r="F2172" s="10"/>
      <c r="G2172" s="18">
        <f t="shared" si="121"/>
        <v>0</v>
      </c>
      <c r="H2172" s="10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6.25">
      <c r="A2173" s="27" t="s">
        <v>15</v>
      </c>
      <c r="B2173" s="25"/>
      <c r="C2173" s="25"/>
      <c r="D2173" s="25"/>
      <c r="E2173" s="25"/>
      <c r="F2173" s="25"/>
      <c r="G2173" s="26"/>
      <c r="H2173" s="19">
        <f>SUM(G2169:G2172)</f>
        <v>1385450</v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26.25">
      <c r="A2174" s="27" t="s">
        <v>16</v>
      </c>
      <c r="B2174" s="25"/>
      <c r="C2174" s="25"/>
      <c r="D2174" s="25"/>
      <c r="E2174" s="25"/>
      <c r="F2174" s="25"/>
      <c r="G2174" s="26"/>
      <c r="H2174" s="19">
        <f>MAX(0,H2173-648000)</f>
        <v>737450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26.25">
      <c r="A2175" s="28" t="s">
        <v>17</v>
      </c>
      <c r="B2175" s="25"/>
      <c r="C2175" s="25"/>
      <c r="D2175" s="25"/>
      <c r="E2175" s="25"/>
      <c r="F2175" s="25"/>
      <c r="G2175" s="26"/>
      <c r="H2175" s="20">
        <v>649000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26.25">
      <c r="A2176" s="24"/>
      <c r="B2176" s="25"/>
      <c r="C2176" s="25"/>
      <c r="D2176" s="25"/>
      <c r="E2176" s="25"/>
      <c r="F2176" s="25"/>
      <c r="G2176" s="25"/>
      <c r="H2176" s="26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6.25">
      <c r="A2177" s="23"/>
      <c r="B2177" s="23"/>
      <c r="C2177" s="23"/>
      <c r="D2177" s="23"/>
      <c r="E2177" s="23"/>
      <c r="F2177" s="23"/>
      <c r="G2177" s="23"/>
      <c r="H2177" s="23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6.25">
      <c r="A2178" s="23"/>
      <c r="B2178" s="23"/>
      <c r="C2178" s="23"/>
      <c r="D2178" s="23"/>
      <c r="E2178" s="23"/>
      <c r="F2178" s="23"/>
      <c r="G2178" s="23"/>
      <c r="H2178" s="23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6.25">
      <c r="A2179" s="23"/>
      <c r="B2179" s="23"/>
      <c r="C2179" s="23"/>
      <c r="D2179" s="23"/>
      <c r="E2179" s="23"/>
      <c r="F2179" s="23"/>
      <c r="G2179" s="23"/>
      <c r="H2179" s="23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6.25">
      <c r="A2180" s="23"/>
      <c r="B2180" s="23"/>
      <c r="C2180" s="23"/>
      <c r="D2180" s="23"/>
      <c r="E2180" s="23"/>
      <c r="F2180" s="23"/>
      <c r="G2180" s="23"/>
      <c r="H2180" s="23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26.25">
      <c r="A2181" s="23"/>
      <c r="B2181" s="23"/>
      <c r="C2181" s="23"/>
      <c r="D2181" s="23"/>
      <c r="E2181" s="23"/>
      <c r="F2181" s="23"/>
      <c r="G2181" s="23"/>
      <c r="H2181" s="23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26.25">
      <c r="A2182" s="23"/>
      <c r="B2182" s="23"/>
      <c r="C2182" s="23"/>
      <c r="D2182" s="23"/>
      <c r="E2182" s="23"/>
      <c r="F2182" s="23"/>
      <c r="G2182" s="23"/>
      <c r="H2182" s="23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6.25">
      <c r="A2183" s="24" t="s">
        <v>0</v>
      </c>
      <c r="B2183" s="25"/>
      <c r="C2183" s="25"/>
      <c r="D2183" s="25"/>
      <c r="E2183" s="25"/>
      <c r="F2183" s="25"/>
      <c r="G2183" s="25"/>
      <c r="H2183" s="26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26.25">
      <c r="A2184" s="24" t="s">
        <v>553</v>
      </c>
      <c r="B2184" s="25"/>
      <c r="C2184" s="25"/>
      <c r="D2184" s="25"/>
      <c r="E2184" s="25"/>
      <c r="F2184" s="25"/>
      <c r="G2184" s="25"/>
      <c r="H2184" s="26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8.75">
      <c r="A2185" s="2" t="s">
        <v>2</v>
      </c>
      <c r="B2185" s="2" t="s">
        <v>3</v>
      </c>
      <c r="C2185" s="2" t="s">
        <v>4</v>
      </c>
      <c r="D2185" s="2" t="s">
        <v>5</v>
      </c>
      <c r="E2185" s="2" t="s">
        <v>6</v>
      </c>
      <c r="F2185" s="3" t="s">
        <v>7</v>
      </c>
      <c r="G2185" s="2" t="s">
        <v>8</v>
      </c>
      <c r="H2185" s="4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26.25">
      <c r="A2186" s="5">
        <v>1</v>
      </c>
      <c r="B2186" s="6" t="s">
        <v>106</v>
      </c>
      <c r="C2186" s="7" t="s">
        <v>554</v>
      </c>
      <c r="D2186" s="6" t="s">
        <v>10</v>
      </c>
      <c r="E2186" s="6">
        <v>1.02</v>
      </c>
      <c r="F2186" s="8">
        <v>293000</v>
      </c>
      <c r="G2186" s="9">
        <f t="shared" ref="G2186:G2189" si="122">IFERROR(E2186*F2186,0)</f>
        <v>298860</v>
      </c>
      <c r="H2186" s="10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26.25">
      <c r="A2187" s="5">
        <v>2</v>
      </c>
      <c r="B2187" s="13" t="s">
        <v>175</v>
      </c>
      <c r="C2187" s="12" t="s">
        <v>555</v>
      </c>
      <c r="D2187" s="13" t="s">
        <v>12</v>
      </c>
      <c r="E2187" s="13">
        <v>1.23</v>
      </c>
      <c r="F2187" s="14">
        <v>435000</v>
      </c>
      <c r="G2187" s="9">
        <f t="shared" si="122"/>
        <v>535050</v>
      </c>
      <c r="H2187" s="10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26.25">
      <c r="A2188" s="5">
        <v>3</v>
      </c>
      <c r="B2188" s="6" t="s">
        <v>556</v>
      </c>
      <c r="C2188" s="16" t="s">
        <v>557</v>
      </c>
      <c r="D2188" s="6" t="s">
        <v>10</v>
      </c>
      <c r="E2188" s="6">
        <v>0.9</v>
      </c>
      <c r="F2188" s="8">
        <v>293000</v>
      </c>
      <c r="G2188" s="9">
        <f t="shared" si="122"/>
        <v>263700</v>
      </c>
      <c r="H2188" s="10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26.25">
      <c r="A2189" s="5">
        <v>4</v>
      </c>
      <c r="B2189" s="17" t="s">
        <v>14</v>
      </c>
      <c r="C2189" s="10"/>
      <c r="D2189" s="10"/>
      <c r="E2189" s="10"/>
      <c r="F2189" s="10"/>
      <c r="G2189" s="18">
        <f t="shared" si="122"/>
        <v>0</v>
      </c>
      <c r="H2189" s="10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26.25">
      <c r="A2190" s="27" t="s">
        <v>15</v>
      </c>
      <c r="B2190" s="25"/>
      <c r="C2190" s="25"/>
      <c r="D2190" s="25"/>
      <c r="E2190" s="25"/>
      <c r="F2190" s="25"/>
      <c r="G2190" s="26"/>
      <c r="H2190" s="19">
        <f>SUM(G2186:G2189)</f>
        <v>1097610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26.25">
      <c r="A2191" s="27" t="s">
        <v>16</v>
      </c>
      <c r="B2191" s="25"/>
      <c r="C2191" s="25"/>
      <c r="D2191" s="25"/>
      <c r="E2191" s="25"/>
      <c r="F2191" s="25"/>
      <c r="G2191" s="26"/>
      <c r="H2191" s="19">
        <f>MAX(0,H2190-648000)</f>
        <v>449610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26.25">
      <c r="A2192" s="28" t="s">
        <v>17</v>
      </c>
      <c r="B2192" s="25"/>
      <c r="C2192" s="25"/>
      <c r="D2192" s="25"/>
      <c r="E2192" s="25"/>
      <c r="F2192" s="25"/>
      <c r="G2192" s="26"/>
      <c r="H2192" s="20">
        <v>649000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6.25">
      <c r="A2193" s="24"/>
      <c r="B2193" s="25"/>
      <c r="C2193" s="25"/>
      <c r="D2193" s="25"/>
      <c r="E2193" s="25"/>
      <c r="F2193" s="25"/>
      <c r="G2193" s="25"/>
      <c r="H2193" s="26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26.25">
      <c r="A2194" s="23"/>
      <c r="B2194" s="23"/>
      <c r="C2194" s="23"/>
      <c r="D2194" s="23"/>
      <c r="E2194" s="23"/>
      <c r="F2194" s="23"/>
      <c r="G2194" s="23"/>
      <c r="H2194" s="23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6.25">
      <c r="A2195" s="23"/>
      <c r="B2195" s="23"/>
      <c r="C2195" s="23"/>
      <c r="D2195" s="23"/>
      <c r="E2195" s="23"/>
      <c r="F2195" s="23"/>
      <c r="G2195" s="23"/>
      <c r="H2195" s="23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26.25">
      <c r="A2196" s="23"/>
      <c r="B2196" s="23"/>
      <c r="C2196" s="23"/>
      <c r="D2196" s="23"/>
      <c r="E2196" s="23"/>
      <c r="F2196" s="23"/>
      <c r="G2196" s="23"/>
      <c r="H2196" s="23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6.25">
      <c r="A2197" s="23"/>
      <c r="B2197" s="23"/>
      <c r="C2197" s="23"/>
      <c r="D2197" s="23"/>
      <c r="E2197" s="23"/>
      <c r="F2197" s="23"/>
      <c r="G2197" s="23"/>
      <c r="H2197" s="23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6.25">
      <c r="A2198" s="23"/>
      <c r="B2198" s="23"/>
      <c r="C2198" s="23"/>
      <c r="D2198" s="23"/>
      <c r="E2198" s="23"/>
      <c r="F2198" s="23"/>
      <c r="G2198" s="23"/>
      <c r="H2198" s="23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6.25">
      <c r="A2199" s="23"/>
      <c r="B2199" s="23"/>
      <c r="C2199" s="23"/>
      <c r="D2199" s="23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6.25">
      <c r="A2200" s="24" t="s">
        <v>0</v>
      </c>
      <c r="B2200" s="25"/>
      <c r="C2200" s="25"/>
      <c r="D2200" s="25"/>
      <c r="E2200" s="25"/>
      <c r="F2200" s="25"/>
      <c r="G2200" s="25"/>
      <c r="H2200" s="26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6.25">
      <c r="A2201" s="24" t="s">
        <v>558</v>
      </c>
      <c r="B2201" s="25"/>
      <c r="C2201" s="25"/>
      <c r="D2201" s="25"/>
      <c r="E2201" s="25"/>
      <c r="F2201" s="25"/>
      <c r="G2201" s="25"/>
      <c r="H2201" s="26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8.75">
      <c r="A2202" s="2" t="s">
        <v>2</v>
      </c>
      <c r="B2202" s="2" t="s">
        <v>3</v>
      </c>
      <c r="C2202" s="2" t="s">
        <v>4</v>
      </c>
      <c r="D2202" s="2" t="s">
        <v>5</v>
      </c>
      <c r="E2202" s="2" t="s">
        <v>6</v>
      </c>
      <c r="F2202" s="3" t="s">
        <v>7</v>
      </c>
      <c r="G2202" s="2" t="s">
        <v>8</v>
      </c>
      <c r="H2202" s="4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26.25">
      <c r="A2203" s="5">
        <v>1</v>
      </c>
      <c r="B2203" s="6" t="s">
        <v>559</v>
      </c>
      <c r="C2203" s="7" t="s">
        <v>341</v>
      </c>
      <c r="D2203" s="6" t="s">
        <v>127</v>
      </c>
      <c r="E2203" s="6">
        <v>2</v>
      </c>
      <c r="F2203" s="8">
        <v>293000</v>
      </c>
      <c r="G2203" s="9">
        <f t="shared" ref="G2203:G2205" si="123">IFERROR(E2203*F2203,0)</f>
        <v>586000</v>
      </c>
      <c r="H2203" s="10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26.25">
      <c r="A2204" s="5">
        <v>2</v>
      </c>
      <c r="B2204" s="13" t="s">
        <v>68</v>
      </c>
      <c r="C2204" s="12" t="s">
        <v>560</v>
      </c>
      <c r="D2204" s="13" t="s">
        <v>12</v>
      </c>
      <c r="E2204" s="13">
        <v>1.36</v>
      </c>
      <c r="F2204" s="14">
        <v>435000</v>
      </c>
      <c r="G2204" s="9">
        <f t="shared" si="123"/>
        <v>591600</v>
      </c>
      <c r="H2204" s="10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26.25">
      <c r="A2205" s="5">
        <v>3</v>
      </c>
      <c r="B2205" s="17" t="s">
        <v>14</v>
      </c>
      <c r="C2205" s="10"/>
      <c r="D2205" s="10"/>
      <c r="E2205" s="10"/>
      <c r="F2205" s="10"/>
      <c r="G2205" s="18">
        <f t="shared" si="123"/>
        <v>0</v>
      </c>
      <c r="H2205" s="10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6.25">
      <c r="A2206" s="27" t="s">
        <v>15</v>
      </c>
      <c r="B2206" s="25"/>
      <c r="C2206" s="25"/>
      <c r="D2206" s="25"/>
      <c r="E2206" s="25"/>
      <c r="F2206" s="25"/>
      <c r="G2206" s="26"/>
      <c r="H2206" s="19">
        <f>SUM(G2203:G2205)</f>
        <v>1177600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6.25">
      <c r="A2207" s="27" t="s">
        <v>16</v>
      </c>
      <c r="B2207" s="25"/>
      <c r="C2207" s="25"/>
      <c r="D2207" s="25"/>
      <c r="E2207" s="25"/>
      <c r="F2207" s="25"/>
      <c r="G2207" s="26"/>
      <c r="H2207" s="19">
        <f>MAX(0,H2206-648000)</f>
        <v>529600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6.25">
      <c r="A2208" s="28" t="s">
        <v>17</v>
      </c>
      <c r="B2208" s="25"/>
      <c r="C2208" s="25"/>
      <c r="D2208" s="25"/>
      <c r="E2208" s="25"/>
      <c r="F2208" s="25"/>
      <c r="G2208" s="26"/>
      <c r="H2208" s="20">
        <v>649000</v>
      </c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6.25">
      <c r="A2209" s="24"/>
      <c r="B2209" s="25"/>
      <c r="C2209" s="25"/>
      <c r="D2209" s="25"/>
      <c r="E2209" s="25"/>
      <c r="F2209" s="25"/>
      <c r="G2209" s="25"/>
      <c r="H2209" s="26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6.25">
      <c r="A2210" s="23"/>
      <c r="B2210" s="23"/>
      <c r="C2210" s="23"/>
      <c r="D2210" s="23"/>
      <c r="E2210" s="23"/>
      <c r="F2210" s="23"/>
      <c r="G2210" s="23"/>
      <c r="H2210" s="23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26.25">
      <c r="A2211" s="23"/>
      <c r="B2211" s="23"/>
      <c r="C2211" s="23"/>
      <c r="D2211" s="23"/>
      <c r="E2211" s="23"/>
      <c r="F2211" s="23"/>
      <c r="G2211" s="23"/>
      <c r="H2211" s="23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26.25">
      <c r="A2212" s="23"/>
      <c r="B2212" s="23"/>
      <c r="C2212" s="23"/>
      <c r="D2212" s="23"/>
      <c r="E2212" s="23"/>
      <c r="F2212" s="23"/>
      <c r="G2212" s="23"/>
      <c r="H2212" s="23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26.25">
      <c r="A2213" s="23"/>
      <c r="B2213" s="23"/>
      <c r="C2213" s="23"/>
      <c r="D2213" s="23"/>
      <c r="E2213" s="23"/>
      <c r="F2213" s="23"/>
      <c r="G2213" s="23"/>
      <c r="H2213" s="23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26.25">
      <c r="A2214" s="23"/>
      <c r="B2214" s="23"/>
      <c r="C2214" s="23"/>
      <c r="D2214" s="23"/>
      <c r="E2214" s="23"/>
      <c r="F2214" s="23"/>
      <c r="G2214" s="23"/>
      <c r="H2214" s="23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26.25">
      <c r="A2215" s="23"/>
      <c r="B2215" s="23"/>
      <c r="C2215" s="23"/>
      <c r="D2215" s="23"/>
      <c r="E2215" s="23"/>
      <c r="F2215" s="23"/>
      <c r="G2215" s="23"/>
      <c r="H2215" s="23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26.25">
      <c r="A2216" s="23"/>
      <c r="B2216" s="23"/>
      <c r="C2216" s="23"/>
      <c r="D2216" s="23"/>
      <c r="E2216" s="23"/>
      <c r="F2216" s="23"/>
      <c r="G2216" s="23"/>
      <c r="H2216" s="2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26.25">
      <c r="A2217" s="24" t="s">
        <v>0</v>
      </c>
      <c r="B2217" s="25"/>
      <c r="C2217" s="25"/>
      <c r="D2217" s="25"/>
      <c r="E2217" s="25"/>
      <c r="F2217" s="25"/>
      <c r="G2217" s="25"/>
      <c r="H2217" s="26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6.25">
      <c r="A2218" s="24" t="s">
        <v>561</v>
      </c>
      <c r="B2218" s="25"/>
      <c r="C2218" s="25"/>
      <c r="D2218" s="25"/>
      <c r="E2218" s="25"/>
      <c r="F2218" s="25"/>
      <c r="G2218" s="25"/>
      <c r="H2218" s="26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8.75">
      <c r="A2219" s="2" t="s">
        <v>2</v>
      </c>
      <c r="B2219" s="2" t="s">
        <v>3</v>
      </c>
      <c r="C2219" s="2" t="s">
        <v>4</v>
      </c>
      <c r="D2219" s="2" t="s">
        <v>5</v>
      </c>
      <c r="E2219" s="2" t="s">
        <v>6</v>
      </c>
      <c r="F2219" s="3" t="s">
        <v>7</v>
      </c>
      <c r="G2219" s="2" t="s">
        <v>8</v>
      </c>
      <c r="H2219" s="4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6.25">
      <c r="A2220" s="5">
        <v>1</v>
      </c>
      <c r="B2220" s="6" t="s">
        <v>23</v>
      </c>
      <c r="C2220" s="7" t="s">
        <v>562</v>
      </c>
      <c r="D2220" s="6" t="s">
        <v>127</v>
      </c>
      <c r="E2220" s="6">
        <v>1.48</v>
      </c>
      <c r="F2220" s="8">
        <v>293000</v>
      </c>
      <c r="G2220" s="9">
        <f t="shared" ref="G2220:G2222" si="124">IFERROR(E2220*F2220,0)</f>
        <v>433640</v>
      </c>
      <c r="H2220" s="10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26.25">
      <c r="A2221" s="5">
        <v>2</v>
      </c>
      <c r="B2221" s="13" t="s">
        <v>53</v>
      </c>
      <c r="C2221" s="12" t="s">
        <v>563</v>
      </c>
      <c r="D2221" s="13" t="s">
        <v>12</v>
      </c>
      <c r="E2221" s="13">
        <v>1.6</v>
      </c>
      <c r="F2221" s="14">
        <v>435000</v>
      </c>
      <c r="G2221" s="9">
        <f t="shared" si="124"/>
        <v>696000</v>
      </c>
      <c r="H2221" s="10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6.25">
      <c r="A2222" s="5">
        <v>3</v>
      </c>
      <c r="B2222" s="17" t="s">
        <v>14</v>
      </c>
      <c r="C2222" s="10"/>
      <c r="D2222" s="10"/>
      <c r="E2222" s="10"/>
      <c r="F2222" s="10"/>
      <c r="G2222" s="18">
        <f t="shared" si="124"/>
        <v>0</v>
      </c>
      <c r="H2222" s="10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6.25">
      <c r="A2223" s="27" t="s">
        <v>15</v>
      </c>
      <c r="B2223" s="25"/>
      <c r="C2223" s="25"/>
      <c r="D2223" s="25"/>
      <c r="E2223" s="25"/>
      <c r="F2223" s="25"/>
      <c r="G2223" s="26"/>
      <c r="H2223" s="19">
        <f>SUM(G2220:G2222)</f>
        <v>1129640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26.25">
      <c r="A2224" s="27" t="s">
        <v>16</v>
      </c>
      <c r="B2224" s="25"/>
      <c r="C2224" s="25"/>
      <c r="D2224" s="25"/>
      <c r="E2224" s="25"/>
      <c r="F2224" s="25"/>
      <c r="G2224" s="26"/>
      <c r="H2224" s="19">
        <f>MAX(0,H2223-648000)</f>
        <v>481640</v>
      </c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6.25">
      <c r="A2225" s="28" t="s">
        <v>17</v>
      </c>
      <c r="B2225" s="25"/>
      <c r="C2225" s="25"/>
      <c r="D2225" s="25"/>
      <c r="E2225" s="25"/>
      <c r="F2225" s="25"/>
      <c r="G2225" s="26"/>
      <c r="H2225" s="20">
        <v>649000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26.25">
      <c r="A2226" s="24"/>
      <c r="B2226" s="25"/>
      <c r="C2226" s="25"/>
      <c r="D2226" s="25"/>
      <c r="E2226" s="25"/>
      <c r="F2226" s="25"/>
      <c r="G2226" s="25"/>
      <c r="H2226" s="26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6.25">
      <c r="A2227" s="23"/>
      <c r="B2227" s="23"/>
      <c r="C2227" s="23"/>
      <c r="D2227" s="23"/>
      <c r="E2227" s="23"/>
      <c r="F2227" s="23"/>
      <c r="G2227" s="23"/>
      <c r="H2227" s="23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6.25">
      <c r="A2228" s="23"/>
      <c r="B2228" s="23"/>
      <c r="C2228" s="23"/>
      <c r="D2228" s="23"/>
      <c r="E2228" s="23"/>
      <c r="F2228" s="23"/>
      <c r="G2228" s="23"/>
      <c r="H2228" s="23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6.25">
      <c r="A2229" s="23" t="s">
        <v>0</v>
      </c>
      <c r="B2229" s="23"/>
      <c r="C2229" s="23"/>
      <c r="D2229" s="23"/>
      <c r="E2229" s="23"/>
      <c r="F2229" s="23"/>
      <c r="G2229" s="23"/>
      <c r="H2229" s="23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6.25">
      <c r="A2230" s="23" t="s">
        <v>564</v>
      </c>
      <c r="B2230" s="23"/>
      <c r="C2230" s="23"/>
      <c r="D2230" s="23"/>
      <c r="E2230" s="23"/>
      <c r="F2230" s="23"/>
      <c r="G2230" s="23"/>
      <c r="H2230" s="23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26.25">
      <c r="A2231" s="23" t="s">
        <v>2</v>
      </c>
      <c r="B2231" s="23" t="s">
        <v>3</v>
      </c>
      <c r="C2231" s="23" t="s">
        <v>4</v>
      </c>
      <c r="D2231" s="23" t="s">
        <v>5</v>
      </c>
      <c r="E2231" s="23" t="s">
        <v>6</v>
      </c>
      <c r="F2231" s="23" t="s">
        <v>7</v>
      </c>
      <c r="G2231" s="23" t="s">
        <v>8</v>
      </c>
      <c r="H2231" s="23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26.25">
      <c r="A2232" s="23">
        <v>1</v>
      </c>
      <c r="B2232" s="23" t="s">
        <v>93</v>
      </c>
      <c r="C2232" s="23" t="s">
        <v>349</v>
      </c>
      <c r="D2232" s="23" t="s">
        <v>127</v>
      </c>
      <c r="E2232" s="23">
        <v>2</v>
      </c>
      <c r="F2232" s="29">
        <v>293000</v>
      </c>
      <c r="G2232" s="29">
        <v>586000</v>
      </c>
      <c r="H2232" s="23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6.25">
      <c r="A2233" s="23">
        <v>2</v>
      </c>
      <c r="B2233" s="23" t="s">
        <v>393</v>
      </c>
      <c r="C2233" s="23" t="s">
        <v>565</v>
      </c>
      <c r="D2233" s="23" t="s">
        <v>12</v>
      </c>
      <c r="E2233" s="23">
        <v>1.5</v>
      </c>
      <c r="F2233" s="29">
        <v>435000</v>
      </c>
      <c r="G2233" s="29">
        <v>652500</v>
      </c>
      <c r="H2233" s="23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26.25">
      <c r="A2234" s="23">
        <v>3</v>
      </c>
      <c r="B2234" s="23" t="s">
        <v>14</v>
      </c>
      <c r="C2234" s="23"/>
      <c r="D2234" s="23"/>
      <c r="E2234" s="23"/>
      <c r="F2234" s="23"/>
      <c r="G2234" s="23">
        <v>0</v>
      </c>
      <c r="H2234" s="23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26.25">
      <c r="A2235" s="23" t="s">
        <v>15</v>
      </c>
      <c r="B2235" s="23"/>
      <c r="C2235" s="23"/>
      <c r="D2235" s="23"/>
      <c r="E2235" s="23"/>
      <c r="F2235" s="23"/>
      <c r="G2235" s="23"/>
      <c r="H2235" s="29">
        <v>1238500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26.25">
      <c r="A2236" s="23" t="s">
        <v>16</v>
      </c>
      <c r="B2236" s="23"/>
      <c r="C2236" s="23"/>
      <c r="D2236" s="23"/>
      <c r="E2236" s="23"/>
      <c r="F2236" s="23"/>
      <c r="G2236" s="23"/>
      <c r="H2236" s="29">
        <v>590500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6.25">
      <c r="A2237" s="23" t="s">
        <v>17</v>
      </c>
      <c r="B2237" s="23"/>
      <c r="C2237" s="23"/>
      <c r="D2237" s="23"/>
      <c r="E2237" s="23"/>
      <c r="F2237" s="23"/>
      <c r="G2237" s="23"/>
      <c r="H2237" s="29">
        <v>649000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26.25">
      <c r="A2238" s="23"/>
      <c r="B2238" s="23"/>
      <c r="C2238" s="23"/>
      <c r="D2238" s="23"/>
      <c r="E2238" s="23"/>
      <c r="F2238" s="23"/>
      <c r="G2238" s="23"/>
      <c r="H2238" s="23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26.25">
      <c r="A2239" s="23"/>
      <c r="B2239" s="23"/>
      <c r="C2239" s="23"/>
      <c r="D2239" s="23"/>
      <c r="E2239" s="23"/>
      <c r="F2239" s="23"/>
      <c r="G2239" s="23"/>
      <c r="H2239" s="23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6.25">
      <c r="A2240" s="23"/>
      <c r="B2240" s="23"/>
      <c r="C2240" s="23"/>
      <c r="D2240" s="23"/>
      <c r="E2240" s="23"/>
      <c r="F2240" s="23"/>
      <c r="G2240" s="23"/>
      <c r="H2240" s="23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26.25">
      <c r="A2241" s="23"/>
      <c r="B2241" s="23"/>
      <c r="C2241" s="23"/>
      <c r="D2241" s="23"/>
      <c r="E2241" s="23"/>
      <c r="F2241" s="23"/>
      <c r="G2241" s="23"/>
      <c r="H2241" s="23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26.25">
      <c r="A2242" s="23"/>
      <c r="B2242" s="23"/>
      <c r="C2242" s="23"/>
      <c r="D2242" s="23"/>
      <c r="E2242" s="23"/>
      <c r="F2242" s="23"/>
      <c r="G2242" s="23"/>
      <c r="H2242" s="23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26.25">
      <c r="A2243" s="23"/>
      <c r="B2243" s="23"/>
      <c r="C2243" s="23"/>
      <c r="D2243" s="23"/>
      <c r="E2243" s="23"/>
      <c r="F2243" s="23"/>
      <c r="G2243" s="23"/>
      <c r="H2243" s="23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26.25">
      <c r="A2244" s="23"/>
      <c r="B2244" s="23"/>
      <c r="C2244" s="23"/>
      <c r="D2244" s="23"/>
      <c r="E2244" s="23"/>
      <c r="F2244" s="23"/>
      <c r="G2244" s="23"/>
      <c r="H2244" s="23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26.25">
      <c r="A2245" s="23" t="s">
        <v>0</v>
      </c>
      <c r="B2245" s="23"/>
      <c r="C2245" s="23"/>
      <c r="D2245" s="23"/>
      <c r="E2245" s="23"/>
      <c r="F2245" s="23"/>
      <c r="G2245" s="23"/>
      <c r="H2245" s="23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26.25">
      <c r="A2246" s="23" t="s">
        <v>566</v>
      </c>
      <c r="B2246" s="23"/>
      <c r="C2246" s="23"/>
      <c r="D2246" s="23"/>
      <c r="E2246" s="23"/>
      <c r="F2246" s="23"/>
      <c r="G2246" s="23"/>
      <c r="H2246" s="23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26.25">
      <c r="A2247" s="23" t="s">
        <v>2</v>
      </c>
      <c r="B2247" s="23" t="s">
        <v>3</v>
      </c>
      <c r="C2247" s="23" t="s">
        <v>4</v>
      </c>
      <c r="D2247" s="23" t="s">
        <v>5</v>
      </c>
      <c r="E2247" s="23" t="s">
        <v>6</v>
      </c>
      <c r="F2247" s="23" t="s">
        <v>7</v>
      </c>
      <c r="G2247" s="23" t="s">
        <v>8</v>
      </c>
      <c r="H2247" s="23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6.25">
      <c r="A2248" s="23">
        <v>1</v>
      </c>
      <c r="B2248" s="23" t="s">
        <v>136</v>
      </c>
      <c r="C2248" s="23" t="s">
        <v>349</v>
      </c>
      <c r="D2248" s="23" t="s">
        <v>127</v>
      </c>
      <c r="E2248" s="23">
        <v>1.96</v>
      </c>
      <c r="F2248" s="29">
        <v>293000</v>
      </c>
      <c r="G2248" s="29">
        <v>574280</v>
      </c>
      <c r="H2248" s="23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6.25">
      <c r="A2249" s="23">
        <v>2</v>
      </c>
      <c r="B2249" s="23" t="s">
        <v>344</v>
      </c>
      <c r="C2249" s="23" t="s">
        <v>567</v>
      </c>
      <c r="D2249" s="23" t="s">
        <v>12</v>
      </c>
      <c r="E2249" s="23">
        <v>1.46</v>
      </c>
      <c r="F2249" s="29">
        <v>435000</v>
      </c>
      <c r="G2249" s="29">
        <v>635100</v>
      </c>
      <c r="H2249" s="23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26.25">
      <c r="A2250" s="23">
        <v>3</v>
      </c>
      <c r="B2250" s="23" t="s">
        <v>14</v>
      </c>
      <c r="C2250" s="23"/>
      <c r="D2250" s="23"/>
      <c r="E2250" s="23"/>
      <c r="F2250" s="23"/>
      <c r="G2250" s="23">
        <v>0</v>
      </c>
      <c r="H2250" s="23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26.25">
      <c r="A2251" s="23" t="s">
        <v>15</v>
      </c>
      <c r="B2251" s="23"/>
      <c r="C2251" s="23"/>
      <c r="D2251" s="23"/>
      <c r="E2251" s="23"/>
      <c r="F2251" s="23"/>
      <c r="G2251" s="23"/>
      <c r="H2251" s="29">
        <v>1209380</v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26.25">
      <c r="A2252" s="23" t="s">
        <v>16</v>
      </c>
      <c r="B2252" s="23"/>
      <c r="C2252" s="23"/>
      <c r="D2252" s="23"/>
      <c r="E2252" s="23"/>
      <c r="F2252" s="23"/>
      <c r="G2252" s="23"/>
      <c r="H2252" s="29">
        <v>561380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26.25">
      <c r="A2253" s="23" t="s">
        <v>17</v>
      </c>
      <c r="B2253" s="23"/>
      <c r="C2253" s="23"/>
      <c r="D2253" s="23"/>
      <c r="E2253" s="23"/>
      <c r="F2253" s="23"/>
      <c r="G2253" s="23"/>
      <c r="H2253" s="29">
        <v>649000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26.25">
      <c r="A2254" s="23"/>
      <c r="B2254" s="23"/>
      <c r="C2254" s="23"/>
      <c r="D2254" s="23"/>
      <c r="E2254" s="23"/>
      <c r="F2254" s="23"/>
      <c r="G2254" s="23"/>
      <c r="H2254" s="23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26.25">
      <c r="A2255" s="23"/>
      <c r="B2255" s="23"/>
      <c r="C2255" s="23"/>
      <c r="D2255" s="23"/>
      <c r="E2255" s="23"/>
      <c r="F2255" s="23"/>
      <c r="G2255" s="23"/>
      <c r="H2255" s="23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26.25">
      <c r="A2256" s="23"/>
      <c r="B2256" s="23"/>
      <c r="C2256" s="23"/>
      <c r="D2256" s="23"/>
      <c r="E2256" s="23"/>
      <c r="F2256" s="23"/>
      <c r="G2256" s="23"/>
      <c r="H2256" s="23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26.25">
      <c r="A2257" s="23"/>
      <c r="B2257" s="23"/>
      <c r="C2257" s="23"/>
      <c r="D2257" s="23"/>
      <c r="E2257" s="23"/>
      <c r="F2257" s="23"/>
      <c r="G2257" s="23"/>
      <c r="H2257" s="23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26.25">
      <c r="A2258" s="23"/>
      <c r="B2258" s="23"/>
      <c r="C2258" s="23"/>
      <c r="D2258" s="23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6.25">
      <c r="A2259" s="23"/>
      <c r="B2259" s="23"/>
      <c r="C2259" s="23"/>
      <c r="D2259" s="23"/>
      <c r="E2259" s="23"/>
      <c r="F2259" s="23"/>
      <c r="G2259" s="23"/>
      <c r="H2259" s="23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26.25">
      <c r="A2260" s="23" t="s">
        <v>0</v>
      </c>
      <c r="B2260" s="23"/>
      <c r="C2260" s="23"/>
      <c r="D2260" s="23"/>
      <c r="E2260" s="23"/>
      <c r="F2260" s="23"/>
      <c r="G2260" s="23"/>
      <c r="H2260" s="23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6.25">
      <c r="A2261" s="23" t="s">
        <v>568</v>
      </c>
      <c r="B2261" s="23"/>
      <c r="C2261" s="23"/>
      <c r="D2261" s="23"/>
      <c r="E2261" s="23"/>
      <c r="F2261" s="23"/>
      <c r="G2261" s="23"/>
      <c r="H2261" s="23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6.25">
      <c r="A2262" s="23" t="s">
        <v>2</v>
      </c>
      <c r="B2262" s="23" t="s">
        <v>3</v>
      </c>
      <c r="C2262" s="23" t="s">
        <v>4</v>
      </c>
      <c r="D2262" s="23" t="s">
        <v>5</v>
      </c>
      <c r="E2262" s="23" t="s">
        <v>6</v>
      </c>
      <c r="F2262" s="23" t="s">
        <v>7</v>
      </c>
      <c r="G2262" s="23" t="s">
        <v>8</v>
      </c>
      <c r="H2262" s="23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6.25">
      <c r="A2263" s="23">
        <v>1</v>
      </c>
      <c r="B2263" s="23" t="s">
        <v>93</v>
      </c>
      <c r="C2263" s="23" t="s">
        <v>349</v>
      </c>
      <c r="D2263" s="23" t="s">
        <v>127</v>
      </c>
      <c r="E2263" s="23">
        <v>1.35</v>
      </c>
      <c r="F2263" s="29">
        <v>293000</v>
      </c>
      <c r="G2263" s="29">
        <v>395550</v>
      </c>
      <c r="H2263" s="23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6.25">
      <c r="A2264" s="23">
        <v>2</v>
      </c>
      <c r="B2264" s="23" t="s">
        <v>175</v>
      </c>
      <c r="C2264" s="23" t="s">
        <v>569</v>
      </c>
      <c r="D2264" s="23" t="s">
        <v>12</v>
      </c>
      <c r="E2264" s="23">
        <v>2.2999999999999998</v>
      </c>
      <c r="F2264" s="29">
        <v>435000</v>
      </c>
      <c r="G2264" s="29">
        <v>1000500</v>
      </c>
      <c r="H2264" s="23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6.25">
      <c r="A2265" s="23">
        <v>3</v>
      </c>
      <c r="B2265" s="23" t="s">
        <v>14</v>
      </c>
      <c r="C2265" s="23"/>
      <c r="D2265" s="23"/>
      <c r="E2265" s="23"/>
      <c r="F2265" s="23"/>
      <c r="G2265" s="23">
        <v>0</v>
      </c>
      <c r="H2265" s="23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26.25">
      <c r="A2266" s="23" t="s">
        <v>15</v>
      </c>
      <c r="B2266" s="23"/>
      <c r="C2266" s="23"/>
      <c r="D2266" s="23"/>
      <c r="E2266" s="23"/>
      <c r="F2266" s="23"/>
      <c r="G2266" s="23"/>
      <c r="H2266" s="29">
        <v>1396050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6.25">
      <c r="A2267" s="23" t="s">
        <v>16</v>
      </c>
      <c r="B2267" s="23"/>
      <c r="C2267" s="23"/>
      <c r="D2267" s="23"/>
      <c r="E2267" s="23"/>
      <c r="F2267" s="23"/>
      <c r="G2267" s="23"/>
      <c r="H2267" s="29">
        <v>748050</v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6.25">
      <c r="A2268" s="23" t="s">
        <v>17</v>
      </c>
      <c r="B2268" s="23"/>
      <c r="C2268" s="23"/>
      <c r="D2268" s="23"/>
      <c r="E2268" s="23"/>
      <c r="F2268" s="23"/>
      <c r="G2268" s="23"/>
      <c r="H2268" s="29">
        <v>649000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26.25">
      <c r="A2269" s="23"/>
      <c r="B2269" s="23"/>
      <c r="C2269" s="23"/>
      <c r="D2269" s="23"/>
      <c r="E2269" s="23"/>
      <c r="F2269" s="23"/>
      <c r="G2269" s="23"/>
      <c r="H2269" s="23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6.25">
      <c r="A2270" s="23"/>
      <c r="B2270" s="23"/>
      <c r="C2270" s="23"/>
      <c r="D2270" s="23"/>
      <c r="E2270" s="23"/>
      <c r="F2270" s="23"/>
      <c r="G2270" s="23"/>
      <c r="H2270" s="23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26.25">
      <c r="A2271" s="23"/>
      <c r="B2271" s="23"/>
      <c r="C2271" s="23"/>
      <c r="D2271" s="23"/>
      <c r="E2271" s="23"/>
      <c r="F2271" s="23"/>
      <c r="G2271" s="23"/>
      <c r="H2271" s="23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6.25">
      <c r="A2272" s="23"/>
      <c r="B2272" s="23"/>
      <c r="C2272" s="23"/>
      <c r="D2272" s="23"/>
      <c r="E2272" s="23"/>
      <c r="F2272" s="23"/>
      <c r="G2272" s="23"/>
      <c r="H2272" s="23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6.25">
      <c r="A2273" s="23"/>
      <c r="B2273" s="23"/>
      <c r="C2273" s="23"/>
      <c r="D2273" s="23"/>
      <c r="E2273" s="23"/>
      <c r="F2273" s="23"/>
      <c r="G2273" s="23"/>
      <c r="H2273" s="23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6.25">
      <c r="A2274" s="23"/>
      <c r="B2274" s="23"/>
      <c r="C2274" s="23"/>
      <c r="D2274" s="23"/>
      <c r="E2274" s="23"/>
      <c r="F2274" s="23"/>
      <c r="G2274" s="23"/>
      <c r="H2274" s="2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6.25">
      <c r="A2275" s="23" t="s">
        <v>0</v>
      </c>
      <c r="B2275" s="23"/>
      <c r="C2275" s="23"/>
      <c r="D2275" s="23"/>
      <c r="E2275" s="23"/>
      <c r="F2275" s="23"/>
      <c r="G2275" s="23"/>
      <c r="H2275" s="23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26.25">
      <c r="A2276" s="23" t="s">
        <v>570</v>
      </c>
      <c r="B2276" s="23"/>
      <c r="C2276" s="23"/>
      <c r="D2276" s="23"/>
      <c r="E2276" s="23"/>
      <c r="F2276" s="23"/>
      <c r="G2276" s="23"/>
      <c r="H2276" s="23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26.25">
      <c r="A2277" s="23" t="s">
        <v>2</v>
      </c>
      <c r="B2277" s="23" t="s">
        <v>3</v>
      </c>
      <c r="C2277" s="23" t="s">
        <v>4</v>
      </c>
      <c r="D2277" s="23" t="s">
        <v>5</v>
      </c>
      <c r="E2277" s="23" t="s">
        <v>6</v>
      </c>
      <c r="F2277" s="23" t="s">
        <v>7</v>
      </c>
      <c r="G2277" s="23" t="s">
        <v>8</v>
      </c>
      <c r="H2277" s="23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26.25">
      <c r="A2278" s="23">
        <v>1</v>
      </c>
      <c r="B2278" s="23" t="s">
        <v>433</v>
      </c>
      <c r="C2278" s="23" t="s">
        <v>571</v>
      </c>
      <c r="D2278" s="23" t="s">
        <v>127</v>
      </c>
      <c r="E2278" s="23">
        <v>3</v>
      </c>
      <c r="F2278" s="29">
        <v>293000</v>
      </c>
      <c r="G2278" s="29">
        <v>879000</v>
      </c>
      <c r="H2278" s="23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26.25">
      <c r="A2279" s="23">
        <v>2</v>
      </c>
      <c r="B2279" s="23" t="s">
        <v>175</v>
      </c>
      <c r="C2279" s="23" t="s">
        <v>572</v>
      </c>
      <c r="D2279" s="23" t="s">
        <v>12</v>
      </c>
      <c r="E2279" s="23">
        <v>0.5</v>
      </c>
      <c r="F2279" s="29">
        <v>435000</v>
      </c>
      <c r="G2279" s="29">
        <v>217500</v>
      </c>
      <c r="H2279" s="23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26.25">
      <c r="A2280" s="23">
        <v>3</v>
      </c>
      <c r="B2280" s="23" t="s">
        <v>14</v>
      </c>
      <c r="C2280" s="23"/>
      <c r="D2280" s="23"/>
      <c r="E2280" s="23"/>
      <c r="F2280" s="23"/>
      <c r="G2280" s="23">
        <v>0</v>
      </c>
      <c r="H2280" s="23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26.25">
      <c r="A2281" s="23" t="s">
        <v>15</v>
      </c>
      <c r="B2281" s="23"/>
      <c r="C2281" s="23"/>
      <c r="D2281" s="23"/>
      <c r="E2281" s="23"/>
      <c r="F2281" s="23"/>
      <c r="G2281" s="23"/>
      <c r="H2281" s="29">
        <v>1096500</v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6.25">
      <c r="A2282" s="23" t="s">
        <v>16</v>
      </c>
      <c r="B2282" s="23"/>
      <c r="C2282" s="23"/>
      <c r="D2282" s="23"/>
      <c r="E2282" s="23"/>
      <c r="F2282" s="23"/>
      <c r="G2282" s="23"/>
      <c r="H2282" s="29">
        <v>448500</v>
      </c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26.25">
      <c r="A2283" s="23" t="s">
        <v>17</v>
      </c>
      <c r="B2283" s="23"/>
      <c r="C2283" s="23"/>
      <c r="D2283" s="23"/>
      <c r="E2283" s="23"/>
      <c r="F2283" s="23"/>
      <c r="G2283" s="23"/>
      <c r="H2283" s="29">
        <v>649000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26.25">
      <c r="A2284" s="23"/>
      <c r="B2284" s="23"/>
      <c r="C2284" s="23"/>
      <c r="D2284" s="23"/>
      <c r="E2284" s="23"/>
      <c r="F2284" s="23"/>
      <c r="G2284" s="23"/>
      <c r="H2284" s="23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26.25">
      <c r="A2285" s="23"/>
      <c r="B2285" s="23"/>
      <c r="C2285" s="23"/>
      <c r="D2285" s="23"/>
      <c r="E2285" s="23"/>
      <c r="F2285" s="23"/>
      <c r="G2285" s="23"/>
      <c r="H2285" s="23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26.25">
      <c r="A2286" s="23"/>
      <c r="B2286" s="23"/>
      <c r="C2286" s="23"/>
      <c r="D2286" s="23"/>
      <c r="E2286" s="23"/>
      <c r="F2286" s="23"/>
      <c r="G2286" s="23"/>
      <c r="H2286" s="23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6.25">
      <c r="A2287" s="23"/>
      <c r="B2287" s="23"/>
      <c r="C2287" s="23"/>
      <c r="D2287" s="23"/>
      <c r="E2287" s="23"/>
      <c r="F2287" s="23"/>
      <c r="G2287" s="23"/>
      <c r="H2287" s="23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6.25">
      <c r="A2288" s="23"/>
      <c r="B2288" s="23"/>
      <c r="C2288" s="23"/>
      <c r="D2288" s="23"/>
      <c r="E2288" s="23"/>
      <c r="F2288" s="23"/>
      <c r="G2288" s="23"/>
      <c r="H2288" s="2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26.25">
      <c r="A2289" s="23"/>
      <c r="B2289" s="23"/>
      <c r="C2289" s="23"/>
      <c r="D2289" s="23"/>
      <c r="E2289" s="23"/>
      <c r="F2289" s="23"/>
      <c r="G2289" s="23"/>
      <c r="H2289" s="23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6.25">
      <c r="A2290" s="23" t="s">
        <v>0</v>
      </c>
      <c r="B2290" s="23"/>
      <c r="C2290" s="23"/>
      <c r="D2290" s="23"/>
      <c r="E2290" s="23"/>
      <c r="F2290" s="23"/>
      <c r="G2290" s="23"/>
      <c r="H2290" s="23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6.25">
      <c r="A2291" s="23" t="s">
        <v>573</v>
      </c>
      <c r="B2291" s="23"/>
      <c r="C2291" s="23"/>
      <c r="D2291" s="23"/>
      <c r="E2291" s="23"/>
      <c r="F2291" s="23"/>
      <c r="G2291" s="23"/>
      <c r="H2291" s="23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26.25">
      <c r="A2292" s="23" t="s">
        <v>2</v>
      </c>
      <c r="B2292" s="23" t="s">
        <v>3</v>
      </c>
      <c r="C2292" s="23" t="s">
        <v>4</v>
      </c>
      <c r="D2292" s="23" t="s">
        <v>5</v>
      </c>
      <c r="E2292" s="23" t="s">
        <v>6</v>
      </c>
      <c r="F2292" s="23" t="s">
        <v>7</v>
      </c>
      <c r="G2292" s="23" t="s">
        <v>8</v>
      </c>
      <c r="H2292" s="23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6.25">
      <c r="A2293" s="23">
        <v>1</v>
      </c>
      <c r="B2293" s="23" t="s">
        <v>136</v>
      </c>
      <c r="C2293" s="23" t="s">
        <v>574</v>
      </c>
      <c r="D2293" s="23" t="s">
        <v>127</v>
      </c>
      <c r="E2293" s="23">
        <v>2</v>
      </c>
      <c r="F2293" s="29">
        <v>293000</v>
      </c>
      <c r="G2293" s="29">
        <v>586000</v>
      </c>
      <c r="H2293" s="23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26.25">
      <c r="A2294" s="23">
        <v>2</v>
      </c>
      <c r="B2294" s="23" t="s">
        <v>175</v>
      </c>
      <c r="C2294" s="23" t="s">
        <v>575</v>
      </c>
      <c r="D2294" s="23" t="s">
        <v>12</v>
      </c>
      <c r="E2294" s="23">
        <v>1.59</v>
      </c>
      <c r="F2294" s="29">
        <v>435000</v>
      </c>
      <c r="G2294" s="29">
        <v>691650</v>
      </c>
      <c r="H2294" s="23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6.25">
      <c r="A2295" s="23">
        <v>3</v>
      </c>
      <c r="B2295" s="23" t="s">
        <v>14</v>
      </c>
      <c r="C2295" s="23"/>
      <c r="D2295" s="23"/>
      <c r="E2295" s="23"/>
      <c r="F2295" s="23"/>
      <c r="G2295" s="23">
        <v>0</v>
      </c>
      <c r="H2295" s="23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6.25">
      <c r="A2296" s="23" t="s">
        <v>15</v>
      </c>
      <c r="B2296" s="23"/>
      <c r="C2296" s="23"/>
      <c r="D2296" s="23"/>
      <c r="E2296" s="23"/>
      <c r="F2296" s="23"/>
      <c r="G2296" s="23"/>
      <c r="H2296" s="29">
        <v>1277650</v>
      </c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6.25">
      <c r="A2297" s="23" t="s">
        <v>16</v>
      </c>
      <c r="B2297" s="23"/>
      <c r="C2297" s="23"/>
      <c r="D2297" s="23"/>
      <c r="E2297" s="23"/>
      <c r="F2297" s="23"/>
      <c r="G2297" s="23"/>
      <c r="H2297" s="29">
        <v>629650</v>
      </c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6.25">
      <c r="A2298" s="23" t="s">
        <v>17</v>
      </c>
      <c r="B2298" s="23"/>
      <c r="C2298" s="23"/>
      <c r="D2298" s="23"/>
      <c r="E2298" s="23"/>
      <c r="F2298" s="23"/>
      <c r="G2298" s="23"/>
      <c r="H2298" s="29">
        <v>649000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26.25">
      <c r="A2299" s="23"/>
      <c r="B2299" s="23"/>
      <c r="C2299" s="23"/>
      <c r="D2299" s="23"/>
      <c r="E2299" s="23"/>
      <c r="F2299" s="23"/>
      <c r="G2299" s="23"/>
      <c r="H2299" s="23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26.25">
      <c r="A2300" s="23"/>
      <c r="B2300" s="23"/>
      <c r="C2300" s="23"/>
      <c r="D2300" s="23"/>
      <c r="E2300" s="23"/>
      <c r="F2300" s="23"/>
      <c r="G2300" s="23"/>
      <c r="H2300" s="23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26.25">
      <c r="A2301" s="23"/>
      <c r="B2301" s="23"/>
      <c r="C2301" s="23"/>
      <c r="D2301" s="23"/>
      <c r="E2301" s="23"/>
      <c r="F2301" s="23"/>
      <c r="G2301" s="23"/>
      <c r="H2301" s="23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26.25">
      <c r="A2302" s="23"/>
      <c r="B2302" s="23"/>
      <c r="C2302" s="23"/>
      <c r="D2302" s="23"/>
      <c r="E2302" s="23"/>
      <c r="F2302" s="23"/>
      <c r="G2302" s="23"/>
      <c r="H2302" s="23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26.25">
      <c r="A2303" s="23"/>
      <c r="B2303" s="23"/>
      <c r="C2303" s="23"/>
      <c r="D2303" s="23"/>
      <c r="E2303" s="23"/>
      <c r="F2303" s="23"/>
      <c r="G2303" s="23"/>
      <c r="H2303" s="23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6.25">
      <c r="A2304" s="23"/>
      <c r="B2304" s="23"/>
      <c r="C2304" s="23"/>
      <c r="D2304" s="23"/>
      <c r="E2304" s="23"/>
      <c r="F2304" s="23"/>
      <c r="G2304" s="23"/>
      <c r="H2304" s="23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6.25">
      <c r="A2305" s="23" t="s">
        <v>0</v>
      </c>
      <c r="B2305" s="23"/>
      <c r="C2305" s="23"/>
      <c r="D2305" s="23"/>
      <c r="E2305" s="23"/>
      <c r="F2305" s="23"/>
      <c r="G2305" s="23"/>
      <c r="H2305" s="23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6.25">
      <c r="A2306" s="23" t="s">
        <v>576</v>
      </c>
      <c r="B2306" s="23"/>
      <c r="C2306" s="23"/>
      <c r="D2306" s="23"/>
      <c r="E2306" s="23"/>
      <c r="F2306" s="23"/>
      <c r="G2306" s="23"/>
      <c r="H2306" s="23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6.25">
      <c r="A2307" s="23" t="s">
        <v>2</v>
      </c>
      <c r="B2307" s="23" t="s">
        <v>3</v>
      </c>
      <c r="C2307" s="23" t="s">
        <v>4</v>
      </c>
      <c r="D2307" s="23" t="s">
        <v>5</v>
      </c>
      <c r="E2307" s="23" t="s">
        <v>6</v>
      </c>
      <c r="F2307" s="23" t="s">
        <v>7</v>
      </c>
      <c r="G2307" s="23" t="s">
        <v>8</v>
      </c>
      <c r="H2307" s="23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26.25">
      <c r="A2308" s="23">
        <v>1</v>
      </c>
      <c r="B2308" s="23" t="s">
        <v>577</v>
      </c>
      <c r="C2308" s="23" t="s">
        <v>578</v>
      </c>
      <c r="D2308" s="23" t="s">
        <v>127</v>
      </c>
      <c r="E2308" s="23">
        <v>1.53</v>
      </c>
      <c r="F2308" s="29">
        <v>293000</v>
      </c>
      <c r="G2308" s="29">
        <v>448290</v>
      </c>
      <c r="H2308" s="23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6.25">
      <c r="A2309" s="23">
        <v>2</v>
      </c>
      <c r="B2309" s="23" t="s">
        <v>75</v>
      </c>
      <c r="C2309" s="23" t="s">
        <v>579</v>
      </c>
      <c r="D2309" s="23" t="s">
        <v>12</v>
      </c>
      <c r="E2309" s="23">
        <v>1.97</v>
      </c>
      <c r="F2309" s="29">
        <v>435000</v>
      </c>
      <c r="G2309" s="29">
        <v>856950</v>
      </c>
      <c r="H2309" s="23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6.25">
      <c r="A2310" s="23">
        <v>3</v>
      </c>
      <c r="B2310" s="23" t="s">
        <v>14</v>
      </c>
      <c r="C2310" s="23"/>
      <c r="D2310" s="23"/>
      <c r="E2310" s="23"/>
      <c r="F2310" s="23"/>
      <c r="G2310" s="23">
        <v>0</v>
      </c>
      <c r="H2310" s="23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26.25">
      <c r="A2311" s="23" t="s">
        <v>15</v>
      </c>
      <c r="B2311" s="23"/>
      <c r="C2311" s="23"/>
      <c r="D2311" s="23"/>
      <c r="E2311" s="23"/>
      <c r="F2311" s="23"/>
      <c r="G2311" s="23"/>
      <c r="H2311" s="29">
        <v>1305240</v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26.25">
      <c r="A2312" s="23" t="s">
        <v>16</v>
      </c>
      <c r="B2312" s="23"/>
      <c r="C2312" s="23"/>
      <c r="D2312" s="23"/>
      <c r="E2312" s="23"/>
      <c r="F2312" s="23"/>
      <c r="G2312" s="23"/>
      <c r="H2312" s="29">
        <v>657240</v>
      </c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26.25">
      <c r="A2313" s="23" t="s">
        <v>17</v>
      </c>
      <c r="B2313" s="23"/>
      <c r="C2313" s="23"/>
      <c r="D2313" s="23"/>
      <c r="E2313" s="23"/>
      <c r="F2313" s="23"/>
      <c r="G2313" s="23"/>
      <c r="H2313" s="29">
        <v>649000</v>
      </c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6.25">
      <c r="A2314" s="23"/>
      <c r="B2314" s="23"/>
      <c r="C2314" s="23"/>
      <c r="D2314" s="23"/>
      <c r="E2314" s="23"/>
      <c r="F2314" s="23"/>
      <c r="G2314" s="23"/>
      <c r="H2314" s="23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6.25">
      <c r="A2315" s="23"/>
      <c r="B2315" s="23"/>
      <c r="C2315" s="23"/>
      <c r="D2315" s="23"/>
      <c r="E2315" s="23"/>
      <c r="F2315" s="23"/>
      <c r="G2315" s="23"/>
      <c r="H2315" s="23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26.25">
      <c r="A2316" s="23"/>
      <c r="B2316" s="23"/>
      <c r="C2316" s="23"/>
      <c r="D2316" s="23"/>
      <c r="E2316" s="23"/>
      <c r="F2316" s="23"/>
      <c r="G2316" s="23"/>
      <c r="H2316" s="23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26.25">
      <c r="A2317" s="23"/>
      <c r="B2317" s="23"/>
      <c r="C2317" s="23"/>
      <c r="D2317" s="23"/>
      <c r="E2317" s="23"/>
      <c r="F2317" s="23"/>
      <c r="G2317" s="23"/>
      <c r="H2317" s="23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26.25">
      <c r="A2318" s="23"/>
      <c r="B2318" s="23"/>
      <c r="C2318" s="23"/>
      <c r="D2318" s="23"/>
      <c r="E2318" s="23"/>
      <c r="F2318" s="23"/>
      <c r="G2318" s="23"/>
      <c r="H2318" s="2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26.25">
      <c r="A2319" s="23"/>
      <c r="B2319" s="23"/>
      <c r="C2319" s="23"/>
      <c r="D2319" s="23"/>
      <c r="E2319" s="23"/>
      <c r="F2319" s="23"/>
      <c r="G2319" s="23"/>
      <c r="H2319" s="23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26.25">
      <c r="A2320" s="23" t="s">
        <v>0</v>
      </c>
      <c r="B2320" s="23"/>
      <c r="C2320" s="23"/>
      <c r="D2320" s="23"/>
      <c r="E2320" s="23"/>
      <c r="F2320" s="23"/>
      <c r="G2320" s="23"/>
      <c r="H2320" s="23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26.25">
      <c r="A2321" s="23" t="s">
        <v>580</v>
      </c>
      <c r="B2321" s="23"/>
      <c r="C2321" s="23"/>
      <c r="D2321" s="23"/>
      <c r="E2321" s="23"/>
      <c r="F2321" s="23"/>
      <c r="G2321" s="23"/>
      <c r="H2321" s="23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6.25">
      <c r="A2322" s="23" t="s">
        <v>2</v>
      </c>
      <c r="B2322" s="23" t="s">
        <v>3</v>
      </c>
      <c r="C2322" s="23" t="s">
        <v>4</v>
      </c>
      <c r="D2322" s="23" t="s">
        <v>5</v>
      </c>
      <c r="E2322" s="23" t="s">
        <v>6</v>
      </c>
      <c r="F2322" s="23" t="s">
        <v>7</v>
      </c>
      <c r="G2322" s="23" t="s">
        <v>8</v>
      </c>
      <c r="H2322" s="23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26.25">
      <c r="A2323" s="23">
        <v>1</v>
      </c>
      <c r="B2323" s="23" t="s">
        <v>68</v>
      </c>
      <c r="C2323" s="23" t="s">
        <v>581</v>
      </c>
      <c r="D2323" s="23" t="s">
        <v>127</v>
      </c>
      <c r="E2323" s="23">
        <v>1.7</v>
      </c>
      <c r="F2323" s="29">
        <v>293000</v>
      </c>
      <c r="G2323" s="29">
        <v>498100</v>
      </c>
      <c r="H2323" s="23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6.25">
      <c r="A2324" s="23">
        <v>2</v>
      </c>
      <c r="B2324" s="23" t="s">
        <v>175</v>
      </c>
      <c r="C2324" s="23" t="s">
        <v>582</v>
      </c>
      <c r="D2324" s="23" t="s">
        <v>12</v>
      </c>
      <c r="E2324" s="23">
        <v>1.6</v>
      </c>
      <c r="F2324" s="29">
        <v>435000</v>
      </c>
      <c r="G2324" s="29">
        <v>696000</v>
      </c>
      <c r="H2324" s="23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26.25">
      <c r="A2325" s="23">
        <v>3</v>
      </c>
      <c r="B2325" s="23" t="s">
        <v>14</v>
      </c>
      <c r="C2325" s="23"/>
      <c r="D2325" s="23"/>
      <c r="E2325" s="23"/>
      <c r="F2325" s="23"/>
      <c r="G2325" s="23">
        <v>0</v>
      </c>
      <c r="H2325" s="23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26.25">
      <c r="A2326" s="23" t="s">
        <v>15</v>
      </c>
      <c r="B2326" s="23"/>
      <c r="C2326" s="23"/>
      <c r="D2326" s="23"/>
      <c r="E2326" s="23"/>
      <c r="F2326" s="23"/>
      <c r="G2326" s="23"/>
      <c r="H2326" s="29">
        <v>1194100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6.25">
      <c r="A2327" s="23" t="s">
        <v>16</v>
      </c>
      <c r="B2327" s="23"/>
      <c r="C2327" s="23"/>
      <c r="D2327" s="23"/>
      <c r="E2327" s="23"/>
      <c r="F2327" s="23"/>
      <c r="G2327" s="23"/>
      <c r="H2327" s="29">
        <v>546100</v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6.25">
      <c r="A2328" s="23" t="s">
        <v>17</v>
      </c>
      <c r="B2328" s="23"/>
      <c r="C2328" s="23"/>
      <c r="D2328" s="23"/>
      <c r="E2328" s="23"/>
      <c r="F2328" s="23"/>
      <c r="G2328" s="23"/>
      <c r="H2328" s="29">
        <v>649000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6.25">
      <c r="A2329" s="23"/>
      <c r="B2329" s="23"/>
      <c r="C2329" s="23"/>
      <c r="D2329" s="23"/>
      <c r="E2329" s="23"/>
      <c r="F2329" s="23"/>
      <c r="G2329" s="23"/>
      <c r="H2329" s="23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6.25">
      <c r="A2330" s="23"/>
      <c r="B2330" s="23"/>
      <c r="C2330" s="23"/>
      <c r="D2330" s="23"/>
      <c r="E2330" s="23"/>
      <c r="F2330" s="23"/>
      <c r="G2330" s="23"/>
      <c r="H2330" s="23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6.25">
      <c r="A2331" s="23"/>
      <c r="B2331" s="23"/>
      <c r="C2331" s="23"/>
      <c r="D2331" s="23"/>
      <c r="E2331" s="23"/>
      <c r="F2331" s="23"/>
      <c r="G2331" s="23"/>
      <c r="H2331" s="23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26.25">
      <c r="A2332" s="23"/>
      <c r="B2332" s="23"/>
      <c r="C2332" s="23"/>
      <c r="D2332" s="23"/>
      <c r="E2332" s="23"/>
      <c r="F2332" s="23"/>
      <c r="G2332" s="23"/>
      <c r="H2332" s="2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26.25">
      <c r="A2333" s="23"/>
      <c r="B2333" s="23"/>
      <c r="C2333" s="23"/>
      <c r="D2333" s="23"/>
      <c r="E2333" s="23"/>
      <c r="F2333" s="23"/>
      <c r="G2333" s="23"/>
      <c r="H2333" s="23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26.25">
      <c r="A2334" s="23"/>
      <c r="B2334" s="23"/>
      <c r="C2334" s="23"/>
      <c r="D2334" s="23"/>
      <c r="E2334" s="23"/>
      <c r="F2334" s="23"/>
      <c r="G2334" s="23"/>
      <c r="H2334" s="23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26.25">
      <c r="A2335" s="23"/>
      <c r="B2335" s="23"/>
      <c r="C2335" s="23"/>
      <c r="D2335" s="23"/>
      <c r="E2335" s="23"/>
      <c r="F2335" s="23"/>
      <c r="G2335" s="23"/>
      <c r="H2335" s="23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26.25">
      <c r="A2336" s="23" t="s">
        <v>0</v>
      </c>
      <c r="B2336" s="23"/>
      <c r="C2336" s="23"/>
      <c r="D2336" s="23"/>
      <c r="E2336" s="23"/>
      <c r="F2336" s="23"/>
      <c r="G2336" s="23"/>
      <c r="H2336" s="23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6.25">
      <c r="A2337" s="23" t="s">
        <v>583</v>
      </c>
      <c r="B2337" s="23"/>
      <c r="C2337" s="23"/>
      <c r="D2337" s="23"/>
      <c r="E2337" s="23"/>
      <c r="F2337" s="23"/>
      <c r="G2337" s="23"/>
      <c r="H2337" s="23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26.25">
      <c r="A2338" s="23" t="s">
        <v>2</v>
      </c>
      <c r="B2338" s="23" t="s">
        <v>3</v>
      </c>
      <c r="C2338" s="23" t="s">
        <v>4</v>
      </c>
      <c r="D2338" s="23" t="s">
        <v>5</v>
      </c>
      <c r="E2338" s="23" t="s">
        <v>6</v>
      </c>
      <c r="F2338" s="23" t="s">
        <v>7</v>
      </c>
      <c r="G2338" s="23" t="s">
        <v>8</v>
      </c>
      <c r="H2338" s="23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26.25">
      <c r="A2339" s="23">
        <v>1</v>
      </c>
      <c r="B2339" s="23" t="s">
        <v>584</v>
      </c>
      <c r="C2339" s="23" t="s">
        <v>585</v>
      </c>
      <c r="D2339" s="23" t="s">
        <v>127</v>
      </c>
      <c r="E2339" s="23">
        <v>3</v>
      </c>
      <c r="F2339" s="29">
        <v>293000</v>
      </c>
      <c r="G2339" s="29">
        <v>879000</v>
      </c>
      <c r="H2339" s="23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26.25">
      <c r="A2340" s="23">
        <v>2</v>
      </c>
      <c r="B2340" s="23" t="s">
        <v>68</v>
      </c>
      <c r="C2340" s="23" t="s">
        <v>586</v>
      </c>
      <c r="D2340" s="23" t="s">
        <v>12</v>
      </c>
      <c r="E2340" s="23">
        <v>0.66</v>
      </c>
      <c r="F2340" s="29">
        <v>435000</v>
      </c>
      <c r="G2340" s="29">
        <v>287100</v>
      </c>
      <c r="H2340" s="23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26.25">
      <c r="A2341" s="23">
        <v>3</v>
      </c>
      <c r="B2341" s="23" t="s">
        <v>14</v>
      </c>
      <c r="C2341" s="23"/>
      <c r="D2341" s="23"/>
      <c r="E2341" s="23"/>
      <c r="F2341" s="23"/>
      <c r="G2341" s="23">
        <v>0</v>
      </c>
      <c r="H2341" s="23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6.25">
      <c r="A2342" s="23" t="s">
        <v>15</v>
      </c>
      <c r="B2342" s="23"/>
      <c r="C2342" s="23"/>
      <c r="D2342" s="23"/>
      <c r="E2342" s="23"/>
      <c r="F2342" s="23"/>
      <c r="G2342" s="23"/>
      <c r="H2342" s="29">
        <v>1166100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26.25">
      <c r="A2343" s="23" t="s">
        <v>16</v>
      </c>
      <c r="B2343" s="23"/>
      <c r="C2343" s="23"/>
      <c r="D2343" s="23"/>
      <c r="E2343" s="23"/>
      <c r="F2343" s="23"/>
      <c r="G2343" s="23"/>
      <c r="H2343" s="29">
        <v>518100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26.25">
      <c r="A2344" s="23" t="s">
        <v>17</v>
      </c>
      <c r="B2344" s="23"/>
      <c r="C2344" s="23"/>
      <c r="D2344" s="23"/>
      <c r="E2344" s="23"/>
      <c r="F2344" s="23"/>
      <c r="G2344" s="23"/>
      <c r="H2344" s="29">
        <v>649000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6.25">
      <c r="A2345" s="23"/>
      <c r="B2345" s="23"/>
      <c r="C2345" s="23"/>
      <c r="D2345" s="23"/>
      <c r="E2345" s="23"/>
      <c r="F2345" s="23"/>
      <c r="G2345" s="23"/>
      <c r="H2345" s="23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6.25">
      <c r="A2346" s="23"/>
      <c r="B2346" s="23"/>
      <c r="C2346" s="23"/>
      <c r="D2346" s="23"/>
      <c r="E2346" s="23"/>
      <c r="F2346" s="23"/>
      <c r="G2346" s="23"/>
      <c r="H2346" s="23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26.25">
      <c r="A2347" s="23"/>
      <c r="B2347" s="23"/>
      <c r="C2347" s="23"/>
      <c r="D2347" s="23"/>
      <c r="E2347" s="23"/>
      <c r="F2347" s="23"/>
      <c r="G2347" s="23"/>
      <c r="H2347" s="23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26.25">
      <c r="A2348" s="23"/>
      <c r="B2348" s="23"/>
      <c r="C2348" s="23"/>
      <c r="D2348" s="23"/>
      <c r="E2348" s="23"/>
      <c r="F2348" s="23"/>
      <c r="G2348" s="23"/>
      <c r="H2348" s="23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26.25">
      <c r="A2349" s="23"/>
      <c r="B2349" s="23"/>
      <c r="C2349" s="23"/>
      <c r="D2349" s="23"/>
      <c r="E2349" s="23"/>
      <c r="F2349" s="23"/>
      <c r="G2349" s="23"/>
      <c r="H2349" s="23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26.25">
      <c r="A2350" s="23"/>
      <c r="B2350" s="23"/>
      <c r="C2350" s="23"/>
      <c r="D2350" s="23"/>
      <c r="E2350" s="23"/>
      <c r="F2350" s="23"/>
      <c r="G2350" s="23"/>
      <c r="H2350" s="23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26.25">
      <c r="A2351" s="23"/>
      <c r="B2351" s="23"/>
      <c r="C2351" s="23"/>
      <c r="D2351" s="23"/>
      <c r="E2351" s="23"/>
      <c r="F2351" s="23"/>
      <c r="G2351" s="23"/>
      <c r="H2351" s="23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26.25">
      <c r="A2352" s="23"/>
      <c r="B2352" s="23"/>
      <c r="C2352" s="23"/>
      <c r="D2352" s="23"/>
      <c r="E2352" s="23"/>
      <c r="F2352" s="23"/>
      <c r="G2352" s="23"/>
      <c r="H2352" s="23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6.25">
      <c r="A2353" s="23" t="s">
        <v>0</v>
      </c>
      <c r="B2353" s="23"/>
      <c r="C2353" s="23"/>
      <c r="D2353" s="23"/>
      <c r="E2353" s="23"/>
      <c r="F2353" s="23"/>
      <c r="G2353" s="23"/>
      <c r="H2353" s="23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6.25">
      <c r="A2354" s="23" t="s">
        <v>587</v>
      </c>
      <c r="B2354" s="23"/>
      <c r="C2354" s="23"/>
      <c r="D2354" s="23"/>
      <c r="E2354" s="23"/>
      <c r="F2354" s="23"/>
      <c r="G2354" s="23"/>
      <c r="H2354" s="23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6.25">
      <c r="A2355" s="23" t="s">
        <v>2</v>
      </c>
      <c r="B2355" s="23" t="s">
        <v>3</v>
      </c>
      <c r="C2355" s="23" t="s">
        <v>4</v>
      </c>
      <c r="D2355" s="23" t="s">
        <v>5</v>
      </c>
      <c r="E2355" s="23" t="s">
        <v>6</v>
      </c>
      <c r="F2355" s="23" t="s">
        <v>7</v>
      </c>
      <c r="G2355" s="23" t="s">
        <v>8</v>
      </c>
      <c r="H2355" s="23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6.25">
      <c r="A2356" s="23">
        <v>1</v>
      </c>
      <c r="B2356" s="23" t="s">
        <v>31</v>
      </c>
      <c r="C2356" s="23" t="s">
        <v>588</v>
      </c>
      <c r="D2356" s="23" t="s">
        <v>127</v>
      </c>
      <c r="E2356" s="23">
        <v>1.53</v>
      </c>
      <c r="F2356" s="29">
        <v>293000</v>
      </c>
      <c r="G2356" s="29">
        <v>448290</v>
      </c>
      <c r="H2356" s="23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6.25">
      <c r="A2357" s="23">
        <v>2</v>
      </c>
      <c r="B2357" s="23" t="s">
        <v>393</v>
      </c>
      <c r="C2357" s="23" t="s">
        <v>589</v>
      </c>
      <c r="D2357" s="23" t="s">
        <v>12</v>
      </c>
      <c r="E2357" s="23">
        <v>2</v>
      </c>
      <c r="F2357" s="29">
        <v>435000</v>
      </c>
      <c r="G2357" s="29">
        <v>870000</v>
      </c>
      <c r="H2357" s="23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26.25">
      <c r="A2358" s="23">
        <v>3</v>
      </c>
      <c r="B2358" s="23" t="s">
        <v>14</v>
      </c>
      <c r="C2358" s="23"/>
      <c r="D2358" s="23"/>
      <c r="E2358" s="23"/>
      <c r="F2358" s="23"/>
      <c r="G2358" s="23">
        <v>0</v>
      </c>
      <c r="H2358" s="23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6.25">
      <c r="A2359" s="23" t="s">
        <v>15</v>
      </c>
      <c r="B2359" s="23"/>
      <c r="C2359" s="23"/>
      <c r="D2359" s="23"/>
      <c r="E2359" s="23"/>
      <c r="F2359" s="23"/>
      <c r="G2359" s="23"/>
      <c r="H2359" s="29">
        <v>1318290</v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6.25">
      <c r="A2360" s="23" t="s">
        <v>16</v>
      </c>
      <c r="B2360" s="23"/>
      <c r="C2360" s="23"/>
      <c r="D2360" s="23"/>
      <c r="E2360" s="23"/>
      <c r="F2360" s="23"/>
      <c r="G2360" s="23"/>
      <c r="H2360" s="29">
        <v>670290</v>
      </c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26.25">
      <c r="A2361" s="23" t="s">
        <v>17</v>
      </c>
      <c r="B2361" s="23"/>
      <c r="C2361" s="23"/>
      <c r="D2361" s="23"/>
      <c r="E2361" s="23"/>
      <c r="F2361" s="23"/>
      <c r="G2361" s="23"/>
      <c r="H2361" s="29">
        <v>649000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6.25">
      <c r="A2362" s="23"/>
      <c r="B2362" s="23"/>
      <c r="C2362" s="23"/>
      <c r="D2362" s="23"/>
      <c r="E2362" s="23"/>
      <c r="F2362" s="23"/>
      <c r="G2362" s="23"/>
      <c r="H2362" s="23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6.25">
      <c r="A2363" s="23"/>
      <c r="B2363" s="23"/>
      <c r="C2363" s="23"/>
      <c r="D2363" s="23"/>
      <c r="E2363" s="23"/>
      <c r="F2363" s="23"/>
      <c r="G2363" s="23"/>
      <c r="H2363" s="23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6.25">
      <c r="A2364" s="23"/>
      <c r="B2364" s="23"/>
      <c r="C2364" s="23"/>
      <c r="D2364" s="23"/>
      <c r="E2364" s="23"/>
      <c r="F2364" s="23"/>
      <c r="G2364" s="23"/>
      <c r="H2364" s="23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6.25">
      <c r="A2365" s="23"/>
      <c r="B2365" s="23"/>
      <c r="C2365" s="23"/>
      <c r="D2365" s="23"/>
      <c r="E2365" s="23"/>
      <c r="F2365" s="23"/>
      <c r="G2365" s="23"/>
      <c r="H2365" s="23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26.25">
      <c r="A2366" s="23"/>
      <c r="B2366" s="23"/>
      <c r="C2366" s="23"/>
      <c r="D2366" s="23"/>
      <c r="E2366" s="23"/>
      <c r="F2366" s="23"/>
      <c r="G2366" s="23"/>
      <c r="H2366" s="23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26.25">
      <c r="A2367" s="23"/>
      <c r="B2367" s="23"/>
      <c r="C2367" s="23"/>
      <c r="D2367" s="23"/>
      <c r="E2367" s="23"/>
      <c r="F2367" s="23"/>
      <c r="G2367" s="23"/>
      <c r="H2367" s="23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6.25">
      <c r="A2368" s="23"/>
      <c r="B2368" s="23"/>
      <c r="C2368" s="23"/>
      <c r="D2368" s="23"/>
      <c r="E2368" s="23"/>
      <c r="F2368" s="23"/>
      <c r="G2368" s="23"/>
      <c r="H2368" s="23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6.25">
      <c r="A2369" s="23" t="s">
        <v>0</v>
      </c>
      <c r="B2369" s="23"/>
      <c r="C2369" s="23"/>
      <c r="D2369" s="23"/>
      <c r="E2369" s="23"/>
      <c r="F2369" s="23"/>
      <c r="G2369" s="23"/>
      <c r="H2369" s="23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6.25">
      <c r="A2370" s="23" t="s">
        <v>590</v>
      </c>
      <c r="B2370" s="23"/>
      <c r="C2370" s="23"/>
      <c r="D2370" s="23"/>
      <c r="E2370" s="23"/>
      <c r="F2370" s="23"/>
      <c r="G2370" s="23"/>
      <c r="H2370" s="23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6.25">
      <c r="A2371" s="23" t="s">
        <v>2</v>
      </c>
      <c r="B2371" s="23" t="s">
        <v>3</v>
      </c>
      <c r="C2371" s="23" t="s">
        <v>4</v>
      </c>
      <c r="D2371" s="23" t="s">
        <v>5</v>
      </c>
      <c r="E2371" s="23" t="s">
        <v>6</v>
      </c>
      <c r="F2371" s="23" t="s">
        <v>7</v>
      </c>
      <c r="G2371" s="23" t="s">
        <v>8</v>
      </c>
      <c r="H2371" s="23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26.25">
      <c r="A2372" s="23">
        <v>1</v>
      </c>
      <c r="B2372" s="23" t="s">
        <v>159</v>
      </c>
      <c r="C2372" s="23" t="s">
        <v>591</v>
      </c>
      <c r="D2372" s="23" t="s">
        <v>127</v>
      </c>
      <c r="E2372" s="23">
        <v>2</v>
      </c>
      <c r="F2372" s="29">
        <v>293000</v>
      </c>
      <c r="G2372" s="29">
        <v>586000</v>
      </c>
      <c r="H2372" s="2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26.25">
      <c r="A2373" s="23">
        <v>2</v>
      </c>
      <c r="B2373" s="23" t="s">
        <v>68</v>
      </c>
      <c r="C2373" s="23" t="s">
        <v>592</v>
      </c>
      <c r="D2373" s="23" t="s">
        <v>12</v>
      </c>
      <c r="E2373" s="23">
        <v>1.4</v>
      </c>
      <c r="F2373" s="29">
        <v>435000</v>
      </c>
      <c r="G2373" s="29">
        <v>609000</v>
      </c>
      <c r="H2373" s="23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26.25">
      <c r="A2374" s="23">
        <v>3</v>
      </c>
      <c r="B2374" s="23" t="s">
        <v>14</v>
      </c>
      <c r="C2374" s="23"/>
      <c r="D2374" s="23"/>
      <c r="E2374" s="23"/>
      <c r="F2374" s="23"/>
      <c r="G2374" s="23">
        <v>0</v>
      </c>
      <c r="H2374" s="23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6.25">
      <c r="A2375" s="23" t="s">
        <v>15</v>
      </c>
      <c r="B2375" s="23"/>
      <c r="C2375" s="23"/>
      <c r="D2375" s="23"/>
      <c r="E2375" s="23"/>
      <c r="F2375" s="23"/>
      <c r="G2375" s="23"/>
      <c r="H2375" s="29">
        <v>1195000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6.25">
      <c r="A2376" s="23" t="s">
        <v>16</v>
      </c>
      <c r="B2376" s="23"/>
      <c r="C2376" s="23"/>
      <c r="D2376" s="23"/>
      <c r="E2376" s="23"/>
      <c r="F2376" s="23"/>
      <c r="G2376" s="23"/>
      <c r="H2376" s="29">
        <v>547000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6.25">
      <c r="A2377" s="23" t="s">
        <v>17</v>
      </c>
      <c r="B2377" s="23"/>
      <c r="C2377" s="23"/>
      <c r="D2377" s="23"/>
      <c r="E2377" s="23"/>
      <c r="F2377" s="23"/>
      <c r="G2377" s="23"/>
      <c r="H2377" s="29">
        <v>649000</v>
      </c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6.25">
      <c r="A2378" s="23"/>
      <c r="B2378" s="23"/>
      <c r="C2378" s="23"/>
      <c r="D2378" s="23"/>
      <c r="E2378" s="23"/>
      <c r="F2378" s="23"/>
      <c r="G2378" s="23"/>
      <c r="H2378" s="23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6.25">
      <c r="A2379" s="23"/>
      <c r="B2379" s="23"/>
      <c r="C2379" s="23"/>
      <c r="D2379" s="23"/>
      <c r="E2379" s="23"/>
      <c r="F2379" s="23"/>
      <c r="G2379" s="23"/>
      <c r="H2379" s="23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6.25">
      <c r="A2380" s="23"/>
      <c r="B2380" s="23"/>
      <c r="C2380" s="23"/>
      <c r="D2380" s="23"/>
      <c r="E2380" s="23"/>
      <c r="F2380" s="23"/>
      <c r="G2380" s="23"/>
      <c r="H2380" s="23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26.25">
      <c r="A2381" s="23"/>
      <c r="B2381" s="23"/>
      <c r="C2381" s="23"/>
      <c r="D2381" s="23"/>
      <c r="E2381" s="23"/>
      <c r="F2381" s="23"/>
      <c r="G2381" s="23"/>
      <c r="H2381" s="23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26.25">
      <c r="A2382" s="23"/>
      <c r="B2382" s="23"/>
      <c r="C2382" s="23"/>
      <c r="D2382" s="23"/>
      <c r="E2382" s="23"/>
      <c r="F2382" s="23"/>
      <c r="G2382" s="23"/>
      <c r="H2382" s="23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6.25">
      <c r="A2383" s="23"/>
      <c r="B2383" s="23"/>
      <c r="C2383" s="23"/>
      <c r="D2383" s="23"/>
      <c r="E2383" s="23"/>
      <c r="F2383" s="23"/>
      <c r="G2383" s="23"/>
      <c r="H2383" s="23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6.25">
      <c r="A2384" s="23" t="s">
        <v>0</v>
      </c>
      <c r="B2384" s="23"/>
      <c r="C2384" s="23"/>
      <c r="D2384" s="23"/>
      <c r="E2384" s="23"/>
      <c r="F2384" s="23"/>
      <c r="G2384" s="23"/>
      <c r="H2384" s="23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6.25">
      <c r="A2385" s="23" t="s">
        <v>593</v>
      </c>
      <c r="B2385" s="23"/>
      <c r="C2385" s="23"/>
      <c r="D2385" s="23"/>
      <c r="E2385" s="23"/>
      <c r="F2385" s="23"/>
      <c r="G2385" s="23"/>
      <c r="H2385" s="23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26.25">
      <c r="A2386" s="23" t="s">
        <v>2</v>
      </c>
      <c r="B2386" s="23" t="s">
        <v>3</v>
      </c>
      <c r="C2386" s="23" t="s">
        <v>4</v>
      </c>
      <c r="D2386" s="23" t="s">
        <v>5</v>
      </c>
      <c r="E2386" s="23" t="s">
        <v>6</v>
      </c>
      <c r="F2386" s="23" t="s">
        <v>7</v>
      </c>
      <c r="G2386" s="23" t="s">
        <v>8</v>
      </c>
      <c r="H2386" s="23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26.25">
      <c r="A2387" s="23">
        <v>1</v>
      </c>
      <c r="B2387" s="23" t="s">
        <v>159</v>
      </c>
      <c r="C2387" s="23" t="s">
        <v>591</v>
      </c>
      <c r="D2387" s="23" t="s">
        <v>127</v>
      </c>
      <c r="E2387" s="23">
        <v>2</v>
      </c>
      <c r="F2387" s="29">
        <v>293000</v>
      </c>
      <c r="G2387" s="29">
        <v>586000</v>
      </c>
      <c r="H2387" s="23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26.25">
      <c r="A2388" s="23">
        <v>2</v>
      </c>
      <c r="B2388" s="23" t="s">
        <v>225</v>
      </c>
      <c r="C2388" s="23" t="s">
        <v>594</v>
      </c>
      <c r="D2388" s="23" t="s">
        <v>12</v>
      </c>
      <c r="E2388" s="23">
        <v>1.45</v>
      </c>
      <c r="F2388" s="29">
        <v>435000</v>
      </c>
      <c r="G2388" s="29">
        <v>630750</v>
      </c>
      <c r="H2388" s="23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26.25">
      <c r="A2389" s="23">
        <v>3</v>
      </c>
      <c r="B2389" s="23" t="s">
        <v>14</v>
      </c>
      <c r="C2389" s="23"/>
      <c r="D2389" s="23"/>
      <c r="E2389" s="23"/>
      <c r="F2389" s="23"/>
      <c r="G2389" s="23">
        <v>0</v>
      </c>
      <c r="H2389" s="23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6.25">
      <c r="A2390" s="23" t="s">
        <v>15</v>
      </c>
      <c r="B2390" s="23"/>
      <c r="C2390" s="23"/>
      <c r="D2390" s="23"/>
      <c r="E2390" s="23"/>
      <c r="F2390" s="23"/>
      <c r="G2390" s="23"/>
      <c r="H2390" s="29">
        <v>1216750</v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26.25">
      <c r="A2391" s="23" t="s">
        <v>16</v>
      </c>
      <c r="B2391" s="23"/>
      <c r="C2391" s="23"/>
      <c r="D2391" s="23"/>
      <c r="E2391" s="23"/>
      <c r="F2391" s="23"/>
      <c r="G2391" s="23"/>
      <c r="H2391" s="29">
        <v>568750</v>
      </c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26.25">
      <c r="A2392" s="23" t="s">
        <v>17</v>
      </c>
      <c r="B2392" s="23"/>
      <c r="C2392" s="23"/>
      <c r="D2392" s="23"/>
      <c r="E2392" s="23"/>
      <c r="F2392" s="23"/>
      <c r="G2392" s="23"/>
      <c r="H2392" s="29">
        <v>649000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26.25">
      <c r="A2393" s="23"/>
      <c r="B2393" s="23"/>
      <c r="C2393" s="23"/>
      <c r="D2393" s="23"/>
      <c r="E2393" s="23"/>
      <c r="F2393" s="23"/>
      <c r="G2393" s="23"/>
      <c r="H2393" s="23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26.25">
      <c r="A2394" s="23"/>
      <c r="B2394" s="23"/>
      <c r="C2394" s="23"/>
      <c r="D2394" s="23"/>
      <c r="E2394" s="23"/>
      <c r="F2394" s="23"/>
      <c r="G2394" s="23"/>
      <c r="H2394" s="23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6.25">
      <c r="A2395" s="23"/>
      <c r="B2395" s="23"/>
      <c r="C2395" s="23"/>
      <c r="D2395" s="23"/>
      <c r="E2395" s="23"/>
      <c r="F2395" s="23"/>
      <c r="G2395" s="23"/>
      <c r="H2395" s="23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6.25">
      <c r="A2396" s="23"/>
      <c r="B2396" s="23"/>
      <c r="C2396" s="23"/>
      <c r="D2396" s="23"/>
      <c r="E2396" s="23"/>
      <c r="F2396" s="23"/>
      <c r="G2396" s="23"/>
      <c r="H2396" s="23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26.25">
      <c r="A2397" s="23"/>
      <c r="B2397" s="23"/>
      <c r="C2397" s="23"/>
      <c r="D2397" s="23"/>
      <c r="E2397" s="23"/>
      <c r="F2397" s="23"/>
      <c r="G2397" s="23"/>
      <c r="H2397" s="23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26.25">
      <c r="A2398" s="23"/>
      <c r="B2398" s="23"/>
      <c r="C2398" s="23"/>
      <c r="D2398" s="23"/>
      <c r="E2398" s="23"/>
      <c r="F2398" s="23"/>
      <c r="G2398" s="23"/>
      <c r="H2398" s="23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6.25">
      <c r="A2399" s="23" t="s">
        <v>0</v>
      </c>
      <c r="B2399" s="23"/>
      <c r="C2399" s="23"/>
      <c r="D2399" s="23"/>
      <c r="E2399" s="23"/>
      <c r="F2399" s="23"/>
      <c r="G2399" s="23"/>
      <c r="H2399" s="23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6.25">
      <c r="A2400" s="23" t="s">
        <v>595</v>
      </c>
      <c r="B2400" s="23"/>
      <c r="C2400" s="23"/>
      <c r="D2400" s="23"/>
      <c r="E2400" s="23"/>
      <c r="F2400" s="23"/>
      <c r="G2400" s="23"/>
      <c r="H2400" s="23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6.25">
      <c r="A2401" s="23" t="s">
        <v>2</v>
      </c>
      <c r="B2401" s="23" t="s">
        <v>3</v>
      </c>
      <c r="C2401" s="23" t="s">
        <v>4</v>
      </c>
      <c r="D2401" s="23" t="s">
        <v>5</v>
      </c>
      <c r="E2401" s="23" t="s">
        <v>6</v>
      </c>
      <c r="F2401" s="23" t="s">
        <v>7</v>
      </c>
      <c r="G2401" s="23" t="s">
        <v>8</v>
      </c>
      <c r="H2401" s="23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6.25">
      <c r="A2402" s="23">
        <v>1</v>
      </c>
      <c r="B2402" s="23" t="s">
        <v>136</v>
      </c>
      <c r="C2402" s="23" t="s">
        <v>596</v>
      </c>
      <c r="D2402" s="23" t="s">
        <v>127</v>
      </c>
      <c r="E2402" s="23">
        <v>0.8</v>
      </c>
      <c r="F2402" s="29">
        <v>293000</v>
      </c>
      <c r="G2402" s="29">
        <v>234400</v>
      </c>
      <c r="H2402" s="23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26.25">
      <c r="A2403" s="23">
        <v>2</v>
      </c>
      <c r="B2403" s="23" t="s">
        <v>597</v>
      </c>
      <c r="C2403" s="23" t="s">
        <v>598</v>
      </c>
      <c r="D2403" s="23" t="s">
        <v>12</v>
      </c>
      <c r="E2403" s="23">
        <v>2.9</v>
      </c>
      <c r="F2403" s="29">
        <v>435000</v>
      </c>
      <c r="G2403" s="29">
        <v>1261500</v>
      </c>
      <c r="H2403" s="23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26.25">
      <c r="A2404" s="23">
        <v>3</v>
      </c>
      <c r="B2404" s="23" t="s">
        <v>14</v>
      </c>
      <c r="C2404" s="23"/>
      <c r="D2404" s="23"/>
      <c r="E2404" s="23"/>
      <c r="F2404" s="23"/>
      <c r="G2404" s="23">
        <v>0</v>
      </c>
      <c r="H2404" s="23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6.25">
      <c r="A2405" s="23" t="s">
        <v>15</v>
      </c>
      <c r="B2405" s="23"/>
      <c r="C2405" s="23"/>
      <c r="D2405" s="23"/>
      <c r="E2405" s="23"/>
      <c r="F2405" s="23"/>
      <c r="G2405" s="23"/>
      <c r="H2405" s="29">
        <v>1495900</v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6.25">
      <c r="A2406" s="23" t="s">
        <v>16</v>
      </c>
      <c r="B2406" s="23"/>
      <c r="C2406" s="23"/>
      <c r="D2406" s="23"/>
      <c r="E2406" s="23"/>
      <c r="F2406" s="23"/>
      <c r="G2406" s="23"/>
      <c r="H2406" s="29">
        <v>847900</v>
      </c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6.25">
      <c r="A2407" s="23" t="s">
        <v>17</v>
      </c>
      <c r="B2407" s="23"/>
      <c r="C2407" s="23"/>
      <c r="D2407" s="23"/>
      <c r="E2407" s="23"/>
      <c r="F2407" s="23"/>
      <c r="G2407" s="23"/>
      <c r="H2407" s="29">
        <v>649000</v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6.25">
      <c r="A2408" s="23"/>
      <c r="B2408" s="23"/>
      <c r="C2408" s="23"/>
      <c r="D2408" s="23"/>
      <c r="E2408" s="23"/>
      <c r="F2408" s="23"/>
      <c r="G2408" s="23"/>
      <c r="H2408" s="23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6.25">
      <c r="A2409" s="23"/>
      <c r="B2409" s="23"/>
      <c r="C2409" s="23"/>
      <c r="D2409" s="23"/>
      <c r="E2409" s="23"/>
      <c r="F2409" s="23"/>
      <c r="G2409" s="23"/>
      <c r="H2409" s="23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6.25">
      <c r="A2410" s="23"/>
      <c r="B2410" s="23"/>
      <c r="C2410" s="23"/>
      <c r="D2410" s="23"/>
      <c r="E2410" s="23"/>
      <c r="F2410" s="23"/>
      <c r="G2410" s="23"/>
      <c r="H2410" s="23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6.25">
      <c r="A2411" s="23"/>
      <c r="B2411" s="23"/>
      <c r="C2411" s="23"/>
      <c r="D2411" s="23"/>
      <c r="E2411" s="23"/>
      <c r="F2411" s="23"/>
      <c r="G2411" s="23"/>
      <c r="H2411" s="23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6.25">
      <c r="A2412" s="23"/>
      <c r="B2412" s="23"/>
      <c r="C2412" s="23"/>
      <c r="D2412" s="23"/>
      <c r="E2412" s="23"/>
      <c r="F2412" s="23"/>
      <c r="G2412" s="23"/>
      <c r="H2412" s="23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6.25">
      <c r="A2413" s="23"/>
      <c r="B2413" s="23"/>
      <c r="C2413" s="23"/>
      <c r="D2413" s="23"/>
      <c r="E2413" s="23"/>
      <c r="F2413" s="23"/>
      <c r="G2413" s="23"/>
      <c r="H2413" s="23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6.25">
      <c r="A2414" s="23"/>
      <c r="B2414" s="23"/>
      <c r="C2414" s="23"/>
      <c r="D2414" s="23"/>
      <c r="E2414" s="23"/>
      <c r="F2414" s="23"/>
      <c r="G2414" s="23"/>
      <c r="H2414" s="23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6.25">
      <c r="A2415" s="23" t="s">
        <v>0</v>
      </c>
      <c r="B2415" s="23"/>
      <c r="C2415" s="23"/>
      <c r="D2415" s="23"/>
      <c r="E2415" s="23"/>
      <c r="F2415" s="23"/>
      <c r="G2415" s="23"/>
      <c r="H2415" s="23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6.25">
      <c r="A2416" s="23" t="s">
        <v>599</v>
      </c>
      <c r="B2416" s="23"/>
      <c r="C2416" s="23"/>
      <c r="D2416" s="23"/>
      <c r="E2416" s="23"/>
      <c r="F2416" s="23"/>
      <c r="G2416" s="23"/>
      <c r="H2416" s="23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26.25">
      <c r="A2417" s="23" t="s">
        <v>2</v>
      </c>
      <c r="B2417" s="23" t="s">
        <v>3</v>
      </c>
      <c r="C2417" s="23" t="s">
        <v>4</v>
      </c>
      <c r="D2417" s="23" t="s">
        <v>5</v>
      </c>
      <c r="E2417" s="23" t="s">
        <v>6</v>
      </c>
      <c r="F2417" s="23" t="s">
        <v>7</v>
      </c>
      <c r="G2417" s="23" t="s">
        <v>8</v>
      </c>
      <c r="H2417" s="23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26.25">
      <c r="A2418" s="23">
        <v>1</v>
      </c>
      <c r="B2418" s="23" t="s">
        <v>534</v>
      </c>
      <c r="C2418" s="23" t="s">
        <v>600</v>
      </c>
      <c r="D2418" s="23" t="s">
        <v>127</v>
      </c>
      <c r="E2418" s="23">
        <v>1.5</v>
      </c>
      <c r="F2418" s="29">
        <v>293000</v>
      </c>
      <c r="G2418" s="29">
        <v>439500</v>
      </c>
      <c r="H2418" s="23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26.25">
      <c r="A2419" s="23">
        <v>2</v>
      </c>
      <c r="B2419" s="23" t="s">
        <v>491</v>
      </c>
      <c r="C2419" s="23" t="s">
        <v>601</v>
      </c>
      <c r="D2419" s="23" t="s">
        <v>12</v>
      </c>
      <c r="E2419" s="23">
        <v>1.94</v>
      </c>
      <c r="F2419" s="29">
        <v>435000</v>
      </c>
      <c r="G2419" s="29">
        <v>843900</v>
      </c>
      <c r="H2419" s="23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6.25">
      <c r="A2420" s="23">
        <v>3</v>
      </c>
      <c r="B2420" s="23" t="s">
        <v>14</v>
      </c>
      <c r="C2420" s="23"/>
      <c r="D2420" s="23"/>
      <c r="E2420" s="23"/>
      <c r="F2420" s="23"/>
      <c r="G2420" s="23">
        <v>0</v>
      </c>
      <c r="H2420" s="23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26.25">
      <c r="A2421" s="23" t="s">
        <v>15</v>
      </c>
      <c r="B2421" s="23"/>
      <c r="C2421" s="23"/>
      <c r="D2421" s="23"/>
      <c r="E2421" s="23"/>
      <c r="F2421" s="23"/>
      <c r="G2421" s="23"/>
      <c r="H2421" s="29">
        <v>1283400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26.25">
      <c r="A2422" s="23" t="s">
        <v>16</v>
      </c>
      <c r="B2422" s="23"/>
      <c r="C2422" s="23"/>
      <c r="D2422" s="23"/>
      <c r="E2422" s="23"/>
      <c r="F2422" s="23"/>
      <c r="G2422" s="23"/>
      <c r="H2422" s="29">
        <v>635400</v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26.25">
      <c r="A2423" s="23" t="s">
        <v>17</v>
      </c>
      <c r="B2423" s="23"/>
      <c r="C2423" s="23"/>
      <c r="D2423" s="23"/>
      <c r="E2423" s="23"/>
      <c r="F2423" s="23"/>
      <c r="G2423" s="23"/>
      <c r="H2423" s="29">
        <v>649000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6.25">
      <c r="A2424" s="23"/>
      <c r="B2424" s="23"/>
      <c r="C2424" s="23"/>
      <c r="D2424" s="23"/>
      <c r="E2424" s="23"/>
      <c r="F2424" s="23"/>
      <c r="G2424" s="23"/>
      <c r="H2424" s="23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6.25">
      <c r="A2425" s="23"/>
      <c r="B2425" s="23"/>
      <c r="C2425" s="23"/>
      <c r="D2425" s="23"/>
      <c r="E2425" s="23"/>
      <c r="F2425" s="23"/>
      <c r="G2425" s="23"/>
      <c r="H2425" s="23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6.25">
      <c r="A2426" s="23"/>
      <c r="B2426" s="23"/>
      <c r="C2426" s="23"/>
      <c r="D2426" s="23"/>
      <c r="E2426" s="23"/>
      <c r="F2426" s="23"/>
      <c r="G2426" s="23"/>
      <c r="H2426" s="23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26.25">
      <c r="A2427" s="23"/>
      <c r="B2427" s="23"/>
      <c r="C2427" s="23"/>
      <c r="D2427" s="23"/>
      <c r="E2427" s="23"/>
      <c r="F2427" s="23"/>
      <c r="G2427" s="23"/>
      <c r="H2427" s="23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26.25">
      <c r="A2428" s="23"/>
      <c r="B2428" s="23"/>
      <c r="C2428" s="23"/>
      <c r="D2428" s="23"/>
      <c r="E2428" s="23"/>
      <c r="F2428" s="23"/>
      <c r="G2428" s="23"/>
      <c r="H2428" s="23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26.25">
      <c r="A2429" s="23"/>
      <c r="B2429" s="23"/>
      <c r="C2429" s="23"/>
      <c r="D2429" s="23"/>
      <c r="E2429" s="23"/>
      <c r="F2429" s="23"/>
      <c r="G2429" s="23"/>
      <c r="H2429" s="23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26.25">
      <c r="A2430" s="23" t="s">
        <v>0</v>
      </c>
      <c r="B2430" s="23"/>
      <c r="C2430" s="23"/>
      <c r="D2430" s="23"/>
      <c r="E2430" s="23"/>
      <c r="F2430" s="23"/>
      <c r="G2430" s="23"/>
      <c r="H2430" s="23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6.25">
      <c r="A2431" s="23" t="s">
        <v>602</v>
      </c>
      <c r="B2431" s="23"/>
      <c r="C2431" s="23"/>
      <c r="D2431" s="23"/>
      <c r="E2431" s="23"/>
      <c r="F2431" s="23"/>
      <c r="G2431" s="23"/>
      <c r="H2431" s="23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26.25">
      <c r="A2432" s="23" t="s">
        <v>2</v>
      </c>
      <c r="B2432" s="23" t="s">
        <v>3</v>
      </c>
      <c r="C2432" s="23" t="s">
        <v>4</v>
      </c>
      <c r="D2432" s="23" t="s">
        <v>5</v>
      </c>
      <c r="E2432" s="23" t="s">
        <v>6</v>
      </c>
      <c r="F2432" s="23" t="s">
        <v>7</v>
      </c>
      <c r="G2432" s="23" t="s">
        <v>8</v>
      </c>
      <c r="H2432" s="23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26.25">
      <c r="A2433" s="23">
        <v>1</v>
      </c>
      <c r="B2433" s="23" t="s">
        <v>603</v>
      </c>
      <c r="C2433" s="23" t="s">
        <v>604</v>
      </c>
      <c r="D2433" s="23" t="s">
        <v>127</v>
      </c>
      <c r="E2433" s="23">
        <v>2</v>
      </c>
      <c r="F2433" s="29">
        <v>293000</v>
      </c>
      <c r="G2433" s="29">
        <v>586000</v>
      </c>
      <c r="H2433" s="23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6.25">
      <c r="A2434" s="23">
        <v>2</v>
      </c>
      <c r="B2434" s="23" t="s">
        <v>31</v>
      </c>
      <c r="C2434" s="23" t="s">
        <v>605</v>
      </c>
      <c r="D2434" s="23" t="s">
        <v>12</v>
      </c>
      <c r="E2434" s="23">
        <v>1.42</v>
      </c>
      <c r="F2434" s="29">
        <v>435000</v>
      </c>
      <c r="G2434" s="29">
        <v>617700</v>
      </c>
      <c r="H2434" s="23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6.25">
      <c r="A2435" s="23">
        <v>3</v>
      </c>
      <c r="B2435" s="23" t="s">
        <v>14</v>
      </c>
      <c r="C2435" s="23"/>
      <c r="D2435" s="23"/>
      <c r="E2435" s="23"/>
      <c r="F2435" s="23"/>
      <c r="G2435" s="23">
        <v>0</v>
      </c>
      <c r="H2435" s="23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26.25">
      <c r="A2436" s="23" t="s">
        <v>15</v>
      </c>
      <c r="B2436" s="23"/>
      <c r="C2436" s="23"/>
      <c r="D2436" s="23"/>
      <c r="E2436" s="23"/>
      <c r="F2436" s="23"/>
      <c r="G2436" s="23"/>
      <c r="H2436" s="29">
        <v>1203700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26.25">
      <c r="A2437" s="23" t="s">
        <v>16</v>
      </c>
      <c r="B2437" s="23"/>
      <c r="C2437" s="23"/>
      <c r="D2437" s="23"/>
      <c r="E2437" s="23"/>
      <c r="F2437" s="23"/>
      <c r="G2437" s="23"/>
      <c r="H2437" s="29">
        <v>555700</v>
      </c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26.25">
      <c r="A2438" s="23" t="s">
        <v>17</v>
      </c>
      <c r="B2438" s="23"/>
      <c r="C2438" s="23"/>
      <c r="D2438" s="23"/>
      <c r="E2438" s="23"/>
      <c r="F2438" s="23"/>
      <c r="G2438" s="23"/>
      <c r="H2438" s="29">
        <v>649000</v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26.25">
      <c r="A2439" s="23"/>
      <c r="B2439" s="23"/>
      <c r="C2439" s="23"/>
      <c r="D2439" s="23"/>
      <c r="E2439" s="23"/>
      <c r="F2439" s="23"/>
      <c r="G2439" s="23"/>
      <c r="H2439" s="23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26.25">
      <c r="A2440" s="23"/>
      <c r="B2440" s="23"/>
      <c r="C2440" s="23"/>
      <c r="D2440" s="23"/>
      <c r="E2440" s="23"/>
      <c r="F2440" s="23"/>
      <c r="G2440" s="23"/>
      <c r="H2440" s="23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6.25">
      <c r="A2441" s="23"/>
      <c r="B2441" s="23"/>
      <c r="C2441" s="23"/>
      <c r="D2441" s="23"/>
      <c r="E2441" s="23"/>
      <c r="F2441" s="23"/>
      <c r="G2441" s="23"/>
      <c r="H2441" s="23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26.25">
      <c r="A2442" s="23"/>
      <c r="B2442" s="23"/>
      <c r="C2442" s="23"/>
      <c r="D2442" s="23"/>
      <c r="E2442" s="23"/>
      <c r="F2442" s="23"/>
      <c r="G2442" s="23"/>
      <c r="H2442" s="2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6.25">
      <c r="A2443" s="23"/>
      <c r="B2443" s="23"/>
      <c r="C2443" s="23"/>
      <c r="D2443" s="23"/>
      <c r="E2443" s="23"/>
      <c r="F2443" s="23"/>
      <c r="G2443" s="23"/>
      <c r="H2443" s="23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6.25">
      <c r="A2444" s="23"/>
      <c r="B2444" s="23"/>
      <c r="C2444" s="23"/>
      <c r="D2444" s="23"/>
      <c r="E2444" s="23"/>
      <c r="F2444" s="23"/>
      <c r="G2444" s="23"/>
      <c r="H2444" s="23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6.25">
      <c r="A2445" s="23"/>
      <c r="B2445" s="23"/>
      <c r="C2445" s="23"/>
      <c r="D2445" s="23"/>
      <c r="E2445" s="23"/>
      <c r="F2445" s="23"/>
      <c r="G2445" s="23"/>
      <c r="H2445" s="23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6.25">
      <c r="A2446" s="23" t="s">
        <v>0</v>
      </c>
      <c r="B2446" s="23"/>
      <c r="C2446" s="23"/>
      <c r="D2446" s="23"/>
      <c r="E2446" s="23"/>
      <c r="F2446" s="23"/>
      <c r="G2446" s="23"/>
      <c r="H2446" s="23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6.25">
      <c r="A2447" s="23" t="s">
        <v>606</v>
      </c>
      <c r="B2447" s="23"/>
      <c r="C2447" s="23"/>
      <c r="D2447" s="23"/>
      <c r="E2447" s="23"/>
      <c r="F2447" s="23"/>
      <c r="G2447" s="23"/>
      <c r="H2447" s="23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6.25">
      <c r="A2448" s="23" t="s">
        <v>2</v>
      </c>
      <c r="B2448" s="23" t="s">
        <v>3</v>
      </c>
      <c r="C2448" s="23" t="s">
        <v>4</v>
      </c>
      <c r="D2448" s="23" t="s">
        <v>5</v>
      </c>
      <c r="E2448" s="23" t="s">
        <v>6</v>
      </c>
      <c r="F2448" s="23" t="s">
        <v>7</v>
      </c>
      <c r="G2448" s="23" t="s">
        <v>8</v>
      </c>
      <c r="H2448" s="23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6.25">
      <c r="A2449" s="23">
        <v>1</v>
      </c>
      <c r="B2449" s="23" t="s">
        <v>159</v>
      </c>
      <c r="C2449" s="23" t="s">
        <v>591</v>
      </c>
      <c r="D2449" s="23" t="s">
        <v>127</v>
      </c>
      <c r="E2449" s="23">
        <v>2</v>
      </c>
      <c r="F2449" s="29">
        <v>293000</v>
      </c>
      <c r="G2449" s="29">
        <v>586000</v>
      </c>
      <c r="H2449" s="2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6.25">
      <c r="A2450" s="23">
        <v>2</v>
      </c>
      <c r="B2450" s="23" t="s">
        <v>82</v>
      </c>
      <c r="C2450" s="23" t="s">
        <v>607</v>
      </c>
      <c r="D2450" s="23" t="s">
        <v>12</v>
      </c>
      <c r="E2450" s="23">
        <v>1.41</v>
      </c>
      <c r="F2450" s="29">
        <v>435000</v>
      </c>
      <c r="G2450" s="29">
        <v>613350</v>
      </c>
      <c r="H2450" s="23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6.25">
      <c r="A2451" s="23">
        <v>3</v>
      </c>
      <c r="B2451" s="23" t="s">
        <v>14</v>
      </c>
      <c r="C2451" s="23"/>
      <c r="D2451" s="23"/>
      <c r="E2451" s="23"/>
      <c r="F2451" s="23"/>
      <c r="G2451" s="23">
        <v>0</v>
      </c>
      <c r="H2451" s="23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6.25">
      <c r="A2452" s="23" t="s">
        <v>15</v>
      </c>
      <c r="B2452" s="23"/>
      <c r="C2452" s="23"/>
      <c r="D2452" s="23"/>
      <c r="E2452" s="23"/>
      <c r="F2452" s="23"/>
      <c r="G2452" s="23"/>
      <c r="H2452" s="29">
        <v>1199350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6.25">
      <c r="A2453" s="23" t="s">
        <v>16</v>
      </c>
      <c r="B2453" s="23"/>
      <c r="C2453" s="23"/>
      <c r="D2453" s="23"/>
      <c r="E2453" s="23"/>
      <c r="F2453" s="23"/>
      <c r="G2453" s="23"/>
      <c r="H2453" s="29">
        <v>551350</v>
      </c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6.25">
      <c r="A2454" s="23" t="s">
        <v>17</v>
      </c>
      <c r="B2454" s="23"/>
      <c r="C2454" s="23"/>
      <c r="D2454" s="23"/>
      <c r="E2454" s="23"/>
      <c r="F2454" s="23"/>
      <c r="G2454" s="23"/>
      <c r="H2454" s="29">
        <v>649000</v>
      </c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6.25">
      <c r="A2455" s="23"/>
      <c r="B2455" s="23"/>
      <c r="C2455" s="23"/>
      <c r="D2455" s="23"/>
      <c r="E2455" s="23"/>
      <c r="F2455" s="23"/>
      <c r="G2455" s="23"/>
      <c r="H2455" s="23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6.25">
      <c r="A2456" s="23"/>
      <c r="B2456" s="23"/>
      <c r="C2456" s="23"/>
      <c r="D2456" s="23"/>
      <c r="E2456" s="23"/>
      <c r="F2456" s="23"/>
      <c r="G2456" s="23"/>
      <c r="H2456" s="23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6.25">
      <c r="A2457" s="23"/>
      <c r="B2457" s="23"/>
      <c r="C2457" s="23"/>
      <c r="D2457" s="23"/>
      <c r="E2457" s="23"/>
      <c r="F2457" s="23"/>
      <c r="G2457" s="23"/>
      <c r="H2457" s="23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26.25">
      <c r="A2458" s="23"/>
      <c r="B2458" s="23"/>
      <c r="C2458" s="23"/>
      <c r="D2458" s="23"/>
      <c r="E2458" s="23"/>
      <c r="F2458" s="23"/>
      <c r="G2458" s="23"/>
      <c r="H2458" s="2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6.25">
      <c r="A2459" s="23"/>
      <c r="B2459" s="23"/>
      <c r="C2459" s="23"/>
      <c r="D2459" s="23"/>
      <c r="E2459" s="23"/>
      <c r="F2459" s="23"/>
      <c r="G2459" s="23"/>
      <c r="H2459" s="23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26.25">
      <c r="A2460" s="23"/>
      <c r="B2460" s="23"/>
      <c r="C2460" s="23"/>
      <c r="D2460" s="23"/>
      <c r="E2460" s="23"/>
      <c r="F2460" s="23"/>
      <c r="G2460" s="23"/>
      <c r="H2460" s="23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26.25">
      <c r="A2461" s="23" t="s">
        <v>0</v>
      </c>
      <c r="B2461" s="23"/>
      <c r="C2461" s="23"/>
      <c r="D2461" s="23"/>
      <c r="E2461" s="23"/>
      <c r="F2461" s="23"/>
      <c r="G2461" s="23"/>
      <c r="H2461" s="23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26.25">
      <c r="A2462" s="23" t="s">
        <v>608</v>
      </c>
      <c r="B2462" s="23"/>
      <c r="C2462" s="23"/>
      <c r="D2462" s="23"/>
      <c r="E2462" s="23"/>
      <c r="F2462" s="23"/>
      <c r="G2462" s="23"/>
      <c r="H2462" s="23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26.25">
      <c r="A2463" s="23" t="s">
        <v>2</v>
      </c>
      <c r="B2463" s="23" t="s">
        <v>3</v>
      </c>
      <c r="C2463" s="23" t="s">
        <v>4</v>
      </c>
      <c r="D2463" s="23" t="s">
        <v>5</v>
      </c>
      <c r="E2463" s="23" t="s">
        <v>6</v>
      </c>
      <c r="F2463" s="23" t="s">
        <v>7</v>
      </c>
      <c r="G2463" s="23" t="s">
        <v>8</v>
      </c>
      <c r="H2463" s="23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26.25">
      <c r="A2464" s="23">
        <v>1</v>
      </c>
      <c r="B2464" s="23" t="s">
        <v>603</v>
      </c>
      <c r="C2464" s="23" t="s">
        <v>609</v>
      </c>
      <c r="D2464" s="23" t="s">
        <v>127</v>
      </c>
      <c r="E2464" s="23">
        <v>2</v>
      </c>
      <c r="F2464" s="29">
        <v>293000</v>
      </c>
      <c r="G2464" s="29">
        <v>586000</v>
      </c>
      <c r="H2464" s="23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6.25">
      <c r="A2465" s="23">
        <v>2</v>
      </c>
      <c r="B2465" s="23" t="s">
        <v>225</v>
      </c>
      <c r="C2465" s="23" t="s">
        <v>447</v>
      </c>
      <c r="D2465" s="23" t="s">
        <v>12</v>
      </c>
      <c r="E2465" s="23">
        <v>1.45</v>
      </c>
      <c r="F2465" s="29">
        <v>435000</v>
      </c>
      <c r="G2465" s="29">
        <v>630750</v>
      </c>
      <c r="H2465" s="23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6.25">
      <c r="A2466" s="23">
        <v>3</v>
      </c>
      <c r="B2466" s="23" t="s">
        <v>14</v>
      </c>
      <c r="C2466" s="23"/>
      <c r="D2466" s="23"/>
      <c r="E2466" s="23"/>
      <c r="F2466" s="23"/>
      <c r="G2466" s="23">
        <v>0</v>
      </c>
      <c r="H2466" s="23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26.25">
      <c r="A2467" s="23" t="s">
        <v>15</v>
      </c>
      <c r="B2467" s="23"/>
      <c r="C2467" s="23"/>
      <c r="D2467" s="23"/>
      <c r="E2467" s="23"/>
      <c r="F2467" s="23"/>
      <c r="G2467" s="23"/>
      <c r="H2467" s="29">
        <v>1216750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26.25">
      <c r="A2468" s="23" t="s">
        <v>16</v>
      </c>
      <c r="B2468" s="23"/>
      <c r="C2468" s="23"/>
      <c r="D2468" s="23"/>
      <c r="E2468" s="23"/>
      <c r="F2468" s="23"/>
      <c r="G2468" s="23"/>
      <c r="H2468" s="29">
        <v>568750</v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26.25">
      <c r="A2469" s="23" t="s">
        <v>17</v>
      </c>
      <c r="B2469" s="23"/>
      <c r="C2469" s="23"/>
      <c r="D2469" s="23"/>
      <c r="E2469" s="23"/>
      <c r="F2469" s="23"/>
      <c r="G2469" s="23"/>
      <c r="H2469" s="29">
        <v>649000</v>
      </c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6.25">
      <c r="A2470" s="23"/>
      <c r="B2470" s="23"/>
      <c r="C2470" s="23"/>
      <c r="D2470" s="23"/>
      <c r="E2470" s="23"/>
      <c r="F2470" s="23"/>
      <c r="G2470" s="23"/>
      <c r="H2470" s="23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26.25">
      <c r="A2471" s="23"/>
      <c r="B2471" s="23"/>
      <c r="C2471" s="23"/>
      <c r="D2471" s="23"/>
      <c r="E2471" s="23"/>
      <c r="F2471" s="23"/>
      <c r="G2471" s="23"/>
      <c r="H2471" s="23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6.25">
      <c r="A2472" s="23"/>
      <c r="B2472" s="23"/>
      <c r="C2472" s="23"/>
      <c r="D2472" s="23"/>
      <c r="E2472" s="23"/>
      <c r="F2472" s="23"/>
      <c r="G2472" s="23"/>
      <c r="H2472" s="2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6.25">
      <c r="A2473" s="23"/>
      <c r="B2473" s="23"/>
      <c r="C2473" s="23"/>
      <c r="D2473" s="23"/>
      <c r="E2473" s="23"/>
      <c r="F2473" s="23"/>
      <c r="G2473" s="23"/>
      <c r="H2473" s="23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26.25">
      <c r="A2474" s="23"/>
      <c r="B2474" s="23"/>
      <c r="C2474" s="23"/>
      <c r="D2474" s="23"/>
      <c r="E2474" s="23"/>
      <c r="F2474" s="23"/>
      <c r="G2474" s="23"/>
      <c r="H2474" s="23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6.25">
      <c r="A2475" s="23"/>
      <c r="B2475" s="23"/>
      <c r="C2475" s="23"/>
      <c r="D2475" s="23"/>
      <c r="E2475" s="23"/>
      <c r="F2475" s="23"/>
      <c r="G2475" s="23"/>
      <c r="H2475" s="23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26.25">
      <c r="A2476" s="23"/>
      <c r="B2476" s="23"/>
      <c r="C2476" s="23"/>
      <c r="D2476" s="23"/>
      <c r="E2476" s="23"/>
      <c r="F2476" s="23"/>
      <c r="G2476" s="23"/>
      <c r="H2476" s="23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26.25">
      <c r="A2477" s="23" t="s">
        <v>0</v>
      </c>
      <c r="B2477" s="23"/>
      <c r="C2477" s="23"/>
      <c r="D2477" s="23"/>
      <c r="E2477" s="23"/>
      <c r="F2477" s="23"/>
      <c r="G2477" s="23"/>
      <c r="H2477" s="23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26.25">
      <c r="A2478" s="23" t="s">
        <v>610</v>
      </c>
      <c r="B2478" s="23"/>
      <c r="C2478" s="23"/>
      <c r="D2478" s="23"/>
      <c r="E2478" s="23"/>
      <c r="F2478" s="23"/>
      <c r="G2478" s="23"/>
      <c r="H2478" s="23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26.25">
      <c r="A2479" s="23" t="s">
        <v>2</v>
      </c>
      <c r="B2479" s="23" t="s">
        <v>3</v>
      </c>
      <c r="C2479" s="23" t="s">
        <v>4</v>
      </c>
      <c r="D2479" s="23" t="s">
        <v>5</v>
      </c>
      <c r="E2479" s="23" t="s">
        <v>6</v>
      </c>
      <c r="F2479" s="23" t="s">
        <v>7</v>
      </c>
      <c r="G2479" s="23" t="s">
        <v>8</v>
      </c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26.25">
      <c r="A2480" s="23">
        <v>1</v>
      </c>
      <c r="B2480" s="23" t="s">
        <v>603</v>
      </c>
      <c r="C2480" s="23" t="s">
        <v>609</v>
      </c>
      <c r="D2480" s="23" t="s">
        <v>127</v>
      </c>
      <c r="E2480" s="23">
        <v>2</v>
      </c>
      <c r="F2480" s="29">
        <v>293000</v>
      </c>
      <c r="G2480" s="29">
        <v>586000</v>
      </c>
      <c r="H2480" s="23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26.25">
      <c r="A2481" s="23">
        <v>2</v>
      </c>
      <c r="B2481" s="23" t="s">
        <v>175</v>
      </c>
      <c r="C2481" s="23" t="s">
        <v>611</v>
      </c>
      <c r="D2481" s="23" t="s">
        <v>12</v>
      </c>
      <c r="E2481" s="23">
        <v>1.6</v>
      </c>
      <c r="F2481" s="29">
        <v>435000</v>
      </c>
      <c r="G2481" s="29">
        <v>696000</v>
      </c>
      <c r="H2481" s="23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6.25">
      <c r="A2482" s="23">
        <v>3</v>
      </c>
      <c r="B2482" s="23" t="s">
        <v>14</v>
      </c>
      <c r="C2482" s="23"/>
      <c r="D2482" s="23"/>
      <c r="E2482" s="23"/>
      <c r="F2482" s="23"/>
      <c r="G2482" s="23">
        <v>0</v>
      </c>
      <c r="H2482" s="23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26.25">
      <c r="A2483" s="23" t="s">
        <v>15</v>
      </c>
      <c r="B2483" s="23"/>
      <c r="C2483" s="23"/>
      <c r="D2483" s="23"/>
      <c r="E2483" s="23"/>
      <c r="F2483" s="23"/>
      <c r="G2483" s="23"/>
      <c r="H2483" s="29">
        <v>1282000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26.25">
      <c r="A2484" s="23" t="s">
        <v>16</v>
      </c>
      <c r="B2484" s="23"/>
      <c r="C2484" s="23"/>
      <c r="D2484" s="23"/>
      <c r="E2484" s="23"/>
      <c r="F2484" s="23"/>
      <c r="G2484" s="23"/>
      <c r="H2484" s="29">
        <v>634000</v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26.25">
      <c r="A2485" s="23" t="s">
        <v>17</v>
      </c>
      <c r="B2485" s="23"/>
      <c r="C2485" s="23"/>
      <c r="D2485" s="23"/>
      <c r="E2485" s="23"/>
      <c r="F2485" s="23"/>
      <c r="G2485" s="23"/>
      <c r="H2485" s="29">
        <v>649000</v>
      </c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6.25">
      <c r="A2486" s="23"/>
      <c r="B2486" s="23"/>
      <c r="C2486" s="23"/>
      <c r="D2486" s="23"/>
      <c r="E2486" s="23"/>
      <c r="F2486" s="23"/>
      <c r="G2486" s="23"/>
      <c r="H2486" s="23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6.25">
      <c r="A2487" s="23"/>
      <c r="B2487" s="23"/>
      <c r="C2487" s="23"/>
      <c r="D2487" s="23"/>
      <c r="E2487" s="23"/>
      <c r="F2487" s="23"/>
      <c r="G2487" s="23"/>
      <c r="H2487" s="23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6.25">
      <c r="A2488" s="23"/>
      <c r="B2488" s="23"/>
      <c r="C2488" s="23"/>
      <c r="D2488" s="23"/>
      <c r="E2488" s="23"/>
      <c r="F2488" s="23"/>
      <c r="G2488" s="23"/>
      <c r="H2488" s="23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6.25">
      <c r="A2489" s="23"/>
      <c r="B2489" s="23"/>
      <c r="C2489" s="23"/>
      <c r="D2489" s="23"/>
      <c r="E2489" s="23"/>
      <c r="F2489" s="23"/>
      <c r="G2489" s="23"/>
      <c r="H2489" s="23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6.25">
      <c r="A2490" s="23"/>
      <c r="B2490" s="23"/>
      <c r="C2490" s="23"/>
      <c r="D2490" s="23"/>
      <c r="E2490" s="23"/>
      <c r="F2490" s="23"/>
      <c r="G2490" s="23"/>
      <c r="H2490" s="23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6.25">
      <c r="A2491" s="23"/>
      <c r="B2491" s="23"/>
      <c r="C2491" s="23"/>
      <c r="D2491" s="23"/>
      <c r="E2491" s="23"/>
      <c r="F2491" s="23"/>
      <c r="G2491" s="23"/>
      <c r="H2491" s="23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6.25">
      <c r="A2492" s="23"/>
      <c r="B2492" s="23"/>
      <c r="C2492" s="23"/>
      <c r="D2492" s="23"/>
      <c r="E2492" s="23"/>
      <c r="F2492" s="23"/>
      <c r="G2492" s="23"/>
      <c r="H2492" s="23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6.25">
      <c r="A2493" s="23" t="s">
        <v>0</v>
      </c>
      <c r="B2493" s="23"/>
      <c r="C2493" s="23"/>
      <c r="D2493" s="23"/>
      <c r="E2493" s="23"/>
      <c r="F2493" s="23"/>
      <c r="G2493" s="23"/>
      <c r="H2493" s="23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6.25">
      <c r="A2494" s="23" t="s">
        <v>612</v>
      </c>
      <c r="B2494" s="23"/>
      <c r="C2494" s="23"/>
      <c r="D2494" s="23"/>
      <c r="E2494" s="23"/>
      <c r="F2494" s="23"/>
      <c r="G2494" s="23"/>
      <c r="H2494" s="23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6.25">
      <c r="A2495" s="23" t="s">
        <v>2</v>
      </c>
      <c r="B2495" s="23" t="s">
        <v>3</v>
      </c>
      <c r="C2495" s="23" t="s">
        <v>4</v>
      </c>
      <c r="D2495" s="23" t="s">
        <v>5</v>
      </c>
      <c r="E2495" s="23" t="s">
        <v>6</v>
      </c>
      <c r="F2495" s="23" t="s">
        <v>7</v>
      </c>
      <c r="G2495" s="23" t="s">
        <v>8</v>
      </c>
      <c r="H2495" s="23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6.25">
      <c r="A2496" s="23">
        <v>1</v>
      </c>
      <c r="B2496" s="23" t="s">
        <v>159</v>
      </c>
      <c r="C2496" s="23" t="s">
        <v>591</v>
      </c>
      <c r="D2496" s="23" t="s">
        <v>127</v>
      </c>
      <c r="E2496" s="23">
        <v>2</v>
      </c>
      <c r="F2496" s="29">
        <v>293000</v>
      </c>
      <c r="G2496" s="29">
        <v>586000</v>
      </c>
      <c r="H2496" s="23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6.25">
      <c r="A2497" s="23">
        <v>2</v>
      </c>
      <c r="B2497" s="23" t="s">
        <v>613</v>
      </c>
      <c r="C2497" s="23" t="s">
        <v>614</v>
      </c>
      <c r="D2497" s="23" t="s">
        <v>12</v>
      </c>
      <c r="E2497" s="23">
        <v>1.5</v>
      </c>
      <c r="F2497" s="29">
        <v>435000</v>
      </c>
      <c r="G2497" s="29">
        <v>652500</v>
      </c>
      <c r="H2497" s="23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6.25">
      <c r="A2498" s="23">
        <v>3</v>
      </c>
      <c r="B2498" s="23" t="s">
        <v>14</v>
      </c>
      <c r="C2498" s="23"/>
      <c r="D2498" s="23"/>
      <c r="E2498" s="23"/>
      <c r="F2498" s="23"/>
      <c r="G2498" s="23">
        <v>0</v>
      </c>
      <c r="H2498" s="23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6.25">
      <c r="A2499" s="23" t="s">
        <v>15</v>
      </c>
      <c r="B2499" s="23"/>
      <c r="C2499" s="23"/>
      <c r="D2499" s="23"/>
      <c r="E2499" s="23"/>
      <c r="F2499" s="23"/>
      <c r="G2499" s="23"/>
      <c r="H2499" s="29">
        <v>1238500</v>
      </c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6.25">
      <c r="A2500" s="23" t="s">
        <v>16</v>
      </c>
      <c r="B2500" s="23"/>
      <c r="C2500" s="23"/>
      <c r="D2500" s="23"/>
      <c r="E2500" s="23"/>
      <c r="F2500" s="23"/>
      <c r="G2500" s="23"/>
      <c r="H2500" s="29">
        <v>590500</v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26.25">
      <c r="A2501" s="23" t="s">
        <v>17</v>
      </c>
      <c r="B2501" s="23"/>
      <c r="C2501" s="23"/>
      <c r="D2501" s="23"/>
      <c r="E2501" s="23"/>
      <c r="F2501" s="23"/>
      <c r="G2501" s="23"/>
      <c r="H2501" s="29">
        <v>649000</v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6.25">
      <c r="A2502" s="23"/>
      <c r="B2502" s="23"/>
      <c r="C2502" s="23"/>
      <c r="D2502" s="23"/>
      <c r="E2502" s="23"/>
      <c r="F2502" s="23"/>
      <c r="G2502" s="23"/>
      <c r="H2502" s="23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6.25">
      <c r="A2503" s="23"/>
      <c r="B2503" s="23"/>
      <c r="C2503" s="23"/>
      <c r="D2503" s="23"/>
      <c r="E2503" s="23"/>
      <c r="F2503" s="23"/>
      <c r="G2503" s="23"/>
      <c r="H2503" s="23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26.25">
      <c r="A2504" s="23"/>
      <c r="B2504" s="23"/>
      <c r="C2504" s="23"/>
      <c r="D2504" s="23"/>
      <c r="E2504" s="23"/>
      <c r="F2504" s="23"/>
      <c r="G2504" s="23"/>
      <c r="H2504" s="23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26.25">
      <c r="A2505" s="23"/>
      <c r="B2505" s="23"/>
      <c r="C2505" s="23"/>
      <c r="D2505" s="23"/>
      <c r="E2505" s="23"/>
      <c r="F2505" s="23"/>
      <c r="G2505" s="23"/>
      <c r="H2505" s="23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26.25">
      <c r="A2506" s="23"/>
      <c r="B2506" s="23"/>
      <c r="C2506" s="23"/>
      <c r="D2506" s="23"/>
      <c r="E2506" s="23"/>
      <c r="F2506" s="23"/>
      <c r="G2506" s="23"/>
      <c r="H2506" s="23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6.25">
      <c r="A2507" s="23"/>
      <c r="B2507" s="23"/>
      <c r="C2507" s="23"/>
      <c r="D2507" s="23"/>
      <c r="E2507" s="23"/>
      <c r="F2507" s="23"/>
      <c r="G2507" s="23"/>
      <c r="H2507" s="23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6.25">
      <c r="A2508" s="23" t="s">
        <v>0</v>
      </c>
      <c r="B2508" s="23"/>
      <c r="C2508" s="23"/>
      <c r="D2508" s="23"/>
      <c r="E2508" s="23"/>
      <c r="F2508" s="23"/>
      <c r="G2508" s="23"/>
      <c r="H2508" s="23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26.25">
      <c r="A2509" s="23" t="s">
        <v>615</v>
      </c>
      <c r="B2509" s="23"/>
      <c r="C2509" s="23"/>
      <c r="D2509" s="23"/>
      <c r="E2509" s="23"/>
      <c r="F2509" s="23"/>
      <c r="G2509" s="23"/>
      <c r="H2509" s="23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6.25">
      <c r="A2510" s="23" t="s">
        <v>2</v>
      </c>
      <c r="B2510" s="23" t="s">
        <v>3</v>
      </c>
      <c r="C2510" s="23" t="s">
        <v>4</v>
      </c>
      <c r="D2510" s="23" t="s">
        <v>5</v>
      </c>
      <c r="E2510" s="23" t="s">
        <v>6</v>
      </c>
      <c r="F2510" s="23" t="s">
        <v>7</v>
      </c>
      <c r="G2510" s="23" t="s">
        <v>8</v>
      </c>
      <c r="H2510" s="23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26.25">
      <c r="A2511" s="23">
        <v>1</v>
      </c>
      <c r="B2511" s="23" t="s">
        <v>159</v>
      </c>
      <c r="C2511" s="23" t="s">
        <v>591</v>
      </c>
      <c r="D2511" s="23" t="s">
        <v>127</v>
      </c>
      <c r="E2511" s="23">
        <v>2</v>
      </c>
      <c r="F2511" s="29">
        <v>293000</v>
      </c>
      <c r="G2511" s="29">
        <v>586000</v>
      </c>
      <c r="H2511" s="23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6.25">
      <c r="A2512" s="23">
        <v>2</v>
      </c>
      <c r="B2512" s="23" t="s">
        <v>188</v>
      </c>
      <c r="C2512" s="23" t="s">
        <v>616</v>
      </c>
      <c r="D2512" s="23" t="s">
        <v>12</v>
      </c>
      <c r="E2512" s="23">
        <v>1.5</v>
      </c>
      <c r="F2512" s="29">
        <v>435000</v>
      </c>
      <c r="G2512" s="29">
        <v>652500</v>
      </c>
      <c r="H2512" s="23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6.25">
      <c r="A2513" s="23">
        <v>3</v>
      </c>
      <c r="B2513" s="23" t="s">
        <v>14</v>
      </c>
      <c r="C2513" s="23"/>
      <c r="D2513" s="23"/>
      <c r="E2513" s="23"/>
      <c r="F2513" s="23"/>
      <c r="G2513" s="23">
        <v>0</v>
      </c>
      <c r="H2513" s="23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26.25">
      <c r="A2514" s="23" t="s">
        <v>15</v>
      </c>
      <c r="B2514" s="23"/>
      <c r="C2514" s="23"/>
      <c r="D2514" s="23"/>
      <c r="E2514" s="23"/>
      <c r="F2514" s="23"/>
      <c r="G2514" s="23"/>
      <c r="H2514" s="29">
        <v>1238500</v>
      </c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26.25">
      <c r="A2515" s="23" t="s">
        <v>16</v>
      </c>
      <c r="B2515" s="23"/>
      <c r="C2515" s="23"/>
      <c r="D2515" s="23"/>
      <c r="E2515" s="23"/>
      <c r="F2515" s="23"/>
      <c r="G2515" s="23"/>
      <c r="H2515" s="29">
        <v>590500</v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26.25">
      <c r="A2516" s="23" t="s">
        <v>17</v>
      </c>
      <c r="B2516" s="23"/>
      <c r="C2516" s="23"/>
      <c r="D2516" s="23"/>
      <c r="E2516" s="23"/>
      <c r="F2516" s="23"/>
      <c r="G2516" s="23"/>
      <c r="H2516" s="29">
        <v>649000</v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26.25">
      <c r="A2517" s="23"/>
      <c r="B2517" s="23"/>
      <c r="C2517" s="23"/>
      <c r="D2517" s="23"/>
      <c r="E2517" s="23"/>
      <c r="F2517" s="23"/>
      <c r="G2517" s="23"/>
      <c r="H2517" s="23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26.25">
      <c r="A2518" s="23"/>
      <c r="B2518" s="23"/>
      <c r="C2518" s="23"/>
      <c r="D2518" s="23"/>
      <c r="E2518" s="23"/>
      <c r="F2518" s="23"/>
      <c r="G2518" s="23"/>
      <c r="H2518" s="23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26.25">
      <c r="A2519" s="23"/>
      <c r="B2519" s="23"/>
      <c r="C2519" s="23"/>
      <c r="D2519" s="23"/>
      <c r="E2519" s="23"/>
      <c r="F2519" s="23"/>
      <c r="G2519" s="23"/>
      <c r="H2519" s="23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26.25">
      <c r="A2520" s="23"/>
      <c r="B2520" s="23"/>
      <c r="C2520" s="23"/>
      <c r="D2520" s="23"/>
      <c r="E2520" s="23"/>
      <c r="F2520" s="23"/>
      <c r="G2520" s="23"/>
      <c r="H2520" s="23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6.25">
      <c r="A2521" s="23"/>
      <c r="B2521" s="23"/>
      <c r="C2521" s="23"/>
      <c r="D2521" s="23"/>
      <c r="E2521" s="23"/>
      <c r="F2521" s="23"/>
      <c r="G2521" s="23"/>
      <c r="H2521" s="23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6.25">
      <c r="A2522" s="23"/>
      <c r="B2522" s="23"/>
      <c r="C2522" s="23"/>
      <c r="D2522" s="23"/>
      <c r="E2522" s="23"/>
      <c r="F2522" s="23"/>
      <c r="G2522" s="23"/>
      <c r="H2522" s="23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6.25">
      <c r="A2523" s="23"/>
      <c r="B2523" s="23"/>
      <c r="C2523" s="23"/>
      <c r="D2523" s="23"/>
      <c r="E2523" s="23"/>
      <c r="F2523" s="23"/>
      <c r="G2523" s="23"/>
      <c r="H2523" s="23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6.25">
      <c r="A2524" s="23" t="s">
        <v>0</v>
      </c>
      <c r="B2524" s="23"/>
      <c r="C2524" s="23"/>
      <c r="D2524" s="23"/>
      <c r="E2524" s="23"/>
      <c r="F2524" s="23"/>
      <c r="G2524" s="23"/>
      <c r="H2524" s="23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26.25">
      <c r="A2525" s="23" t="s">
        <v>617</v>
      </c>
      <c r="B2525" s="23"/>
      <c r="C2525" s="23"/>
      <c r="D2525" s="23"/>
      <c r="E2525" s="23"/>
      <c r="F2525" s="23"/>
      <c r="G2525" s="23"/>
      <c r="H2525" s="23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6.25">
      <c r="A2526" s="23" t="s">
        <v>2</v>
      </c>
      <c r="B2526" s="23" t="s">
        <v>3</v>
      </c>
      <c r="C2526" s="23" t="s">
        <v>4</v>
      </c>
      <c r="D2526" s="23" t="s">
        <v>5</v>
      </c>
      <c r="E2526" s="23" t="s">
        <v>6</v>
      </c>
      <c r="F2526" s="23" t="s">
        <v>7</v>
      </c>
      <c r="G2526" s="23" t="s">
        <v>8</v>
      </c>
      <c r="H2526" s="23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6.25">
      <c r="A2527" s="23">
        <v>1</v>
      </c>
      <c r="B2527" s="23" t="s">
        <v>603</v>
      </c>
      <c r="C2527" s="23" t="s">
        <v>609</v>
      </c>
      <c r="D2527" s="23" t="s">
        <v>127</v>
      </c>
      <c r="E2527" s="23">
        <v>2</v>
      </c>
      <c r="F2527" s="29">
        <v>293000</v>
      </c>
      <c r="G2527" s="29">
        <v>586000</v>
      </c>
      <c r="H2527" s="23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6.25">
      <c r="A2528" s="23">
        <v>2</v>
      </c>
      <c r="B2528" s="23" t="s">
        <v>53</v>
      </c>
      <c r="C2528" s="23" t="s">
        <v>618</v>
      </c>
      <c r="D2528" s="23" t="s">
        <v>12</v>
      </c>
      <c r="E2528" s="23">
        <v>1.44</v>
      </c>
      <c r="F2528" s="29">
        <v>435000</v>
      </c>
      <c r="G2528" s="29">
        <v>626400</v>
      </c>
      <c r="H2528" s="23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6.25">
      <c r="A2529" s="23">
        <v>3</v>
      </c>
      <c r="B2529" s="23" t="s">
        <v>14</v>
      </c>
      <c r="C2529" s="23"/>
      <c r="D2529" s="23"/>
      <c r="E2529" s="23"/>
      <c r="F2529" s="23"/>
      <c r="G2529" s="23">
        <v>0</v>
      </c>
      <c r="H2529" s="23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6.25">
      <c r="A2530" s="23" t="s">
        <v>15</v>
      </c>
      <c r="B2530" s="23"/>
      <c r="C2530" s="23"/>
      <c r="D2530" s="23"/>
      <c r="E2530" s="23"/>
      <c r="F2530" s="23"/>
      <c r="G2530" s="23"/>
      <c r="H2530" s="29">
        <v>1212400</v>
      </c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6.25">
      <c r="A2531" s="23" t="s">
        <v>16</v>
      </c>
      <c r="B2531" s="23"/>
      <c r="C2531" s="23"/>
      <c r="D2531" s="23"/>
      <c r="E2531" s="23"/>
      <c r="F2531" s="23"/>
      <c r="G2531" s="23"/>
      <c r="H2531" s="29">
        <v>564400</v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6.25">
      <c r="A2532" s="23" t="s">
        <v>17</v>
      </c>
      <c r="B2532" s="23"/>
      <c r="C2532" s="23"/>
      <c r="D2532" s="23"/>
      <c r="E2532" s="23"/>
      <c r="F2532" s="23"/>
      <c r="G2532" s="23"/>
      <c r="H2532" s="29">
        <v>649000</v>
      </c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6.25">
      <c r="A2533" s="23"/>
      <c r="B2533" s="23"/>
      <c r="C2533" s="23"/>
      <c r="D2533" s="23"/>
      <c r="E2533" s="23"/>
      <c r="F2533" s="23"/>
      <c r="G2533" s="23"/>
      <c r="H2533" s="23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6.25">
      <c r="A2534" s="23"/>
      <c r="B2534" s="23"/>
      <c r="C2534" s="23"/>
      <c r="D2534" s="23"/>
      <c r="E2534" s="23"/>
      <c r="F2534" s="23"/>
      <c r="G2534" s="23"/>
      <c r="H2534" s="23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6.25">
      <c r="A2535" s="23"/>
      <c r="B2535" s="23"/>
      <c r="C2535" s="23"/>
      <c r="D2535" s="23"/>
      <c r="E2535" s="23"/>
      <c r="F2535" s="23"/>
      <c r="G2535" s="23"/>
      <c r="H2535" s="23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6.25">
      <c r="A2536" s="23"/>
      <c r="B2536" s="23"/>
      <c r="C2536" s="23"/>
      <c r="D2536" s="23"/>
      <c r="E2536" s="23"/>
      <c r="F2536" s="23"/>
      <c r="G2536" s="23"/>
      <c r="H2536" s="23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26.25">
      <c r="A2537" s="23"/>
      <c r="B2537" s="23"/>
      <c r="C2537" s="23"/>
      <c r="D2537" s="23"/>
      <c r="E2537" s="23"/>
      <c r="F2537" s="23"/>
      <c r="G2537" s="23"/>
      <c r="H2537" s="23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6.25">
      <c r="A2538" s="23"/>
      <c r="B2538" s="23"/>
      <c r="C2538" s="23"/>
      <c r="D2538" s="23"/>
      <c r="E2538" s="23"/>
      <c r="F2538" s="23"/>
      <c r="G2538" s="23"/>
      <c r="H2538" s="23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26.25">
      <c r="A2539" s="23" t="s">
        <v>0</v>
      </c>
      <c r="B2539" s="23"/>
      <c r="C2539" s="23"/>
      <c r="D2539" s="23"/>
      <c r="E2539" s="23"/>
      <c r="F2539" s="23"/>
      <c r="G2539" s="23"/>
      <c r="H2539" s="23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26.25">
      <c r="A2540" s="23" t="s">
        <v>619</v>
      </c>
      <c r="B2540" s="23"/>
      <c r="C2540" s="23"/>
      <c r="D2540" s="23"/>
      <c r="E2540" s="23"/>
      <c r="F2540" s="23"/>
      <c r="G2540" s="23"/>
      <c r="H2540" s="23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26.25">
      <c r="A2541" s="23" t="s">
        <v>2</v>
      </c>
      <c r="B2541" s="23" t="s">
        <v>3</v>
      </c>
      <c r="C2541" s="23" t="s">
        <v>4</v>
      </c>
      <c r="D2541" s="23" t="s">
        <v>5</v>
      </c>
      <c r="E2541" s="23" t="s">
        <v>6</v>
      </c>
      <c r="F2541" s="23" t="s">
        <v>7</v>
      </c>
      <c r="G2541" s="23" t="s">
        <v>8</v>
      </c>
      <c r="H2541" s="23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26.25">
      <c r="A2542" s="23">
        <v>1</v>
      </c>
      <c r="B2542" s="23" t="s">
        <v>170</v>
      </c>
      <c r="C2542" s="23" t="s">
        <v>620</v>
      </c>
      <c r="D2542" s="23" t="s">
        <v>127</v>
      </c>
      <c r="E2542" s="23">
        <v>2</v>
      </c>
      <c r="F2542" s="29">
        <v>293000</v>
      </c>
      <c r="G2542" s="29">
        <v>586000</v>
      </c>
      <c r="H2542" s="23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6.25">
      <c r="A2543" s="23">
        <v>2</v>
      </c>
      <c r="B2543" s="23" t="s">
        <v>548</v>
      </c>
      <c r="C2543" s="23" t="s">
        <v>621</v>
      </c>
      <c r="D2543" s="23" t="s">
        <v>12</v>
      </c>
      <c r="E2543" s="23">
        <v>1.42</v>
      </c>
      <c r="F2543" s="29">
        <v>435000</v>
      </c>
      <c r="G2543" s="29">
        <v>617700</v>
      </c>
      <c r="H2543" s="23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6.25">
      <c r="A2544" s="23">
        <v>3</v>
      </c>
      <c r="B2544" s="23" t="s">
        <v>14</v>
      </c>
      <c r="C2544" s="23"/>
      <c r="D2544" s="23"/>
      <c r="E2544" s="23"/>
      <c r="F2544" s="23"/>
      <c r="G2544" s="23">
        <v>0</v>
      </c>
      <c r="H2544" s="23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26.25">
      <c r="A2545" s="23" t="s">
        <v>15</v>
      </c>
      <c r="B2545" s="23"/>
      <c r="C2545" s="23"/>
      <c r="D2545" s="23"/>
      <c r="E2545" s="23"/>
      <c r="F2545" s="23"/>
      <c r="G2545" s="23"/>
      <c r="H2545" s="29">
        <v>1203700</v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6.25">
      <c r="A2546" s="23" t="s">
        <v>16</v>
      </c>
      <c r="B2546" s="23"/>
      <c r="C2546" s="23"/>
      <c r="D2546" s="23"/>
      <c r="E2546" s="23"/>
      <c r="F2546" s="23"/>
      <c r="G2546" s="23"/>
      <c r="H2546" s="29">
        <v>555700</v>
      </c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6.25">
      <c r="A2547" s="23" t="s">
        <v>17</v>
      </c>
      <c r="B2547" s="23"/>
      <c r="C2547" s="23"/>
      <c r="D2547" s="23"/>
      <c r="E2547" s="23"/>
      <c r="F2547" s="23"/>
      <c r="G2547" s="23"/>
      <c r="H2547" s="29">
        <v>649000</v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6.25">
      <c r="A2548" s="23"/>
      <c r="B2548" s="23"/>
      <c r="C2548" s="23"/>
      <c r="D2548" s="23"/>
      <c r="E2548" s="23"/>
      <c r="F2548" s="23"/>
      <c r="G2548" s="23"/>
      <c r="H2548" s="23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26.25">
      <c r="A2549" s="23"/>
      <c r="B2549" s="23"/>
      <c r="C2549" s="23"/>
      <c r="D2549" s="23"/>
      <c r="E2549" s="23"/>
      <c r="F2549" s="23"/>
      <c r="G2549" s="23"/>
      <c r="H2549" s="23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6.25">
      <c r="A2550" s="23"/>
      <c r="B2550" s="23"/>
      <c r="C2550" s="23"/>
      <c r="D2550" s="23"/>
      <c r="E2550" s="23"/>
      <c r="F2550" s="23"/>
      <c r="G2550" s="23"/>
      <c r="H2550" s="23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6.25">
      <c r="A2551" s="23"/>
      <c r="B2551" s="23"/>
      <c r="C2551" s="23"/>
      <c r="D2551" s="23"/>
      <c r="E2551" s="23"/>
      <c r="F2551" s="23"/>
      <c r="G2551" s="23"/>
      <c r="H2551" s="23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6.25">
      <c r="A2552" s="23"/>
      <c r="B2552" s="23"/>
      <c r="C2552" s="23"/>
      <c r="D2552" s="23"/>
      <c r="E2552" s="23"/>
      <c r="F2552" s="23"/>
      <c r="G2552" s="23"/>
      <c r="H2552" s="23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6.25">
      <c r="A2553" s="23"/>
      <c r="B2553" s="23"/>
      <c r="C2553" s="23"/>
      <c r="D2553" s="23"/>
      <c r="E2553" s="23"/>
      <c r="F2553" s="23"/>
      <c r="G2553" s="23"/>
      <c r="H2553" s="23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26.25">
      <c r="A2554" s="23"/>
      <c r="B2554" s="23"/>
      <c r="C2554" s="23"/>
      <c r="D2554" s="23"/>
      <c r="E2554" s="23"/>
      <c r="F2554" s="23"/>
      <c r="G2554" s="23"/>
      <c r="H2554" s="23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6.25">
      <c r="A2555" s="23"/>
      <c r="B2555" s="23"/>
      <c r="C2555" s="23"/>
      <c r="D2555" s="23"/>
      <c r="E2555" s="23"/>
      <c r="F2555" s="23"/>
      <c r="G2555" s="23"/>
      <c r="H2555" s="23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6.25">
      <c r="A2556" s="23" t="s">
        <v>0</v>
      </c>
      <c r="B2556" s="23"/>
      <c r="C2556" s="23"/>
      <c r="D2556" s="23"/>
      <c r="E2556" s="23"/>
      <c r="F2556" s="23"/>
      <c r="G2556" s="23"/>
      <c r="H2556" s="23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26.25">
      <c r="A2557" s="23" t="s">
        <v>622</v>
      </c>
      <c r="B2557" s="23"/>
      <c r="C2557" s="23"/>
      <c r="D2557" s="23"/>
      <c r="E2557" s="23"/>
      <c r="F2557" s="23"/>
      <c r="G2557" s="23"/>
      <c r="H2557" s="23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6.25">
      <c r="A2558" s="23" t="s">
        <v>2</v>
      </c>
      <c r="B2558" s="23" t="s">
        <v>3</v>
      </c>
      <c r="C2558" s="23" t="s">
        <v>4</v>
      </c>
      <c r="D2558" s="23" t="s">
        <v>5</v>
      </c>
      <c r="E2558" s="23" t="s">
        <v>6</v>
      </c>
      <c r="F2558" s="23" t="s">
        <v>7</v>
      </c>
      <c r="G2558" s="23" t="s">
        <v>8</v>
      </c>
      <c r="H2558" s="23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6.25">
      <c r="A2559" s="23">
        <v>1</v>
      </c>
      <c r="B2559" s="23" t="s">
        <v>80</v>
      </c>
      <c r="C2559" s="23" t="s">
        <v>447</v>
      </c>
      <c r="D2559" s="23" t="s">
        <v>127</v>
      </c>
      <c r="E2559" s="23">
        <v>2</v>
      </c>
      <c r="F2559" s="29">
        <v>293000</v>
      </c>
      <c r="G2559" s="29">
        <v>586000</v>
      </c>
      <c r="H2559" s="23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26.25">
      <c r="A2560" s="23">
        <v>2</v>
      </c>
      <c r="B2560" s="23" t="s">
        <v>53</v>
      </c>
      <c r="C2560" s="23" t="s">
        <v>623</v>
      </c>
      <c r="D2560" s="23" t="s">
        <v>12</v>
      </c>
      <c r="E2560" s="23">
        <v>1.2</v>
      </c>
      <c r="F2560" s="29">
        <v>435000</v>
      </c>
      <c r="G2560" s="29">
        <v>522000</v>
      </c>
      <c r="H2560" s="23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26.25">
      <c r="A2561" s="23">
        <v>3</v>
      </c>
      <c r="B2561" s="23" t="s">
        <v>14</v>
      </c>
      <c r="C2561" s="23"/>
      <c r="D2561" s="23"/>
      <c r="E2561" s="23"/>
      <c r="F2561" s="23"/>
      <c r="G2561" s="23">
        <v>0</v>
      </c>
      <c r="H2561" s="23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26.25">
      <c r="A2562" s="23" t="s">
        <v>15</v>
      </c>
      <c r="B2562" s="23"/>
      <c r="C2562" s="23"/>
      <c r="D2562" s="23"/>
      <c r="E2562" s="23"/>
      <c r="F2562" s="23"/>
      <c r="G2562" s="23"/>
      <c r="H2562" s="29">
        <v>1108000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6.25">
      <c r="A2563" s="23" t="s">
        <v>16</v>
      </c>
      <c r="B2563" s="23"/>
      <c r="C2563" s="23"/>
      <c r="D2563" s="23"/>
      <c r="E2563" s="23"/>
      <c r="F2563" s="23"/>
      <c r="G2563" s="23"/>
      <c r="H2563" s="29">
        <v>460000</v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6.25">
      <c r="A2564" s="23" t="s">
        <v>17</v>
      </c>
      <c r="B2564" s="23"/>
      <c r="C2564" s="23"/>
      <c r="D2564" s="23"/>
      <c r="E2564" s="23"/>
      <c r="F2564" s="23"/>
      <c r="G2564" s="23"/>
      <c r="H2564" s="29">
        <v>649000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6.25">
      <c r="A2565" s="23"/>
      <c r="B2565" s="23"/>
      <c r="C2565" s="23"/>
      <c r="D2565" s="23"/>
      <c r="E2565" s="23"/>
      <c r="F2565" s="23"/>
      <c r="G2565" s="23"/>
      <c r="H2565" s="23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6.25">
      <c r="A2566" s="23"/>
      <c r="B2566" s="23"/>
      <c r="C2566" s="23"/>
      <c r="D2566" s="23"/>
      <c r="E2566" s="23"/>
      <c r="F2566" s="23"/>
      <c r="G2566" s="23"/>
      <c r="H2566" s="23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6.25">
      <c r="A2567" s="23"/>
      <c r="B2567" s="23"/>
      <c r="C2567" s="23"/>
      <c r="D2567" s="23"/>
      <c r="E2567" s="23"/>
      <c r="F2567" s="23"/>
      <c r="G2567" s="23"/>
      <c r="H2567" s="23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6.25">
      <c r="A2568" s="23"/>
      <c r="B2568" s="23"/>
      <c r="C2568" s="23"/>
      <c r="D2568" s="23"/>
      <c r="E2568" s="23"/>
      <c r="F2568" s="23"/>
      <c r="G2568" s="23"/>
      <c r="H2568" s="23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6.25">
      <c r="A2569" s="23"/>
      <c r="B2569" s="23"/>
      <c r="C2569" s="23"/>
      <c r="D2569" s="23"/>
      <c r="E2569" s="23"/>
      <c r="F2569" s="23"/>
      <c r="G2569" s="23"/>
      <c r="H2569" s="23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6.25">
      <c r="A2570" s="23"/>
      <c r="B2570" s="23"/>
      <c r="C2570" s="23"/>
      <c r="D2570" s="23"/>
      <c r="E2570" s="23"/>
      <c r="F2570" s="23"/>
      <c r="G2570" s="23"/>
      <c r="H2570" s="23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6.25">
      <c r="A2571" s="23" t="s">
        <v>0</v>
      </c>
      <c r="B2571" s="23"/>
      <c r="C2571" s="23"/>
      <c r="D2571" s="23"/>
      <c r="E2571" s="23"/>
      <c r="F2571" s="23"/>
      <c r="G2571" s="23"/>
      <c r="H2571" s="23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6.25">
      <c r="A2572" s="23" t="s">
        <v>624</v>
      </c>
      <c r="B2572" s="23"/>
      <c r="C2572" s="23"/>
      <c r="D2572" s="23"/>
      <c r="E2572" s="23"/>
      <c r="F2572" s="23"/>
      <c r="G2572" s="23"/>
      <c r="H2572" s="23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6.25">
      <c r="A2573" s="23" t="s">
        <v>2</v>
      </c>
      <c r="B2573" s="23" t="s">
        <v>3</v>
      </c>
      <c r="C2573" s="23" t="s">
        <v>4</v>
      </c>
      <c r="D2573" s="23" t="s">
        <v>5</v>
      </c>
      <c r="E2573" s="23" t="s">
        <v>6</v>
      </c>
      <c r="F2573" s="23" t="s">
        <v>7</v>
      </c>
      <c r="G2573" s="23" t="s">
        <v>8</v>
      </c>
      <c r="H2573" s="23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26.25">
      <c r="A2574" s="23">
        <v>1</v>
      </c>
      <c r="B2574" s="23" t="s">
        <v>175</v>
      </c>
      <c r="C2574" s="23" t="s">
        <v>625</v>
      </c>
      <c r="D2574" s="23" t="s">
        <v>127</v>
      </c>
      <c r="E2574" s="23">
        <v>1.4</v>
      </c>
      <c r="F2574" s="29">
        <v>293000</v>
      </c>
      <c r="G2574" s="29">
        <v>410200</v>
      </c>
      <c r="H2574" s="23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26.25">
      <c r="A2575" s="23">
        <v>2</v>
      </c>
      <c r="B2575" s="23" t="s">
        <v>68</v>
      </c>
      <c r="C2575" s="23" t="s">
        <v>626</v>
      </c>
      <c r="D2575" s="23" t="s">
        <v>12</v>
      </c>
      <c r="E2575" s="23">
        <v>1.95</v>
      </c>
      <c r="F2575" s="29">
        <v>435000</v>
      </c>
      <c r="G2575" s="29">
        <v>848250</v>
      </c>
      <c r="H2575" s="23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26.25">
      <c r="A2576" s="23">
        <v>3</v>
      </c>
      <c r="B2576" s="23" t="s">
        <v>14</v>
      </c>
      <c r="C2576" s="23"/>
      <c r="D2576" s="23"/>
      <c r="E2576" s="23"/>
      <c r="F2576" s="23"/>
      <c r="G2576" s="23">
        <v>0</v>
      </c>
      <c r="H2576" s="23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26.25">
      <c r="A2577" s="23" t="s">
        <v>15</v>
      </c>
      <c r="B2577" s="23"/>
      <c r="C2577" s="23"/>
      <c r="D2577" s="23"/>
      <c r="E2577" s="23"/>
      <c r="F2577" s="23"/>
      <c r="G2577" s="23"/>
      <c r="H2577" s="29">
        <v>1258450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6.25">
      <c r="A2578" s="23" t="s">
        <v>16</v>
      </c>
      <c r="B2578" s="23"/>
      <c r="C2578" s="23"/>
      <c r="D2578" s="23"/>
      <c r="E2578" s="23"/>
      <c r="F2578" s="23"/>
      <c r="G2578" s="23"/>
      <c r="H2578" s="29">
        <v>610450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6.25">
      <c r="A2579" s="23" t="s">
        <v>17</v>
      </c>
      <c r="B2579" s="23"/>
      <c r="C2579" s="23"/>
      <c r="D2579" s="23"/>
      <c r="E2579" s="23"/>
      <c r="F2579" s="23"/>
      <c r="G2579" s="23"/>
      <c r="H2579" s="29">
        <v>649000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26.25">
      <c r="A2580" s="23"/>
      <c r="B2580" s="23"/>
      <c r="C2580" s="23"/>
      <c r="D2580" s="23"/>
      <c r="E2580" s="23"/>
      <c r="F2580" s="23"/>
      <c r="G2580" s="23"/>
      <c r="H2580" s="2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6.25">
      <c r="A2581" s="23"/>
      <c r="B2581" s="23"/>
      <c r="C2581" s="23"/>
      <c r="D2581" s="23"/>
      <c r="E2581" s="23"/>
      <c r="F2581" s="23"/>
      <c r="G2581" s="23"/>
      <c r="H2581" s="23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6.25">
      <c r="A2582" s="23"/>
      <c r="B2582" s="23"/>
      <c r="C2582" s="23"/>
      <c r="D2582" s="23"/>
      <c r="E2582" s="23"/>
      <c r="F2582" s="23"/>
      <c r="G2582" s="23"/>
      <c r="H2582" s="23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6.25">
      <c r="A2583" s="23"/>
      <c r="B2583" s="23"/>
      <c r="C2583" s="23"/>
      <c r="D2583" s="23"/>
      <c r="E2583" s="23"/>
      <c r="F2583" s="23"/>
      <c r="G2583" s="23"/>
      <c r="H2583" s="23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26.25">
      <c r="A2584" s="23"/>
      <c r="B2584" s="23"/>
      <c r="C2584" s="23"/>
      <c r="D2584" s="23"/>
      <c r="E2584" s="23"/>
      <c r="F2584" s="23"/>
      <c r="G2584" s="23"/>
      <c r="H2584" s="23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26.25">
      <c r="A2585" s="23"/>
      <c r="B2585" s="23"/>
      <c r="C2585" s="23"/>
      <c r="D2585" s="23"/>
      <c r="E2585" s="23"/>
      <c r="F2585" s="23"/>
      <c r="G2585" s="23"/>
      <c r="H2585" s="23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26.25">
      <c r="A2586" s="23" t="s">
        <v>0</v>
      </c>
      <c r="B2586" s="23"/>
      <c r="C2586" s="23"/>
      <c r="D2586" s="23"/>
      <c r="E2586" s="23"/>
      <c r="F2586" s="23"/>
      <c r="G2586" s="23"/>
      <c r="H2586" s="23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26.25">
      <c r="A2587" s="23" t="s">
        <v>627</v>
      </c>
      <c r="B2587" s="23"/>
      <c r="C2587" s="23"/>
      <c r="D2587" s="23"/>
      <c r="E2587" s="23"/>
      <c r="F2587" s="23"/>
      <c r="G2587" s="23"/>
      <c r="H2587" s="23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26.25">
      <c r="A2588" s="23" t="s">
        <v>2</v>
      </c>
      <c r="B2588" s="23" t="s">
        <v>3</v>
      </c>
      <c r="C2588" s="23" t="s">
        <v>4</v>
      </c>
      <c r="D2588" s="23" t="s">
        <v>5</v>
      </c>
      <c r="E2588" s="23" t="s">
        <v>6</v>
      </c>
      <c r="F2588" s="23" t="s">
        <v>7</v>
      </c>
      <c r="G2588" s="23" t="s">
        <v>8</v>
      </c>
      <c r="H2588" s="23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26.25">
      <c r="A2589" s="23">
        <v>1</v>
      </c>
      <c r="B2589" s="23" t="s">
        <v>628</v>
      </c>
      <c r="C2589" s="23" t="s">
        <v>620</v>
      </c>
      <c r="D2589" s="23" t="s">
        <v>127</v>
      </c>
      <c r="E2589" s="23">
        <v>2</v>
      </c>
      <c r="F2589" s="29">
        <v>293000</v>
      </c>
      <c r="G2589" s="29">
        <v>586000</v>
      </c>
      <c r="H2589" s="23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26.25">
      <c r="A2590" s="23">
        <v>2</v>
      </c>
      <c r="B2590" s="23" t="s">
        <v>53</v>
      </c>
      <c r="C2590" s="23" t="s">
        <v>629</v>
      </c>
      <c r="D2590" s="23" t="s">
        <v>12</v>
      </c>
      <c r="E2590" s="23">
        <v>1.19</v>
      </c>
      <c r="F2590" s="29">
        <v>435000</v>
      </c>
      <c r="G2590" s="29">
        <v>517650</v>
      </c>
      <c r="H2590" s="2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26.25">
      <c r="A2591" s="23">
        <v>3</v>
      </c>
      <c r="B2591" s="23" t="s">
        <v>14</v>
      </c>
      <c r="C2591" s="23"/>
      <c r="D2591" s="23"/>
      <c r="E2591" s="23"/>
      <c r="F2591" s="23"/>
      <c r="G2591" s="23">
        <v>0</v>
      </c>
      <c r="H2591" s="23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26.25">
      <c r="A2592" s="23" t="s">
        <v>15</v>
      </c>
      <c r="B2592" s="23"/>
      <c r="C2592" s="23"/>
      <c r="D2592" s="23"/>
      <c r="E2592" s="23"/>
      <c r="F2592" s="23"/>
      <c r="G2592" s="23"/>
      <c r="H2592" s="29">
        <v>1103650</v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26.25">
      <c r="A2593" s="23" t="s">
        <v>16</v>
      </c>
      <c r="B2593" s="23"/>
      <c r="C2593" s="23"/>
      <c r="D2593" s="23"/>
      <c r="E2593" s="23"/>
      <c r="F2593" s="23"/>
      <c r="G2593" s="23"/>
      <c r="H2593" s="29">
        <v>455650</v>
      </c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26.25">
      <c r="A2594" s="23" t="s">
        <v>17</v>
      </c>
      <c r="B2594" s="23"/>
      <c r="C2594" s="23"/>
      <c r="D2594" s="23"/>
      <c r="E2594" s="23"/>
      <c r="F2594" s="23"/>
      <c r="G2594" s="23"/>
      <c r="H2594" s="29">
        <v>649000</v>
      </c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26.25">
      <c r="A2595" s="23"/>
      <c r="B2595" s="23"/>
      <c r="C2595" s="23"/>
      <c r="D2595" s="23"/>
      <c r="E2595" s="23"/>
      <c r="F2595" s="23"/>
      <c r="G2595" s="23"/>
      <c r="H2595" s="23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26.25">
      <c r="A2596" s="23"/>
      <c r="B2596" s="23"/>
      <c r="C2596" s="23"/>
      <c r="D2596" s="23"/>
      <c r="E2596" s="23"/>
      <c r="F2596" s="23"/>
      <c r="G2596" s="23"/>
      <c r="H2596" s="23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26.25">
      <c r="A2597" s="23"/>
      <c r="B2597" s="23"/>
      <c r="C2597" s="23"/>
      <c r="D2597" s="23"/>
      <c r="E2597" s="23"/>
      <c r="F2597" s="23"/>
      <c r="G2597" s="23"/>
      <c r="H2597" s="23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26.25">
      <c r="A2598" s="23"/>
      <c r="B2598" s="23"/>
      <c r="C2598" s="23"/>
      <c r="D2598" s="23"/>
      <c r="E2598" s="23"/>
      <c r="F2598" s="23"/>
      <c r="G2598" s="23"/>
      <c r="H2598" s="23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6.25">
      <c r="A2599" s="23"/>
      <c r="B2599" s="23"/>
      <c r="C2599" s="23"/>
      <c r="D2599" s="23"/>
      <c r="E2599" s="23"/>
      <c r="F2599" s="23"/>
      <c r="G2599" s="23"/>
      <c r="H2599" s="23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26.25">
      <c r="A2600" s="23"/>
      <c r="B2600" s="23"/>
      <c r="C2600" s="23"/>
      <c r="D2600" s="23"/>
      <c r="E2600" s="23"/>
      <c r="F2600" s="23"/>
      <c r="G2600" s="23"/>
      <c r="H2600" s="23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26.25">
      <c r="A2601" s="23"/>
      <c r="B2601" s="23"/>
      <c r="C2601" s="23"/>
      <c r="D2601" s="23"/>
      <c r="E2601" s="23"/>
      <c r="F2601" s="23"/>
      <c r="G2601" s="23"/>
      <c r="H2601" s="23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26.25">
      <c r="A2602" s="23" t="s">
        <v>0</v>
      </c>
      <c r="B2602" s="23"/>
      <c r="C2602" s="23"/>
      <c r="D2602" s="23"/>
      <c r="E2602" s="23"/>
      <c r="F2602" s="23"/>
      <c r="G2602" s="23"/>
      <c r="H2602" s="23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26.25">
      <c r="A2603" s="23" t="s">
        <v>630</v>
      </c>
      <c r="B2603" s="23"/>
      <c r="C2603" s="23"/>
      <c r="D2603" s="23"/>
      <c r="E2603" s="23"/>
      <c r="F2603" s="23"/>
      <c r="G2603" s="23"/>
      <c r="H2603" s="23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26.25">
      <c r="A2604" s="23" t="s">
        <v>2</v>
      </c>
      <c r="B2604" s="23" t="s">
        <v>3</v>
      </c>
      <c r="C2604" s="23" t="s">
        <v>4</v>
      </c>
      <c r="D2604" s="23" t="s">
        <v>5</v>
      </c>
      <c r="E2604" s="23" t="s">
        <v>6</v>
      </c>
      <c r="F2604" s="23" t="s">
        <v>7</v>
      </c>
      <c r="G2604" s="23" t="s">
        <v>8</v>
      </c>
      <c r="H2604" s="23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26.25">
      <c r="A2605" s="23">
        <v>1</v>
      </c>
      <c r="B2605" s="23" t="s">
        <v>329</v>
      </c>
      <c r="C2605" s="23" t="s">
        <v>631</v>
      </c>
      <c r="D2605" s="23" t="s">
        <v>127</v>
      </c>
      <c r="E2605" s="23">
        <v>1.43</v>
      </c>
      <c r="F2605" s="29">
        <v>293000</v>
      </c>
      <c r="G2605" s="29">
        <v>418990</v>
      </c>
      <c r="H2605" s="23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26.25">
      <c r="A2606" s="23">
        <v>2</v>
      </c>
      <c r="B2606" s="23" t="s">
        <v>200</v>
      </c>
      <c r="C2606" s="23" t="s">
        <v>632</v>
      </c>
      <c r="D2606" s="23" t="s">
        <v>12</v>
      </c>
      <c r="E2606" s="23">
        <v>2</v>
      </c>
      <c r="F2606" s="29">
        <v>435000</v>
      </c>
      <c r="G2606" s="29">
        <v>870000</v>
      </c>
      <c r="H2606" s="23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26.25">
      <c r="A2607" s="23">
        <v>3</v>
      </c>
      <c r="B2607" s="23" t="s">
        <v>14</v>
      </c>
      <c r="C2607" s="23"/>
      <c r="D2607" s="23"/>
      <c r="E2607" s="23"/>
      <c r="F2607" s="23"/>
      <c r="G2607" s="23">
        <v>0</v>
      </c>
      <c r="H2607" s="23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26.25">
      <c r="A2608" s="23" t="s">
        <v>15</v>
      </c>
      <c r="B2608" s="23"/>
      <c r="C2608" s="23"/>
      <c r="D2608" s="23"/>
      <c r="E2608" s="23"/>
      <c r="F2608" s="23"/>
      <c r="G2608" s="23"/>
      <c r="H2608" s="29">
        <v>1288990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26.25">
      <c r="A2609" s="23" t="s">
        <v>16</v>
      </c>
      <c r="B2609" s="23"/>
      <c r="C2609" s="23"/>
      <c r="D2609" s="23"/>
      <c r="E2609" s="23"/>
      <c r="F2609" s="23"/>
      <c r="G2609" s="23"/>
      <c r="H2609" s="29">
        <v>640990</v>
      </c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26.25">
      <c r="A2610" s="23" t="s">
        <v>17</v>
      </c>
      <c r="B2610" s="23"/>
      <c r="C2610" s="23"/>
      <c r="D2610" s="23"/>
      <c r="E2610" s="23"/>
      <c r="F2610" s="23"/>
      <c r="G2610" s="23"/>
      <c r="H2610" s="29">
        <v>649000</v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26.25">
      <c r="A2611" s="23"/>
      <c r="B2611" s="23"/>
      <c r="C2611" s="23"/>
      <c r="D2611" s="23"/>
      <c r="E2611" s="23"/>
      <c r="F2611" s="23"/>
      <c r="G2611" s="23"/>
      <c r="H2611" s="23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26.25">
      <c r="A2612" s="23"/>
      <c r="B2612" s="23"/>
      <c r="C2612" s="23"/>
      <c r="D2612" s="23"/>
      <c r="E2612" s="23"/>
      <c r="F2612" s="23"/>
      <c r="G2612" s="23"/>
      <c r="H2612" s="23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26.25">
      <c r="A2613" s="23"/>
      <c r="B2613" s="23"/>
      <c r="C2613" s="23"/>
      <c r="D2613" s="23"/>
      <c r="E2613" s="23"/>
      <c r="F2613" s="23"/>
      <c r="G2613" s="23"/>
      <c r="H2613" s="23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26.25">
      <c r="A2614" s="23"/>
      <c r="B2614" s="23"/>
      <c r="C2614" s="23"/>
      <c r="D2614" s="23"/>
      <c r="E2614" s="23"/>
      <c r="F2614" s="23"/>
      <c r="G2614" s="23"/>
      <c r="H2614" s="23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26.25">
      <c r="A2615" s="23"/>
      <c r="B2615" s="23"/>
      <c r="C2615" s="23"/>
      <c r="D2615" s="23"/>
      <c r="E2615" s="23"/>
      <c r="F2615" s="23"/>
      <c r="G2615" s="23"/>
      <c r="H2615" s="2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26.25">
      <c r="A2616" s="23"/>
      <c r="B2616" s="23"/>
      <c r="C2616" s="23"/>
      <c r="D2616" s="23"/>
      <c r="E2616" s="23"/>
      <c r="F2616" s="23"/>
      <c r="G2616" s="23"/>
      <c r="H2616" s="23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26.25">
      <c r="A2617" s="23" t="s">
        <v>0</v>
      </c>
      <c r="B2617" s="23"/>
      <c r="C2617" s="23"/>
      <c r="D2617" s="23"/>
      <c r="E2617" s="23"/>
      <c r="F2617" s="23"/>
      <c r="G2617" s="23"/>
      <c r="H2617" s="23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26.25">
      <c r="A2618" s="23" t="s">
        <v>633</v>
      </c>
      <c r="B2618" s="23"/>
      <c r="C2618" s="23"/>
      <c r="D2618" s="23"/>
      <c r="E2618" s="23"/>
      <c r="F2618" s="23"/>
      <c r="G2618" s="23"/>
      <c r="H2618" s="23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26.25">
      <c r="A2619" s="23" t="s">
        <v>2</v>
      </c>
      <c r="B2619" s="23" t="s">
        <v>3</v>
      </c>
      <c r="C2619" s="23" t="s">
        <v>4</v>
      </c>
      <c r="D2619" s="23" t="s">
        <v>5</v>
      </c>
      <c r="E2619" s="23" t="s">
        <v>6</v>
      </c>
      <c r="F2619" s="23" t="s">
        <v>7</v>
      </c>
      <c r="G2619" s="23" t="s">
        <v>8</v>
      </c>
      <c r="H2619" s="23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26.25">
      <c r="A2620" s="23">
        <v>1</v>
      </c>
      <c r="B2620" s="23" t="s">
        <v>68</v>
      </c>
      <c r="C2620" s="23" t="s">
        <v>634</v>
      </c>
      <c r="D2620" s="23" t="s">
        <v>127</v>
      </c>
      <c r="E2620" s="23">
        <v>1.1000000000000001</v>
      </c>
      <c r="F2620" s="29">
        <v>293000</v>
      </c>
      <c r="G2620" s="29">
        <v>322300</v>
      </c>
      <c r="H2620" s="23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26.25">
      <c r="A2621" s="23">
        <v>2</v>
      </c>
      <c r="B2621" s="23" t="s">
        <v>41</v>
      </c>
      <c r="C2621" s="23" t="s">
        <v>334</v>
      </c>
      <c r="D2621" s="23" t="s">
        <v>12</v>
      </c>
      <c r="E2621" s="23">
        <v>2.5</v>
      </c>
      <c r="F2621" s="29">
        <v>435000</v>
      </c>
      <c r="G2621" s="29">
        <v>1087500</v>
      </c>
      <c r="H2621" s="23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6.25">
      <c r="A2622" s="23">
        <v>3</v>
      </c>
      <c r="B2622" s="23" t="s">
        <v>14</v>
      </c>
      <c r="C2622" s="23"/>
      <c r="D2622" s="23"/>
      <c r="E2622" s="23"/>
      <c r="F2622" s="23"/>
      <c r="G2622" s="23">
        <v>0</v>
      </c>
      <c r="H2622" s="23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26.25">
      <c r="A2623" s="23" t="s">
        <v>15</v>
      </c>
      <c r="B2623" s="23"/>
      <c r="C2623" s="23"/>
      <c r="D2623" s="23"/>
      <c r="E2623" s="23"/>
      <c r="F2623" s="23"/>
      <c r="G2623" s="23"/>
      <c r="H2623" s="29">
        <v>1409800</v>
      </c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26.25">
      <c r="A2624" s="23" t="s">
        <v>16</v>
      </c>
      <c r="B2624" s="23"/>
      <c r="C2624" s="23"/>
      <c r="D2624" s="23"/>
      <c r="E2624" s="23"/>
      <c r="F2624" s="23"/>
      <c r="G2624" s="23"/>
      <c r="H2624" s="29">
        <v>761800</v>
      </c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26.25">
      <c r="A2625" s="23" t="s">
        <v>17</v>
      </c>
      <c r="B2625" s="23"/>
      <c r="C2625" s="23"/>
      <c r="D2625" s="23"/>
      <c r="E2625" s="23"/>
      <c r="F2625" s="23"/>
      <c r="G2625" s="23"/>
      <c r="H2625" s="29">
        <v>649000</v>
      </c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26.25">
      <c r="A2626" s="23"/>
      <c r="B2626" s="23"/>
      <c r="C2626" s="23"/>
      <c r="D2626" s="23"/>
      <c r="E2626" s="23"/>
      <c r="F2626" s="23"/>
      <c r="G2626" s="23"/>
      <c r="H2626" s="23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26.25">
      <c r="A2627" s="23"/>
      <c r="B2627" s="23"/>
      <c r="C2627" s="23"/>
      <c r="D2627" s="23"/>
      <c r="E2627" s="23"/>
      <c r="F2627" s="23"/>
      <c r="G2627" s="23"/>
      <c r="H2627" s="23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26.25">
      <c r="A2628" s="23"/>
      <c r="B2628" s="23"/>
      <c r="C2628" s="23"/>
      <c r="D2628" s="23"/>
      <c r="E2628" s="23"/>
      <c r="F2628" s="23"/>
      <c r="G2628" s="23"/>
      <c r="H2628" s="23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26.25">
      <c r="A2629" s="23"/>
      <c r="B2629" s="23"/>
      <c r="C2629" s="23"/>
      <c r="D2629" s="23"/>
      <c r="E2629" s="23"/>
      <c r="F2629" s="23"/>
      <c r="G2629" s="23"/>
      <c r="H2629" s="23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26.25">
      <c r="A2630" s="23"/>
      <c r="B2630" s="23"/>
      <c r="C2630" s="23"/>
      <c r="D2630" s="23"/>
      <c r="E2630" s="23"/>
      <c r="F2630" s="23"/>
      <c r="G2630" s="23"/>
      <c r="H2630" s="23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26.25">
      <c r="A2631" s="23"/>
      <c r="B2631" s="23"/>
      <c r="C2631" s="23"/>
      <c r="D2631" s="23"/>
      <c r="E2631" s="23"/>
      <c r="F2631" s="23"/>
      <c r="G2631" s="23"/>
      <c r="H2631" s="23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26.25">
      <c r="A2632" s="23"/>
      <c r="B2632" s="23"/>
      <c r="C2632" s="23"/>
      <c r="D2632" s="23"/>
      <c r="E2632" s="23"/>
      <c r="F2632" s="23"/>
      <c r="G2632" s="23"/>
      <c r="H2632" s="23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26.25">
      <c r="A2633" s="23" t="s">
        <v>0</v>
      </c>
      <c r="B2633" s="23"/>
      <c r="C2633" s="23"/>
      <c r="D2633" s="23"/>
      <c r="E2633" s="23"/>
      <c r="F2633" s="23"/>
      <c r="G2633" s="23"/>
      <c r="H2633" s="23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26.25">
      <c r="A2634" s="23" t="s">
        <v>635</v>
      </c>
      <c r="B2634" s="23"/>
      <c r="C2634" s="23"/>
      <c r="D2634" s="23"/>
      <c r="E2634" s="23"/>
      <c r="F2634" s="23"/>
      <c r="G2634" s="23"/>
      <c r="H2634" s="23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26.25">
      <c r="A2635" s="23" t="s">
        <v>2</v>
      </c>
      <c r="B2635" s="23" t="s">
        <v>3</v>
      </c>
      <c r="C2635" s="23" t="s">
        <v>4</v>
      </c>
      <c r="D2635" s="23" t="s">
        <v>5</v>
      </c>
      <c r="E2635" s="23" t="s">
        <v>6</v>
      </c>
      <c r="F2635" s="23" t="s">
        <v>7</v>
      </c>
      <c r="G2635" s="23" t="s">
        <v>8</v>
      </c>
      <c r="H2635" s="23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26.25">
      <c r="A2636" s="23">
        <v>1</v>
      </c>
      <c r="B2636" s="23" t="s">
        <v>636</v>
      </c>
      <c r="C2636" s="23" t="s">
        <v>637</v>
      </c>
      <c r="D2636" s="23" t="s">
        <v>127</v>
      </c>
      <c r="E2636" s="23">
        <v>1</v>
      </c>
      <c r="F2636" s="29">
        <v>293000</v>
      </c>
      <c r="G2636" s="29">
        <v>293000</v>
      </c>
      <c r="H2636" s="23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26.25">
      <c r="A2637" s="23">
        <v>2</v>
      </c>
      <c r="B2637" s="23" t="s">
        <v>41</v>
      </c>
      <c r="C2637" s="23" t="s">
        <v>281</v>
      </c>
      <c r="D2637" s="23" t="s">
        <v>12</v>
      </c>
      <c r="E2637" s="23">
        <v>2.65</v>
      </c>
      <c r="F2637" s="29">
        <v>435000</v>
      </c>
      <c r="G2637" s="29">
        <v>1152750</v>
      </c>
      <c r="H2637" s="23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26.25">
      <c r="A2638" s="23">
        <v>3</v>
      </c>
      <c r="B2638" s="23" t="s">
        <v>14</v>
      </c>
      <c r="C2638" s="23"/>
      <c r="D2638" s="23"/>
      <c r="E2638" s="23"/>
      <c r="F2638" s="23"/>
      <c r="G2638" s="23">
        <v>0</v>
      </c>
      <c r="H2638" s="23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26.25">
      <c r="A2639" s="23" t="s">
        <v>15</v>
      </c>
      <c r="B2639" s="23"/>
      <c r="C2639" s="23"/>
      <c r="D2639" s="23"/>
      <c r="E2639" s="23"/>
      <c r="F2639" s="23"/>
      <c r="G2639" s="23"/>
      <c r="H2639" s="29">
        <v>1445750</v>
      </c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6.25">
      <c r="A2640" s="23" t="s">
        <v>16</v>
      </c>
      <c r="B2640" s="23"/>
      <c r="C2640" s="23"/>
      <c r="D2640" s="23"/>
      <c r="E2640" s="23"/>
      <c r="F2640" s="23"/>
      <c r="G2640" s="23"/>
      <c r="H2640" s="29">
        <v>797750</v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26.25">
      <c r="A2641" s="23" t="s">
        <v>17</v>
      </c>
      <c r="B2641" s="23"/>
      <c r="C2641" s="23"/>
      <c r="D2641" s="23"/>
      <c r="E2641" s="23"/>
      <c r="F2641" s="23"/>
      <c r="G2641" s="23"/>
      <c r="H2641" s="29">
        <v>649000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26.25">
      <c r="A2642" s="23"/>
      <c r="B2642" s="23"/>
      <c r="C2642" s="23"/>
      <c r="D2642" s="23"/>
      <c r="E2642" s="23"/>
      <c r="F2642" s="23"/>
      <c r="G2642" s="23"/>
      <c r="H2642" s="23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26.25">
      <c r="A2643" s="23"/>
      <c r="B2643" s="23"/>
      <c r="C2643" s="23"/>
      <c r="D2643" s="23"/>
      <c r="E2643" s="23"/>
      <c r="F2643" s="23"/>
      <c r="G2643" s="23"/>
      <c r="H2643" s="23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26.25">
      <c r="A2644" s="23"/>
      <c r="B2644" s="23"/>
      <c r="C2644" s="23"/>
      <c r="D2644" s="23"/>
      <c r="E2644" s="23"/>
      <c r="F2644" s="23"/>
      <c r="G2644" s="23"/>
      <c r="H2644" s="23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26.25">
      <c r="A2645" s="23"/>
      <c r="B2645" s="23"/>
      <c r="C2645" s="23"/>
      <c r="D2645" s="23"/>
      <c r="E2645" s="23"/>
      <c r="F2645" s="23"/>
      <c r="G2645" s="23"/>
      <c r="H2645" s="23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6.25">
      <c r="A2646" s="23"/>
      <c r="B2646" s="23"/>
      <c r="C2646" s="23"/>
      <c r="D2646" s="23"/>
      <c r="E2646" s="23"/>
      <c r="F2646" s="23"/>
      <c r="G2646" s="23"/>
      <c r="H2646" s="23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6.25">
      <c r="A2647" s="23"/>
      <c r="B2647" s="23"/>
      <c r="C2647" s="23"/>
      <c r="D2647" s="23"/>
      <c r="E2647" s="23"/>
      <c r="F2647" s="23"/>
      <c r="G2647" s="23"/>
      <c r="H2647" s="23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26.25">
      <c r="A2648" s="23"/>
      <c r="B2648" s="23"/>
      <c r="C2648" s="23"/>
      <c r="D2648" s="23"/>
      <c r="E2648" s="23"/>
      <c r="F2648" s="23"/>
      <c r="G2648" s="23"/>
      <c r="H2648" s="23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26.25">
      <c r="A2649" s="23" t="s">
        <v>0</v>
      </c>
      <c r="B2649" s="23"/>
      <c r="C2649" s="23"/>
      <c r="D2649" s="23"/>
      <c r="E2649" s="23"/>
      <c r="F2649" s="23"/>
      <c r="G2649" s="23"/>
      <c r="H2649" s="23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26.25">
      <c r="A2650" s="23" t="s">
        <v>638</v>
      </c>
      <c r="B2650" s="23"/>
      <c r="C2650" s="23"/>
      <c r="D2650" s="23"/>
      <c r="E2650" s="23"/>
      <c r="F2650" s="23"/>
      <c r="G2650" s="23"/>
      <c r="H2650" s="23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26.25">
      <c r="A2651" s="23" t="s">
        <v>2</v>
      </c>
      <c r="B2651" s="23" t="s">
        <v>3</v>
      </c>
      <c r="C2651" s="23" t="s">
        <v>4</v>
      </c>
      <c r="D2651" s="23" t="s">
        <v>5</v>
      </c>
      <c r="E2651" s="23" t="s">
        <v>6</v>
      </c>
      <c r="F2651" s="23" t="s">
        <v>7</v>
      </c>
      <c r="G2651" s="23" t="s">
        <v>8</v>
      </c>
      <c r="H2651" s="23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26.25">
      <c r="A2652" s="23">
        <v>1</v>
      </c>
      <c r="B2652" s="23" t="s">
        <v>329</v>
      </c>
      <c r="C2652" s="23" t="s">
        <v>639</v>
      </c>
      <c r="D2652" s="23" t="s">
        <v>127</v>
      </c>
      <c r="E2652" s="23">
        <v>0.6</v>
      </c>
      <c r="F2652" s="29">
        <v>293000</v>
      </c>
      <c r="G2652" s="29">
        <v>175800</v>
      </c>
      <c r="H2652" s="23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26.25">
      <c r="A2653" s="23">
        <v>2</v>
      </c>
      <c r="B2653" s="23" t="s">
        <v>640</v>
      </c>
      <c r="C2653" s="23" t="s">
        <v>641</v>
      </c>
      <c r="D2653" s="23" t="s">
        <v>12</v>
      </c>
      <c r="E2653" s="23">
        <v>3</v>
      </c>
      <c r="F2653" s="29">
        <v>435000</v>
      </c>
      <c r="G2653" s="29">
        <v>1305000</v>
      </c>
      <c r="H2653" s="23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6.25">
      <c r="A2654" s="23">
        <v>3</v>
      </c>
      <c r="B2654" s="23" t="s">
        <v>14</v>
      </c>
      <c r="C2654" s="23"/>
      <c r="D2654" s="23"/>
      <c r="E2654" s="23"/>
      <c r="F2654" s="23"/>
      <c r="G2654" s="23">
        <v>0</v>
      </c>
      <c r="H2654" s="23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26.25">
      <c r="A2655" s="23" t="s">
        <v>15</v>
      </c>
      <c r="B2655" s="23"/>
      <c r="C2655" s="23"/>
      <c r="D2655" s="23"/>
      <c r="E2655" s="23"/>
      <c r="F2655" s="23"/>
      <c r="G2655" s="23"/>
      <c r="H2655" s="29">
        <v>1480800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26.25">
      <c r="A2656" s="23" t="s">
        <v>16</v>
      </c>
      <c r="B2656" s="23"/>
      <c r="C2656" s="23"/>
      <c r="D2656" s="23"/>
      <c r="E2656" s="23"/>
      <c r="F2656" s="23"/>
      <c r="G2656" s="23"/>
      <c r="H2656" s="29">
        <v>832800</v>
      </c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26.25">
      <c r="A2657" s="23" t="s">
        <v>17</v>
      </c>
      <c r="B2657" s="23"/>
      <c r="C2657" s="23"/>
      <c r="D2657" s="23"/>
      <c r="E2657" s="23"/>
      <c r="F2657" s="23"/>
      <c r="G2657" s="23"/>
      <c r="H2657" s="29">
        <v>649000</v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26.25">
      <c r="A2658" s="23"/>
      <c r="B2658" s="23"/>
      <c r="C2658" s="23"/>
      <c r="D2658" s="23"/>
      <c r="E2658" s="23"/>
      <c r="F2658" s="23"/>
      <c r="G2658" s="23"/>
      <c r="H2658" s="23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26.25">
      <c r="A2659" s="23"/>
      <c r="B2659" s="23"/>
      <c r="C2659" s="23"/>
      <c r="D2659" s="23"/>
      <c r="E2659" s="23"/>
      <c r="F2659" s="23"/>
      <c r="G2659" s="23"/>
      <c r="H2659" s="23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26.25">
      <c r="A2660" s="23"/>
      <c r="B2660" s="23"/>
      <c r="C2660" s="23"/>
      <c r="D2660" s="23"/>
      <c r="E2660" s="23"/>
      <c r="F2660" s="23"/>
      <c r="G2660" s="23"/>
      <c r="H2660" s="23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26.25">
      <c r="A2661" s="23"/>
      <c r="B2661" s="23"/>
      <c r="C2661" s="23"/>
      <c r="D2661" s="23"/>
      <c r="E2661" s="23"/>
      <c r="F2661" s="23"/>
      <c r="G2661" s="23"/>
      <c r="H2661" s="23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26.25">
      <c r="A2662" s="23"/>
      <c r="B2662" s="23"/>
      <c r="C2662" s="23"/>
      <c r="D2662" s="23"/>
      <c r="E2662" s="23"/>
      <c r="F2662" s="23"/>
      <c r="G2662" s="23"/>
      <c r="H2662" s="23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26.25">
      <c r="A2663" s="23"/>
      <c r="B2663" s="23"/>
      <c r="C2663" s="23"/>
      <c r="D2663" s="23"/>
      <c r="E2663" s="23"/>
      <c r="F2663" s="23"/>
      <c r="G2663" s="23"/>
      <c r="H2663" s="23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26.25">
      <c r="A2664" s="23"/>
      <c r="B2664" s="23"/>
      <c r="C2664" s="23"/>
      <c r="D2664" s="23"/>
      <c r="E2664" s="23"/>
      <c r="F2664" s="23"/>
      <c r="G2664" s="23"/>
      <c r="H2664" s="23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26.25">
      <c r="A2665" s="23"/>
      <c r="B2665" s="23"/>
      <c r="C2665" s="23"/>
      <c r="D2665" s="23"/>
      <c r="E2665" s="23"/>
      <c r="F2665" s="23"/>
      <c r="G2665" s="23"/>
      <c r="H2665" s="23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26.25">
      <c r="A2666" s="23"/>
      <c r="B2666" s="23"/>
      <c r="C2666" s="23"/>
      <c r="D2666" s="23"/>
      <c r="E2666" s="23"/>
      <c r="F2666" s="23"/>
      <c r="G2666" s="23"/>
      <c r="H2666" s="23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26.25">
      <c r="A2667" s="23" t="s">
        <v>0</v>
      </c>
      <c r="B2667" s="23"/>
      <c r="C2667" s="23"/>
      <c r="D2667" s="23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26.25">
      <c r="A2668" s="23" t="s">
        <v>642</v>
      </c>
      <c r="B2668" s="23"/>
      <c r="C2668" s="23"/>
      <c r="D2668" s="23"/>
      <c r="E2668" s="23"/>
      <c r="F2668" s="23"/>
      <c r="G2668" s="23"/>
      <c r="H2668" s="23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26.25">
      <c r="A2669" s="23" t="s">
        <v>2</v>
      </c>
      <c r="B2669" s="23" t="s">
        <v>3</v>
      </c>
      <c r="C2669" s="23" t="s">
        <v>4</v>
      </c>
      <c r="D2669" s="23" t="s">
        <v>5</v>
      </c>
      <c r="E2669" s="23" t="s">
        <v>6</v>
      </c>
      <c r="F2669" s="23" t="s">
        <v>7</v>
      </c>
      <c r="G2669" s="23" t="s">
        <v>8</v>
      </c>
      <c r="H2669" s="23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26.25">
      <c r="A2670" s="23">
        <v>1</v>
      </c>
      <c r="B2670" s="23" t="s">
        <v>73</v>
      </c>
      <c r="C2670" s="23" t="s">
        <v>643</v>
      </c>
      <c r="D2670" s="23" t="s">
        <v>127</v>
      </c>
      <c r="E2670" s="23">
        <v>1</v>
      </c>
      <c r="F2670" s="29">
        <v>293000</v>
      </c>
      <c r="G2670" s="29">
        <v>293000</v>
      </c>
      <c r="H2670" s="23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26.25">
      <c r="A2671" s="23">
        <v>2</v>
      </c>
      <c r="B2671" s="23" t="s">
        <v>41</v>
      </c>
      <c r="C2671" s="23" t="s">
        <v>447</v>
      </c>
      <c r="D2671" s="23" t="s">
        <v>12</v>
      </c>
      <c r="E2671" s="23">
        <v>2.7</v>
      </c>
      <c r="F2671" s="29">
        <v>435000</v>
      </c>
      <c r="G2671" s="29">
        <v>1174500</v>
      </c>
      <c r="H2671" s="23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26.25">
      <c r="A2672" s="23">
        <v>3</v>
      </c>
      <c r="B2672" s="23" t="s">
        <v>14</v>
      </c>
      <c r="C2672" s="23"/>
      <c r="D2672" s="23"/>
      <c r="E2672" s="23"/>
      <c r="F2672" s="23"/>
      <c r="G2672" s="23">
        <v>0</v>
      </c>
      <c r="H2672" s="23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26.25">
      <c r="A2673" s="23" t="s">
        <v>15</v>
      </c>
      <c r="B2673" s="23"/>
      <c r="C2673" s="23"/>
      <c r="D2673" s="23"/>
      <c r="E2673" s="23"/>
      <c r="F2673" s="23"/>
      <c r="G2673" s="23"/>
      <c r="H2673" s="29">
        <v>1467500</v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26.25">
      <c r="A2674" s="23" t="s">
        <v>16</v>
      </c>
      <c r="B2674" s="23"/>
      <c r="C2674" s="23"/>
      <c r="D2674" s="23"/>
      <c r="E2674" s="23"/>
      <c r="F2674" s="23"/>
      <c r="G2674" s="23"/>
      <c r="H2674" s="29">
        <v>819500</v>
      </c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26.25">
      <c r="A2675" s="23" t="s">
        <v>17</v>
      </c>
      <c r="B2675" s="23"/>
      <c r="C2675" s="23"/>
      <c r="D2675" s="23"/>
      <c r="E2675" s="23"/>
      <c r="F2675" s="23"/>
      <c r="G2675" s="23"/>
      <c r="H2675" s="29">
        <v>649000</v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26.25">
      <c r="A2676" s="23"/>
      <c r="B2676" s="23"/>
      <c r="C2676" s="23"/>
      <c r="D2676" s="23"/>
      <c r="E2676" s="23"/>
      <c r="F2676" s="23"/>
      <c r="G2676" s="23"/>
      <c r="H2676" s="23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26.25">
      <c r="A2677" s="23"/>
      <c r="B2677" s="23"/>
      <c r="C2677" s="23"/>
      <c r="D2677" s="23"/>
      <c r="E2677" s="23"/>
      <c r="F2677" s="23"/>
      <c r="G2677" s="23"/>
      <c r="H2677" s="23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26.25">
      <c r="A2678" s="23"/>
      <c r="B2678" s="23"/>
      <c r="C2678" s="23"/>
      <c r="D2678" s="23"/>
      <c r="E2678" s="23"/>
      <c r="F2678" s="23"/>
      <c r="G2678" s="23"/>
      <c r="H2678" s="23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6.25">
      <c r="A2679" s="23"/>
      <c r="B2679" s="23"/>
      <c r="C2679" s="23"/>
      <c r="D2679" s="23"/>
      <c r="E2679" s="23"/>
      <c r="F2679" s="23"/>
      <c r="G2679" s="23"/>
      <c r="H2679" s="23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26.25">
      <c r="A2680" s="23"/>
      <c r="B2680" s="23"/>
      <c r="C2680" s="23"/>
      <c r="D2680" s="23"/>
      <c r="E2680" s="23"/>
      <c r="F2680" s="23"/>
      <c r="G2680" s="23"/>
      <c r="H2680" s="23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26.25">
      <c r="A2681" s="23"/>
      <c r="B2681" s="23"/>
      <c r="C2681" s="23"/>
      <c r="D2681" s="23"/>
      <c r="E2681" s="23"/>
      <c r="F2681" s="23"/>
      <c r="G2681" s="23"/>
      <c r="H2681" s="23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26.25">
      <c r="A2682" s="23" t="s">
        <v>0</v>
      </c>
      <c r="B2682" s="23"/>
      <c r="C2682" s="23"/>
      <c r="D2682" s="23"/>
      <c r="E2682" s="23"/>
      <c r="F2682" s="23"/>
      <c r="G2682" s="23"/>
      <c r="H2682" s="23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6.25">
      <c r="A2683" s="23" t="s">
        <v>644</v>
      </c>
      <c r="B2683" s="23"/>
      <c r="C2683" s="23"/>
      <c r="D2683" s="23"/>
      <c r="E2683" s="23"/>
      <c r="F2683" s="23"/>
      <c r="G2683" s="23"/>
      <c r="H2683" s="23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26.25">
      <c r="A2684" s="23" t="s">
        <v>2</v>
      </c>
      <c r="B2684" s="23" t="s">
        <v>3</v>
      </c>
      <c r="C2684" s="23" t="s">
        <v>4</v>
      </c>
      <c r="D2684" s="23" t="s">
        <v>5</v>
      </c>
      <c r="E2684" s="23" t="s">
        <v>6</v>
      </c>
      <c r="F2684" s="23" t="s">
        <v>7</v>
      </c>
      <c r="G2684" s="23" t="s">
        <v>8</v>
      </c>
      <c r="H2684" s="23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26.25">
      <c r="A2685" s="23">
        <v>1</v>
      </c>
      <c r="B2685" s="23" t="s">
        <v>645</v>
      </c>
      <c r="C2685" s="23" t="s">
        <v>646</v>
      </c>
      <c r="D2685" s="23" t="s">
        <v>127</v>
      </c>
      <c r="E2685" s="23">
        <v>1</v>
      </c>
      <c r="F2685" s="29">
        <v>293000</v>
      </c>
      <c r="G2685" s="29">
        <v>293000</v>
      </c>
      <c r="H2685" s="23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26.25">
      <c r="A2686" s="23">
        <v>2</v>
      </c>
      <c r="B2686" s="23" t="s">
        <v>41</v>
      </c>
      <c r="C2686" s="23" t="s">
        <v>647</v>
      </c>
      <c r="D2686" s="23" t="s">
        <v>12</v>
      </c>
      <c r="E2686" s="23">
        <v>2.5</v>
      </c>
      <c r="F2686" s="29">
        <v>435000</v>
      </c>
      <c r="G2686" s="29">
        <v>1087500</v>
      </c>
      <c r="H2686" s="23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26.25">
      <c r="A2687" s="23">
        <v>3</v>
      </c>
      <c r="B2687" s="23" t="s">
        <v>14</v>
      </c>
      <c r="C2687" s="23"/>
      <c r="D2687" s="23"/>
      <c r="E2687" s="23"/>
      <c r="F2687" s="23"/>
      <c r="G2687" s="23">
        <v>0</v>
      </c>
      <c r="H2687" s="23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26.25">
      <c r="A2688" s="23" t="s">
        <v>15</v>
      </c>
      <c r="B2688" s="23"/>
      <c r="C2688" s="23"/>
      <c r="D2688" s="23"/>
      <c r="E2688" s="23"/>
      <c r="F2688" s="23"/>
      <c r="G2688" s="23"/>
      <c r="H2688" s="29">
        <v>1380500</v>
      </c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26.25">
      <c r="A2689" s="23" t="s">
        <v>16</v>
      </c>
      <c r="B2689" s="23"/>
      <c r="C2689" s="23"/>
      <c r="D2689" s="23"/>
      <c r="E2689" s="23"/>
      <c r="F2689" s="23"/>
      <c r="G2689" s="23"/>
      <c r="H2689" s="29">
        <v>732500</v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26.25">
      <c r="A2690" s="23" t="s">
        <v>17</v>
      </c>
      <c r="B2690" s="23"/>
      <c r="C2690" s="23"/>
      <c r="D2690" s="23"/>
      <c r="E2690" s="23"/>
      <c r="F2690" s="23"/>
      <c r="G2690" s="23"/>
      <c r="H2690" s="29">
        <v>649000</v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26.25">
      <c r="A2691" s="23"/>
      <c r="B2691" s="23"/>
      <c r="C2691" s="23"/>
      <c r="D2691" s="23"/>
      <c r="E2691" s="23"/>
      <c r="F2691" s="23"/>
      <c r="G2691" s="23"/>
      <c r="H2691" s="23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26.25">
      <c r="A2692" s="23"/>
      <c r="B2692" s="23"/>
      <c r="C2692" s="23"/>
      <c r="D2692" s="23"/>
      <c r="E2692" s="23"/>
      <c r="F2692" s="23"/>
      <c r="G2692" s="23"/>
      <c r="H2692" s="23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26.25">
      <c r="A2693" s="23"/>
      <c r="B2693" s="23"/>
      <c r="C2693" s="23"/>
      <c r="D2693" s="23"/>
      <c r="E2693" s="23"/>
      <c r="F2693" s="23"/>
      <c r="G2693" s="23"/>
      <c r="H2693" s="23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26.25">
      <c r="A2694" s="23"/>
      <c r="B2694" s="23"/>
      <c r="C2694" s="23"/>
      <c r="D2694" s="23"/>
      <c r="E2694" s="23"/>
      <c r="F2694" s="23"/>
      <c r="G2694" s="23"/>
      <c r="H2694" s="23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26.25">
      <c r="A2695" s="23"/>
      <c r="B2695" s="23"/>
      <c r="C2695" s="23"/>
      <c r="D2695" s="23"/>
      <c r="E2695" s="23"/>
      <c r="F2695" s="23"/>
      <c r="G2695" s="23"/>
      <c r="H2695" s="23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26.25">
      <c r="A2696" s="23"/>
      <c r="B2696" s="23"/>
      <c r="C2696" s="23"/>
      <c r="D2696" s="23"/>
      <c r="E2696" s="23"/>
      <c r="F2696" s="23"/>
      <c r="G2696" s="23"/>
      <c r="H2696" s="23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6.25">
      <c r="A2697" s="23" t="s">
        <v>0</v>
      </c>
      <c r="B2697" s="23"/>
      <c r="C2697" s="23"/>
      <c r="D2697" s="23"/>
      <c r="E2697" s="23"/>
      <c r="F2697" s="23"/>
      <c r="G2697" s="23"/>
      <c r="H2697" s="23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26.25">
      <c r="A2698" s="23" t="s">
        <v>648</v>
      </c>
      <c r="B2698" s="23"/>
      <c r="C2698" s="23"/>
      <c r="D2698" s="23"/>
      <c r="E2698" s="23"/>
      <c r="F2698" s="23"/>
      <c r="G2698" s="23"/>
      <c r="H2698" s="23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26.25">
      <c r="A2699" s="23" t="s">
        <v>2</v>
      </c>
      <c r="B2699" s="23" t="s">
        <v>3</v>
      </c>
      <c r="C2699" s="23" t="s">
        <v>4</v>
      </c>
      <c r="D2699" s="23" t="s">
        <v>5</v>
      </c>
      <c r="E2699" s="23" t="s">
        <v>6</v>
      </c>
      <c r="F2699" s="23" t="s">
        <v>7</v>
      </c>
      <c r="G2699" s="23" t="s">
        <v>8</v>
      </c>
      <c r="H2699" s="23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26.25">
      <c r="A2700" s="23">
        <v>1</v>
      </c>
      <c r="B2700" s="23" t="s">
        <v>649</v>
      </c>
      <c r="C2700" s="23" t="s">
        <v>650</v>
      </c>
      <c r="D2700" s="23" t="s">
        <v>127</v>
      </c>
      <c r="E2700" s="23">
        <v>1.4</v>
      </c>
      <c r="F2700" s="29">
        <v>293000</v>
      </c>
      <c r="G2700" s="29">
        <v>410200</v>
      </c>
      <c r="H2700" s="23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26.25">
      <c r="A2701" s="23">
        <v>2</v>
      </c>
      <c r="B2701" s="23" t="s">
        <v>200</v>
      </c>
      <c r="C2701" s="23" t="s">
        <v>456</v>
      </c>
      <c r="D2701" s="23" t="s">
        <v>12</v>
      </c>
      <c r="E2701" s="23">
        <v>2</v>
      </c>
      <c r="F2701" s="29">
        <v>435000</v>
      </c>
      <c r="G2701" s="29">
        <v>870000</v>
      </c>
      <c r="H2701" s="23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26.25">
      <c r="A2702" s="23">
        <v>3</v>
      </c>
      <c r="B2702" s="23" t="s">
        <v>14</v>
      </c>
      <c r="C2702" s="23"/>
      <c r="D2702" s="23"/>
      <c r="E2702" s="23"/>
      <c r="F2702" s="23"/>
      <c r="G2702" s="23">
        <v>0</v>
      </c>
      <c r="H2702" s="23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26.25">
      <c r="A2703" s="23" t="s">
        <v>15</v>
      </c>
      <c r="B2703" s="23"/>
      <c r="C2703" s="23"/>
      <c r="D2703" s="23"/>
      <c r="E2703" s="23"/>
      <c r="F2703" s="23"/>
      <c r="G2703" s="23"/>
      <c r="H2703" s="29">
        <v>1280200</v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26.25">
      <c r="A2704" s="23" t="s">
        <v>16</v>
      </c>
      <c r="B2704" s="23"/>
      <c r="C2704" s="23"/>
      <c r="D2704" s="23"/>
      <c r="E2704" s="23"/>
      <c r="F2704" s="23"/>
      <c r="G2704" s="23"/>
      <c r="H2704" s="29">
        <v>632200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26.25">
      <c r="A2705" s="23" t="s">
        <v>17</v>
      </c>
      <c r="B2705" s="23"/>
      <c r="C2705" s="23"/>
      <c r="D2705" s="23"/>
      <c r="E2705" s="23"/>
      <c r="F2705" s="23"/>
      <c r="G2705" s="23"/>
      <c r="H2705" s="29">
        <v>649000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26.25">
      <c r="A2706" s="23"/>
      <c r="B2706" s="23"/>
      <c r="C2706" s="23"/>
      <c r="D2706" s="23"/>
      <c r="E2706" s="23"/>
      <c r="F2706" s="23"/>
      <c r="G2706" s="23"/>
      <c r="H2706" s="23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26.25">
      <c r="A2707" s="23"/>
      <c r="B2707" s="23"/>
      <c r="C2707" s="23"/>
      <c r="D2707" s="23"/>
      <c r="E2707" s="23"/>
      <c r="F2707" s="23"/>
      <c r="G2707" s="23"/>
      <c r="H2707" s="23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26.25">
      <c r="A2708" s="23"/>
      <c r="B2708" s="23"/>
      <c r="C2708" s="23"/>
      <c r="D2708" s="23"/>
      <c r="E2708" s="23"/>
      <c r="F2708" s="23"/>
      <c r="G2708" s="23"/>
      <c r="H2708" s="23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26.25">
      <c r="A2709" s="23"/>
      <c r="B2709" s="23"/>
      <c r="C2709" s="23"/>
      <c r="D2709" s="23"/>
      <c r="E2709" s="23"/>
      <c r="F2709" s="23"/>
      <c r="G2709" s="23"/>
      <c r="H2709" s="23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26.25">
      <c r="A2710" s="23"/>
      <c r="B2710" s="23"/>
      <c r="C2710" s="23"/>
      <c r="D2710" s="23"/>
      <c r="E2710" s="23"/>
      <c r="F2710" s="23"/>
      <c r="G2710" s="23"/>
      <c r="H2710" s="23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26.25">
      <c r="A2711" s="23"/>
      <c r="B2711" s="23"/>
      <c r="C2711" s="23"/>
      <c r="D2711" s="23"/>
      <c r="E2711" s="23"/>
      <c r="F2711" s="23"/>
      <c r="G2711" s="23"/>
      <c r="H2711" s="23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26.25">
      <c r="A2712" s="23"/>
      <c r="B2712" s="23"/>
      <c r="C2712" s="23"/>
      <c r="D2712" s="23"/>
      <c r="E2712" s="23"/>
      <c r="F2712" s="23"/>
      <c r="G2712" s="23"/>
      <c r="H2712" s="23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6.25">
      <c r="A2713" s="23" t="s">
        <v>0</v>
      </c>
      <c r="B2713" s="23"/>
      <c r="C2713" s="23"/>
      <c r="D2713" s="23"/>
      <c r="E2713" s="23"/>
      <c r="F2713" s="23"/>
      <c r="G2713" s="23"/>
      <c r="H2713" s="23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26.25">
      <c r="A2714" s="23" t="s">
        <v>651</v>
      </c>
      <c r="B2714" s="23"/>
      <c r="C2714" s="23"/>
      <c r="D2714" s="23"/>
      <c r="E2714" s="23"/>
      <c r="F2714" s="23"/>
      <c r="G2714" s="23"/>
      <c r="H2714" s="2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26.25">
      <c r="A2715" s="23" t="s">
        <v>2</v>
      </c>
      <c r="B2715" s="23" t="s">
        <v>3</v>
      </c>
      <c r="C2715" s="23" t="s">
        <v>4</v>
      </c>
      <c r="D2715" s="23" t="s">
        <v>5</v>
      </c>
      <c r="E2715" s="23" t="s">
        <v>6</v>
      </c>
      <c r="F2715" s="23" t="s">
        <v>7</v>
      </c>
      <c r="G2715" s="23" t="s">
        <v>8</v>
      </c>
      <c r="H2715" s="23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26.25">
      <c r="A2716" s="23">
        <v>1</v>
      </c>
      <c r="B2716" s="23" t="s">
        <v>329</v>
      </c>
      <c r="C2716" s="23" t="s">
        <v>652</v>
      </c>
      <c r="D2716" s="23" t="s">
        <v>127</v>
      </c>
      <c r="E2716" s="23">
        <v>0.99</v>
      </c>
      <c r="F2716" s="29">
        <v>293000</v>
      </c>
      <c r="G2716" s="29">
        <v>290070</v>
      </c>
      <c r="H2716" s="23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26.25">
      <c r="A2717" s="23">
        <v>2</v>
      </c>
      <c r="B2717" s="23" t="s">
        <v>41</v>
      </c>
      <c r="C2717" s="23" t="s">
        <v>632</v>
      </c>
      <c r="D2717" s="23" t="s">
        <v>12</v>
      </c>
      <c r="E2717" s="23">
        <v>2.5</v>
      </c>
      <c r="F2717" s="29">
        <v>435000</v>
      </c>
      <c r="G2717" s="29">
        <v>1087500</v>
      </c>
      <c r="H2717" s="23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26.25">
      <c r="A2718" s="23">
        <v>3</v>
      </c>
      <c r="B2718" s="23" t="s">
        <v>14</v>
      </c>
      <c r="C2718" s="23"/>
      <c r="D2718" s="23"/>
      <c r="E2718" s="23"/>
      <c r="F2718" s="23"/>
      <c r="G2718" s="23">
        <v>0</v>
      </c>
      <c r="H2718" s="23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26.25">
      <c r="A2719" s="23" t="s">
        <v>15</v>
      </c>
      <c r="B2719" s="23"/>
      <c r="C2719" s="23"/>
      <c r="D2719" s="23"/>
      <c r="E2719" s="23"/>
      <c r="F2719" s="23"/>
      <c r="G2719" s="23"/>
      <c r="H2719" s="29">
        <v>1377570</v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26.25">
      <c r="A2720" s="23" t="s">
        <v>16</v>
      </c>
      <c r="B2720" s="23"/>
      <c r="C2720" s="23"/>
      <c r="D2720" s="23"/>
      <c r="E2720" s="23"/>
      <c r="F2720" s="23"/>
      <c r="G2720" s="23"/>
      <c r="H2720" s="29">
        <v>729570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26.25">
      <c r="A2721" s="23" t="s">
        <v>17</v>
      </c>
      <c r="B2721" s="23"/>
      <c r="C2721" s="23"/>
      <c r="D2721" s="23"/>
      <c r="E2721" s="23"/>
      <c r="F2721" s="23"/>
      <c r="G2721" s="23"/>
      <c r="H2721" s="29">
        <v>649000</v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26.25">
      <c r="A2722" s="23"/>
      <c r="B2722" s="23"/>
      <c r="C2722" s="23"/>
      <c r="D2722" s="23"/>
      <c r="E2722" s="23"/>
      <c r="F2722" s="23"/>
      <c r="G2722" s="23"/>
      <c r="H2722" s="23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26.25">
      <c r="A2723" s="23"/>
      <c r="B2723" s="23"/>
      <c r="C2723" s="23"/>
      <c r="D2723" s="23"/>
      <c r="E2723" s="23"/>
      <c r="F2723" s="23"/>
      <c r="G2723" s="23"/>
      <c r="H2723" s="23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26.25">
      <c r="A2724" s="23"/>
      <c r="B2724" s="23"/>
      <c r="C2724" s="23"/>
      <c r="D2724" s="23"/>
      <c r="E2724" s="23"/>
      <c r="F2724" s="23"/>
      <c r="G2724" s="23"/>
      <c r="H2724" s="23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26.25">
      <c r="A2725" s="23"/>
      <c r="B2725" s="23"/>
      <c r="C2725" s="23"/>
      <c r="D2725" s="23"/>
      <c r="E2725" s="23"/>
      <c r="F2725" s="23"/>
      <c r="G2725" s="23"/>
      <c r="H2725" s="23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26.25">
      <c r="A2726" s="23"/>
      <c r="B2726" s="23"/>
      <c r="C2726" s="23"/>
      <c r="D2726" s="23"/>
      <c r="E2726" s="23"/>
      <c r="F2726" s="23"/>
      <c r="G2726" s="23"/>
      <c r="H2726" s="23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26.25">
      <c r="A2727" s="23"/>
      <c r="B2727" s="23"/>
      <c r="C2727" s="23"/>
      <c r="D2727" s="23"/>
      <c r="E2727" s="23"/>
      <c r="F2727" s="23"/>
      <c r="G2727" s="23"/>
      <c r="H2727" s="23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26.25">
      <c r="A2728" s="23"/>
      <c r="B2728" s="23"/>
      <c r="C2728" s="23"/>
      <c r="D2728" s="23"/>
      <c r="E2728" s="23"/>
      <c r="F2728" s="23"/>
      <c r="G2728" s="23"/>
      <c r="H2728" s="23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26.25">
      <c r="A2729" s="23" t="s">
        <v>0</v>
      </c>
      <c r="B2729" s="23"/>
      <c r="C2729" s="23"/>
      <c r="D2729" s="23"/>
      <c r="E2729" s="23"/>
      <c r="F2729" s="23"/>
      <c r="G2729" s="23"/>
      <c r="H2729" s="23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26.25">
      <c r="A2730" s="23" t="s">
        <v>653</v>
      </c>
      <c r="B2730" s="23"/>
      <c r="C2730" s="23"/>
      <c r="D2730" s="23"/>
      <c r="E2730" s="23"/>
      <c r="F2730" s="23"/>
      <c r="G2730" s="23"/>
      <c r="H2730" s="23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26.25">
      <c r="A2731" s="23" t="s">
        <v>2</v>
      </c>
      <c r="B2731" s="23" t="s">
        <v>3</v>
      </c>
      <c r="C2731" s="23" t="s">
        <v>4</v>
      </c>
      <c r="D2731" s="23" t="s">
        <v>5</v>
      </c>
      <c r="E2731" s="23" t="s">
        <v>6</v>
      </c>
      <c r="F2731" s="23" t="s">
        <v>7</v>
      </c>
      <c r="G2731" s="23" t="s">
        <v>8</v>
      </c>
      <c r="H2731" s="23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26.25">
      <c r="A2732" s="23">
        <v>1</v>
      </c>
      <c r="B2732" s="23" t="s">
        <v>80</v>
      </c>
      <c r="C2732" s="23" t="s">
        <v>654</v>
      </c>
      <c r="D2732" s="23" t="s">
        <v>127</v>
      </c>
      <c r="E2732" s="23">
        <v>1.58</v>
      </c>
      <c r="F2732" s="29">
        <v>293000</v>
      </c>
      <c r="G2732" s="29">
        <v>462940</v>
      </c>
      <c r="H2732" s="23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6.25">
      <c r="A2733" s="23">
        <v>2</v>
      </c>
      <c r="B2733" s="23" t="s">
        <v>200</v>
      </c>
      <c r="C2733" s="23" t="s">
        <v>456</v>
      </c>
      <c r="D2733" s="23" t="s">
        <v>12</v>
      </c>
      <c r="E2733" s="23">
        <v>2</v>
      </c>
      <c r="F2733" s="29">
        <v>435000</v>
      </c>
      <c r="G2733" s="29">
        <v>870000</v>
      </c>
      <c r="H2733" s="23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26.25">
      <c r="A2734" s="23">
        <v>3</v>
      </c>
      <c r="B2734" s="23" t="s">
        <v>14</v>
      </c>
      <c r="C2734" s="23"/>
      <c r="D2734" s="23"/>
      <c r="E2734" s="23"/>
      <c r="F2734" s="23"/>
      <c r="G2734" s="23">
        <v>0</v>
      </c>
      <c r="H2734" s="23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6.25">
      <c r="A2735" s="23" t="s">
        <v>15</v>
      </c>
      <c r="B2735" s="23"/>
      <c r="C2735" s="23"/>
      <c r="D2735" s="23"/>
      <c r="E2735" s="23"/>
      <c r="F2735" s="23"/>
      <c r="G2735" s="23"/>
      <c r="H2735" s="29">
        <v>1332940</v>
      </c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6.25">
      <c r="A2736" s="23" t="s">
        <v>16</v>
      </c>
      <c r="B2736" s="23"/>
      <c r="C2736" s="23"/>
      <c r="D2736" s="23"/>
      <c r="E2736" s="23"/>
      <c r="F2736" s="23"/>
      <c r="G2736" s="23"/>
      <c r="H2736" s="29">
        <v>684940</v>
      </c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26.25">
      <c r="A2737" s="23" t="s">
        <v>17</v>
      </c>
      <c r="B2737" s="23"/>
      <c r="C2737" s="23"/>
      <c r="D2737" s="23"/>
      <c r="E2737" s="23"/>
      <c r="F2737" s="23"/>
      <c r="G2737" s="23"/>
      <c r="H2737" s="29">
        <v>649000</v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26.25">
      <c r="A2738" s="23"/>
      <c r="B2738" s="23"/>
      <c r="C2738" s="23"/>
      <c r="D2738" s="23"/>
      <c r="E2738" s="23"/>
      <c r="F2738" s="23"/>
      <c r="G2738" s="23"/>
      <c r="H2738" s="23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26.25">
      <c r="A2739" s="23"/>
      <c r="B2739" s="23"/>
      <c r="C2739" s="23"/>
      <c r="D2739" s="23"/>
      <c r="E2739" s="23"/>
      <c r="F2739" s="23"/>
      <c r="G2739" s="23"/>
      <c r="H2739" s="23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26.25">
      <c r="A2740" s="23"/>
      <c r="B2740" s="23"/>
      <c r="C2740" s="23"/>
      <c r="D2740" s="23"/>
      <c r="E2740" s="23"/>
      <c r="F2740" s="23"/>
      <c r="G2740" s="23"/>
      <c r="H2740" s="2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26.25">
      <c r="A2741" s="23"/>
      <c r="B2741" s="23"/>
      <c r="C2741" s="23"/>
      <c r="D2741" s="23"/>
      <c r="E2741" s="23"/>
      <c r="F2741" s="23"/>
      <c r="G2741" s="23"/>
      <c r="H2741" s="23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26.25">
      <c r="A2742" s="23"/>
      <c r="B2742" s="23"/>
      <c r="C2742" s="23"/>
      <c r="D2742" s="23"/>
      <c r="E2742" s="23"/>
      <c r="F2742" s="23"/>
      <c r="G2742" s="23"/>
      <c r="H2742" s="23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26.25">
      <c r="A2743" s="23" t="s">
        <v>0</v>
      </c>
      <c r="B2743" s="23"/>
      <c r="C2743" s="23"/>
      <c r="D2743" s="23"/>
      <c r="E2743" s="23"/>
      <c r="F2743" s="23"/>
      <c r="G2743" s="23"/>
      <c r="H2743" s="23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26.25">
      <c r="A2744" s="23" t="s">
        <v>655</v>
      </c>
      <c r="B2744" s="23"/>
      <c r="C2744" s="23"/>
      <c r="D2744" s="23"/>
      <c r="E2744" s="23"/>
      <c r="F2744" s="23"/>
      <c r="G2744" s="23"/>
      <c r="H2744" s="23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26.25">
      <c r="A2745" s="23" t="s">
        <v>2</v>
      </c>
      <c r="B2745" s="23" t="s">
        <v>3</v>
      </c>
      <c r="C2745" s="23" t="s">
        <v>4</v>
      </c>
      <c r="D2745" s="23" t="s">
        <v>5</v>
      </c>
      <c r="E2745" s="23" t="s">
        <v>6</v>
      </c>
      <c r="F2745" s="23" t="s">
        <v>7</v>
      </c>
      <c r="G2745" s="23" t="s">
        <v>8</v>
      </c>
      <c r="H2745" s="23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26.25">
      <c r="A2746" s="23">
        <v>1</v>
      </c>
      <c r="B2746" s="23" t="s">
        <v>603</v>
      </c>
      <c r="C2746" s="23" t="s">
        <v>656</v>
      </c>
      <c r="D2746" s="23" t="s">
        <v>127</v>
      </c>
      <c r="E2746" s="23">
        <v>2</v>
      </c>
      <c r="F2746" s="29">
        <v>293000</v>
      </c>
      <c r="G2746" s="29">
        <v>586000</v>
      </c>
      <c r="H2746" s="23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26.25">
      <c r="A2747" s="23">
        <v>2</v>
      </c>
      <c r="B2747" s="23" t="s">
        <v>58</v>
      </c>
      <c r="C2747" s="23" t="s">
        <v>657</v>
      </c>
      <c r="D2747" s="23" t="s">
        <v>12</v>
      </c>
      <c r="E2747" s="23">
        <v>1.45</v>
      </c>
      <c r="F2747" s="29">
        <v>435000</v>
      </c>
      <c r="G2747" s="29">
        <v>630750</v>
      </c>
      <c r="H2747" s="23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26.25">
      <c r="A2748" s="23">
        <v>3</v>
      </c>
      <c r="B2748" s="23" t="s">
        <v>14</v>
      </c>
      <c r="C2748" s="23"/>
      <c r="D2748" s="23"/>
      <c r="E2748" s="23"/>
      <c r="F2748" s="23"/>
      <c r="G2748" s="23">
        <v>0</v>
      </c>
      <c r="H2748" s="23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26.25">
      <c r="A2749" s="23" t="s">
        <v>15</v>
      </c>
      <c r="B2749" s="23"/>
      <c r="C2749" s="23"/>
      <c r="D2749" s="23"/>
      <c r="E2749" s="23"/>
      <c r="F2749" s="23"/>
      <c r="G2749" s="23"/>
      <c r="H2749" s="29">
        <v>1216750</v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26.25">
      <c r="A2750" s="23" t="s">
        <v>16</v>
      </c>
      <c r="B2750" s="23"/>
      <c r="C2750" s="23"/>
      <c r="D2750" s="23"/>
      <c r="E2750" s="23"/>
      <c r="F2750" s="23"/>
      <c r="G2750" s="23"/>
      <c r="H2750" s="29">
        <v>568750</v>
      </c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6.25">
      <c r="A2751" s="23" t="s">
        <v>17</v>
      </c>
      <c r="B2751" s="23"/>
      <c r="C2751" s="23"/>
      <c r="D2751" s="23"/>
      <c r="E2751" s="23"/>
      <c r="F2751" s="23"/>
      <c r="G2751" s="23"/>
      <c r="H2751" s="29">
        <v>649000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26.25">
      <c r="A2752" s="23"/>
      <c r="B2752" s="23"/>
      <c r="C2752" s="23"/>
      <c r="D2752" s="23"/>
      <c r="E2752" s="23"/>
      <c r="F2752" s="23"/>
      <c r="G2752" s="23"/>
      <c r="H2752" s="23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6.25">
      <c r="A2753" s="23"/>
      <c r="B2753" s="23"/>
      <c r="C2753" s="23"/>
      <c r="D2753" s="23"/>
      <c r="E2753" s="23"/>
      <c r="F2753" s="23"/>
      <c r="G2753" s="23"/>
      <c r="H2753" s="23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26.25">
      <c r="A2754" s="23"/>
      <c r="B2754" s="23"/>
      <c r="C2754" s="23"/>
      <c r="D2754" s="23"/>
      <c r="E2754" s="23"/>
      <c r="F2754" s="23"/>
      <c r="G2754" s="23"/>
      <c r="H2754" s="23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26.25">
      <c r="A2755" s="23"/>
      <c r="B2755" s="23"/>
      <c r="C2755" s="23"/>
      <c r="D2755" s="23"/>
      <c r="E2755" s="23"/>
      <c r="F2755" s="23"/>
      <c r="G2755" s="23"/>
      <c r="H2755" s="23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26.25">
      <c r="A2756" s="23"/>
      <c r="B2756" s="23"/>
      <c r="C2756" s="23"/>
      <c r="D2756" s="23"/>
      <c r="E2756" s="23"/>
      <c r="F2756" s="23"/>
      <c r="G2756" s="23"/>
      <c r="H2756" s="23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6.25">
      <c r="A2757" s="23"/>
      <c r="B2757" s="23"/>
      <c r="C2757" s="23"/>
      <c r="D2757" s="23"/>
      <c r="E2757" s="23"/>
      <c r="F2757" s="23"/>
      <c r="G2757" s="23"/>
      <c r="H2757" s="23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26.25">
      <c r="A2758" s="23" t="s">
        <v>0</v>
      </c>
      <c r="B2758" s="23"/>
      <c r="C2758" s="23"/>
      <c r="D2758" s="23"/>
      <c r="E2758" s="23"/>
      <c r="F2758" s="23"/>
      <c r="G2758" s="23"/>
      <c r="H2758" s="23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26.25">
      <c r="A2759" s="23" t="s">
        <v>658</v>
      </c>
      <c r="B2759" s="23"/>
      <c r="C2759" s="23"/>
      <c r="D2759" s="23"/>
      <c r="E2759" s="23"/>
      <c r="F2759" s="23"/>
      <c r="G2759" s="23"/>
      <c r="H2759" s="23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26.25">
      <c r="A2760" s="23" t="s">
        <v>2</v>
      </c>
      <c r="B2760" s="23" t="s">
        <v>3</v>
      </c>
      <c r="C2760" s="23" t="s">
        <v>4</v>
      </c>
      <c r="D2760" s="23" t="s">
        <v>5</v>
      </c>
      <c r="E2760" s="23" t="s">
        <v>6</v>
      </c>
      <c r="F2760" s="23" t="s">
        <v>7</v>
      </c>
      <c r="G2760" s="23" t="s">
        <v>8</v>
      </c>
      <c r="H2760" s="23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26.25">
      <c r="A2761" s="23">
        <v>1</v>
      </c>
      <c r="B2761" s="23" t="s">
        <v>603</v>
      </c>
      <c r="C2761" s="23" t="s">
        <v>281</v>
      </c>
      <c r="D2761" s="23" t="s">
        <v>127</v>
      </c>
      <c r="E2761" s="23">
        <v>2</v>
      </c>
      <c r="F2761" s="29">
        <v>293000</v>
      </c>
      <c r="G2761" s="29">
        <v>586000</v>
      </c>
      <c r="H2761" s="23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26.25">
      <c r="A2762" s="23">
        <v>2</v>
      </c>
      <c r="B2762" s="23" t="s">
        <v>53</v>
      </c>
      <c r="C2762" s="23" t="s">
        <v>659</v>
      </c>
      <c r="D2762" s="23" t="s">
        <v>12</v>
      </c>
      <c r="E2762" s="23">
        <v>1.5</v>
      </c>
      <c r="F2762" s="29">
        <v>435000</v>
      </c>
      <c r="G2762" s="29">
        <v>652500</v>
      </c>
      <c r="H2762" s="23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26.25">
      <c r="A2763" s="23">
        <v>3</v>
      </c>
      <c r="B2763" s="23" t="s">
        <v>14</v>
      </c>
      <c r="C2763" s="23"/>
      <c r="D2763" s="23"/>
      <c r="E2763" s="23"/>
      <c r="F2763" s="23"/>
      <c r="G2763" s="23">
        <v>0</v>
      </c>
      <c r="H2763" s="23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26.25">
      <c r="A2764" s="23" t="s">
        <v>15</v>
      </c>
      <c r="B2764" s="23"/>
      <c r="C2764" s="23"/>
      <c r="D2764" s="23"/>
      <c r="E2764" s="23"/>
      <c r="F2764" s="23"/>
      <c r="G2764" s="23"/>
      <c r="H2764" s="29">
        <v>1238500</v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26.25">
      <c r="A2765" s="23" t="s">
        <v>16</v>
      </c>
      <c r="B2765" s="23"/>
      <c r="C2765" s="23"/>
      <c r="D2765" s="23"/>
      <c r="E2765" s="23"/>
      <c r="F2765" s="23"/>
      <c r="G2765" s="23"/>
      <c r="H2765" s="29">
        <v>590500</v>
      </c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26.25">
      <c r="A2766" s="23" t="s">
        <v>17</v>
      </c>
      <c r="B2766" s="23"/>
      <c r="C2766" s="23"/>
      <c r="D2766" s="23"/>
      <c r="E2766" s="23"/>
      <c r="F2766" s="23"/>
      <c r="G2766" s="23"/>
      <c r="H2766" s="29">
        <v>649000</v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26.25">
      <c r="A2767" s="23"/>
      <c r="B2767" s="23"/>
      <c r="C2767" s="23"/>
      <c r="D2767" s="23"/>
      <c r="E2767" s="23"/>
      <c r="F2767" s="23"/>
      <c r="G2767" s="23"/>
      <c r="H2767" s="23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26.25">
      <c r="A2768" s="23"/>
      <c r="B2768" s="23"/>
      <c r="C2768" s="23"/>
      <c r="D2768" s="23"/>
      <c r="E2768" s="23"/>
      <c r="F2768" s="23"/>
      <c r="G2768" s="23"/>
      <c r="H2768" s="23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26.25">
      <c r="A2769" s="23"/>
      <c r="B2769" s="23"/>
      <c r="C2769" s="23"/>
      <c r="D2769" s="23"/>
      <c r="E2769" s="23"/>
      <c r="F2769" s="23"/>
      <c r="G2769" s="23"/>
      <c r="H2769" s="23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26.25">
      <c r="A2770" s="23"/>
      <c r="B2770" s="23"/>
      <c r="C2770" s="23"/>
      <c r="D2770" s="23"/>
      <c r="E2770" s="23"/>
      <c r="F2770" s="23"/>
      <c r="G2770" s="23"/>
      <c r="H2770" s="23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26.25">
      <c r="A2771" s="23"/>
      <c r="B2771" s="23"/>
      <c r="C2771" s="23"/>
      <c r="D2771" s="23"/>
      <c r="E2771" s="23"/>
      <c r="F2771" s="23"/>
      <c r="G2771" s="23"/>
      <c r="H2771" s="23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26.25">
      <c r="A2772" s="23"/>
      <c r="B2772" s="23"/>
      <c r="C2772" s="23"/>
      <c r="D2772" s="23"/>
      <c r="E2772" s="23"/>
      <c r="F2772" s="23"/>
      <c r="G2772" s="23"/>
      <c r="H2772" s="23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26.25">
      <c r="A2773" s="23"/>
      <c r="B2773" s="23"/>
      <c r="C2773" s="23"/>
      <c r="D2773" s="23"/>
      <c r="E2773" s="23"/>
      <c r="F2773" s="23"/>
      <c r="G2773" s="23"/>
      <c r="H2773" s="23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26.25">
      <c r="A2774" s="23" t="s">
        <v>0</v>
      </c>
      <c r="B2774" s="23"/>
      <c r="C2774" s="23"/>
      <c r="D2774" s="23"/>
      <c r="E2774" s="23"/>
      <c r="F2774" s="23"/>
      <c r="G2774" s="23"/>
      <c r="H2774" s="23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26.25">
      <c r="A2775" s="23" t="s">
        <v>660</v>
      </c>
      <c r="B2775" s="23"/>
      <c r="C2775" s="23"/>
      <c r="D2775" s="23"/>
      <c r="E2775" s="23"/>
      <c r="F2775" s="23"/>
      <c r="G2775" s="23"/>
      <c r="H2775" s="23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26.25">
      <c r="A2776" s="23" t="s">
        <v>2</v>
      </c>
      <c r="B2776" s="23" t="s">
        <v>3</v>
      </c>
      <c r="C2776" s="23" t="s">
        <v>4</v>
      </c>
      <c r="D2776" s="23" t="s">
        <v>5</v>
      </c>
      <c r="E2776" s="23" t="s">
        <v>6</v>
      </c>
      <c r="F2776" s="23" t="s">
        <v>7</v>
      </c>
      <c r="G2776" s="23" t="s">
        <v>8</v>
      </c>
      <c r="H2776" s="23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26.25">
      <c r="A2777" s="23">
        <v>1</v>
      </c>
      <c r="B2777" s="23" t="s">
        <v>661</v>
      </c>
      <c r="C2777" s="23" t="s">
        <v>662</v>
      </c>
      <c r="D2777" s="23" t="s">
        <v>127</v>
      </c>
      <c r="E2777" s="23">
        <v>0.94</v>
      </c>
      <c r="F2777" s="29">
        <v>293000</v>
      </c>
      <c r="G2777" s="29">
        <v>275420</v>
      </c>
      <c r="H2777" s="23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26.25">
      <c r="A2778" s="23">
        <v>2</v>
      </c>
      <c r="B2778" s="23" t="s">
        <v>477</v>
      </c>
      <c r="C2778" s="23" t="s">
        <v>663</v>
      </c>
      <c r="D2778" s="23" t="s">
        <v>12</v>
      </c>
      <c r="E2778" s="23">
        <v>2.6</v>
      </c>
      <c r="F2778" s="29">
        <v>435000</v>
      </c>
      <c r="G2778" s="29">
        <v>1131000</v>
      </c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26.25">
      <c r="A2779" s="23">
        <v>3</v>
      </c>
      <c r="B2779" s="23" t="s">
        <v>14</v>
      </c>
      <c r="C2779" s="23"/>
      <c r="D2779" s="23"/>
      <c r="E2779" s="23"/>
      <c r="F2779" s="23"/>
      <c r="G2779" s="23">
        <v>0</v>
      </c>
      <c r="H2779" s="23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26.25">
      <c r="A2780" s="23" t="s">
        <v>15</v>
      </c>
      <c r="B2780" s="23"/>
      <c r="C2780" s="23"/>
      <c r="D2780" s="23"/>
      <c r="E2780" s="23"/>
      <c r="F2780" s="23"/>
      <c r="G2780" s="23"/>
      <c r="H2780" s="29">
        <v>1406420</v>
      </c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26.25">
      <c r="A2781" s="23" t="s">
        <v>16</v>
      </c>
      <c r="B2781" s="23"/>
      <c r="C2781" s="23"/>
      <c r="D2781" s="23"/>
      <c r="E2781" s="23"/>
      <c r="F2781" s="23"/>
      <c r="G2781" s="23"/>
      <c r="H2781" s="29">
        <v>758420</v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26.25">
      <c r="A2782" s="23" t="s">
        <v>17</v>
      </c>
      <c r="B2782" s="23"/>
      <c r="C2782" s="23"/>
      <c r="D2782" s="23"/>
      <c r="E2782" s="23"/>
      <c r="F2782" s="23"/>
      <c r="G2782" s="23"/>
      <c r="H2782" s="29">
        <v>649000</v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26.25">
      <c r="A2783" s="23"/>
      <c r="B2783" s="23"/>
      <c r="C2783" s="23"/>
      <c r="D2783" s="23"/>
      <c r="E2783" s="23"/>
      <c r="F2783" s="23"/>
      <c r="G2783" s="23"/>
      <c r="H2783" s="23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26.25">
      <c r="A2784" s="23"/>
      <c r="B2784" s="23"/>
      <c r="C2784" s="23"/>
      <c r="D2784" s="23"/>
      <c r="E2784" s="23"/>
      <c r="F2784" s="23"/>
      <c r="G2784" s="23"/>
      <c r="H2784" s="23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26.25">
      <c r="A2785" s="23"/>
      <c r="B2785" s="23"/>
      <c r="C2785" s="23"/>
      <c r="D2785" s="23"/>
      <c r="E2785" s="23"/>
      <c r="F2785" s="23"/>
      <c r="G2785" s="23"/>
      <c r="H2785" s="23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26.25">
      <c r="A2786" s="23"/>
      <c r="B2786" s="23"/>
      <c r="C2786" s="23"/>
      <c r="D2786" s="23"/>
      <c r="E2786" s="23"/>
      <c r="F2786" s="23"/>
      <c r="G2786" s="23"/>
      <c r="H2786" s="23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26.25">
      <c r="A2787" s="23"/>
      <c r="B2787" s="23"/>
      <c r="C2787" s="23"/>
      <c r="D2787" s="23"/>
      <c r="E2787" s="23"/>
      <c r="F2787" s="23"/>
      <c r="G2787" s="23"/>
      <c r="H2787" s="23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26.25">
      <c r="A2788" s="23"/>
      <c r="B2788" s="23"/>
      <c r="C2788" s="23"/>
      <c r="D2788" s="23"/>
      <c r="E2788" s="23"/>
      <c r="F2788" s="23"/>
      <c r="G2788" s="23"/>
      <c r="H2788" s="23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26.25">
      <c r="A2789" s="23"/>
      <c r="B2789" s="23"/>
      <c r="C2789" s="23"/>
      <c r="D2789" s="23"/>
      <c r="E2789" s="23"/>
      <c r="F2789" s="23"/>
      <c r="G2789" s="23"/>
      <c r="H2789" s="23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26.25">
      <c r="A2790" s="23" t="s">
        <v>0</v>
      </c>
      <c r="B2790" s="23"/>
      <c r="C2790" s="23"/>
      <c r="D2790" s="23"/>
      <c r="E2790" s="23"/>
      <c r="F2790" s="23"/>
      <c r="G2790" s="23"/>
      <c r="H2790" s="23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26.25">
      <c r="A2791" s="23" t="s">
        <v>664</v>
      </c>
      <c r="B2791" s="23"/>
      <c r="C2791" s="23"/>
      <c r="D2791" s="23"/>
      <c r="E2791" s="23"/>
      <c r="F2791" s="23"/>
      <c r="G2791" s="23"/>
      <c r="H2791" s="23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26.25">
      <c r="A2792" s="23" t="s">
        <v>2</v>
      </c>
      <c r="B2792" s="23" t="s">
        <v>3</v>
      </c>
      <c r="C2792" s="23" t="s">
        <v>4</v>
      </c>
      <c r="D2792" s="23" t="s">
        <v>5</v>
      </c>
      <c r="E2792" s="23" t="s">
        <v>6</v>
      </c>
      <c r="F2792" s="23" t="s">
        <v>7</v>
      </c>
      <c r="G2792" s="23" t="s">
        <v>8</v>
      </c>
      <c r="H2792" s="23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26.25">
      <c r="A2793" s="23">
        <v>1</v>
      </c>
      <c r="B2793" s="23" t="s">
        <v>175</v>
      </c>
      <c r="C2793" s="23" t="s">
        <v>665</v>
      </c>
      <c r="D2793" s="23" t="s">
        <v>127</v>
      </c>
      <c r="E2793" s="23">
        <v>1.93</v>
      </c>
      <c r="F2793" s="29">
        <v>293000</v>
      </c>
      <c r="G2793" s="29">
        <v>565490</v>
      </c>
      <c r="H2793" s="23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26.25">
      <c r="A2794" s="23">
        <v>2</v>
      </c>
      <c r="B2794" s="23" t="s">
        <v>293</v>
      </c>
      <c r="C2794" s="23" t="s">
        <v>666</v>
      </c>
      <c r="D2794" s="23" t="s">
        <v>12</v>
      </c>
      <c r="E2794" s="23">
        <v>1.25</v>
      </c>
      <c r="F2794" s="29">
        <v>435000</v>
      </c>
      <c r="G2794" s="29">
        <v>543750</v>
      </c>
      <c r="H2794" s="23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26.25">
      <c r="A2795" s="23">
        <v>3</v>
      </c>
      <c r="B2795" s="23" t="s">
        <v>14</v>
      </c>
      <c r="C2795" s="23"/>
      <c r="D2795" s="23"/>
      <c r="E2795" s="23"/>
      <c r="F2795" s="23"/>
      <c r="G2795" s="23">
        <v>0</v>
      </c>
      <c r="H2795" s="23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26.25">
      <c r="A2796" s="23" t="s">
        <v>15</v>
      </c>
      <c r="B2796" s="23"/>
      <c r="C2796" s="23"/>
      <c r="D2796" s="23"/>
      <c r="E2796" s="23"/>
      <c r="F2796" s="23"/>
      <c r="G2796" s="23"/>
      <c r="H2796" s="29">
        <v>1109240</v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26.25">
      <c r="A2797" s="23" t="s">
        <v>16</v>
      </c>
      <c r="B2797" s="23"/>
      <c r="C2797" s="23"/>
      <c r="D2797" s="23"/>
      <c r="E2797" s="23"/>
      <c r="F2797" s="23"/>
      <c r="G2797" s="23"/>
      <c r="H2797" s="29">
        <v>461240</v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6.25">
      <c r="A2798" s="23" t="s">
        <v>17</v>
      </c>
      <c r="B2798" s="23"/>
      <c r="C2798" s="23"/>
      <c r="D2798" s="23"/>
      <c r="E2798" s="23"/>
      <c r="F2798" s="23"/>
      <c r="G2798" s="23"/>
      <c r="H2798" s="29">
        <v>649000</v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26.25">
      <c r="A2799" s="23"/>
      <c r="B2799" s="23"/>
      <c r="C2799" s="23"/>
      <c r="D2799" s="23"/>
      <c r="E2799" s="23"/>
      <c r="F2799" s="23"/>
      <c r="G2799" s="23"/>
      <c r="H2799" s="23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26.25">
      <c r="A2800" s="23"/>
      <c r="B2800" s="23"/>
      <c r="C2800" s="23"/>
      <c r="D2800" s="23"/>
      <c r="E2800" s="23"/>
      <c r="F2800" s="23"/>
      <c r="G2800" s="23"/>
      <c r="H2800" s="23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26.25">
      <c r="A2801" s="23"/>
      <c r="B2801" s="23"/>
      <c r="C2801" s="23"/>
      <c r="D2801" s="23"/>
      <c r="E2801" s="23"/>
      <c r="F2801" s="23"/>
      <c r="G2801" s="23"/>
      <c r="H2801" s="23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26.25">
      <c r="A2802" s="23"/>
      <c r="B2802" s="23"/>
      <c r="C2802" s="23"/>
      <c r="D2802" s="23"/>
      <c r="E2802" s="23"/>
      <c r="F2802" s="23"/>
      <c r="G2802" s="23"/>
      <c r="H2802" s="23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26.25">
      <c r="A2803" s="23"/>
      <c r="B2803" s="23"/>
      <c r="C2803" s="23"/>
      <c r="D2803" s="23"/>
      <c r="E2803" s="23"/>
      <c r="F2803" s="23"/>
      <c r="G2803" s="23"/>
      <c r="H2803" s="23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26.25">
      <c r="A2804" s="23"/>
      <c r="B2804" s="23"/>
      <c r="C2804" s="23"/>
      <c r="D2804" s="23"/>
      <c r="E2804" s="23"/>
      <c r="F2804" s="23"/>
      <c r="G2804" s="23"/>
      <c r="H2804" s="23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26.25">
      <c r="A2805" s="23"/>
      <c r="B2805" s="23"/>
      <c r="C2805" s="23"/>
      <c r="D2805" s="23"/>
      <c r="E2805" s="23"/>
      <c r="F2805" s="23"/>
      <c r="G2805" s="23"/>
      <c r="H2805" s="23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26.25">
      <c r="A2806" s="23" t="s">
        <v>0</v>
      </c>
      <c r="B2806" s="23"/>
      <c r="C2806" s="23"/>
      <c r="D2806" s="23"/>
      <c r="E2806" s="23"/>
      <c r="F2806" s="23"/>
      <c r="G2806" s="23"/>
      <c r="H2806" s="23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6.25">
      <c r="A2807" s="23" t="s">
        <v>667</v>
      </c>
      <c r="B2807" s="23"/>
      <c r="C2807" s="23"/>
      <c r="D2807" s="23"/>
      <c r="E2807" s="23"/>
      <c r="F2807" s="23"/>
      <c r="G2807" s="23"/>
      <c r="H2807" s="23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26.25">
      <c r="A2808" s="23" t="s">
        <v>2</v>
      </c>
      <c r="B2808" s="23" t="s">
        <v>3</v>
      </c>
      <c r="C2808" s="23" t="s">
        <v>4</v>
      </c>
      <c r="D2808" s="23" t="s">
        <v>5</v>
      </c>
      <c r="E2808" s="23" t="s">
        <v>6</v>
      </c>
      <c r="F2808" s="23" t="s">
        <v>7</v>
      </c>
      <c r="G2808" s="23" t="s">
        <v>8</v>
      </c>
      <c r="H2808" s="23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26.25">
      <c r="A2809" s="23">
        <v>1</v>
      </c>
      <c r="B2809" s="23" t="s">
        <v>80</v>
      </c>
      <c r="C2809" s="23" t="s">
        <v>144</v>
      </c>
      <c r="D2809" s="23" t="s">
        <v>127</v>
      </c>
      <c r="E2809" s="23">
        <v>2</v>
      </c>
      <c r="F2809" s="29">
        <v>293000</v>
      </c>
      <c r="G2809" s="29">
        <v>586000</v>
      </c>
      <c r="H2809" s="23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26.25">
      <c r="A2810" s="23">
        <v>2</v>
      </c>
      <c r="B2810" s="23" t="s">
        <v>175</v>
      </c>
      <c r="C2810" s="23" t="s">
        <v>668</v>
      </c>
      <c r="D2810" s="23" t="s">
        <v>12</v>
      </c>
      <c r="E2810" s="23">
        <v>1.4</v>
      </c>
      <c r="F2810" s="29">
        <v>435000</v>
      </c>
      <c r="G2810" s="29">
        <v>609000</v>
      </c>
      <c r="H2810" s="23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26.25">
      <c r="A2811" s="23">
        <v>3</v>
      </c>
      <c r="B2811" s="23" t="s">
        <v>14</v>
      </c>
      <c r="C2811" s="23"/>
      <c r="D2811" s="23"/>
      <c r="E2811" s="23"/>
      <c r="F2811" s="23"/>
      <c r="G2811" s="23">
        <v>0</v>
      </c>
      <c r="H2811" s="23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6.25">
      <c r="A2812" s="23" t="s">
        <v>15</v>
      </c>
      <c r="B2812" s="23"/>
      <c r="C2812" s="23"/>
      <c r="D2812" s="23"/>
      <c r="E2812" s="23"/>
      <c r="F2812" s="23"/>
      <c r="G2812" s="23"/>
      <c r="H2812" s="29">
        <v>1195000</v>
      </c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26.25">
      <c r="A2813" s="23" t="s">
        <v>16</v>
      </c>
      <c r="B2813" s="23"/>
      <c r="C2813" s="23"/>
      <c r="D2813" s="23"/>
      <c r="E2813" s="23"/>
      <c r="F2813" s="23"/>
      <c r="G2813" s="23"/>
      <c r="H2813" s="29">
        <v>547000</v>
      </c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26.25">
      <c r="A2814" s="23" t="s">
        <v>17</v>
      </c>
      <c r="B2814" s="23"/>
      <c r="C2814" s="23"/>
      <c r="D2814" s="23"/>
      <c r="E2814" s="23"/>
      <c r="F2814" s="23"/>
      <c r="G2814" s="23"/>
      <c r="H2814" s="29">
        <v>649000</v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26.25">
      <c r="A2815" s="23"/>
      <c r="B2815" s="23"/>
      <c r="C2815" s="23"/>
      <c r="D2815" s="23"/>
      <c r="E2815" s="23"/>
      <c r="F2815" s="23"/>
      <c r="G2815" s="23"/>
      <c r="H2815" s="23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26.25">
      <c r="A2816" s="23"/>
      <c r="B2816" s="23"/>
      <c r="C2816" s="23"/>
      <c r="D2816" s="23"/>
      <c r="E2816" s="23"/>
      <c r="F2816" s="23"/>
      <c r="G2816" s="23"/>
      <c r="H2816" s="2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26.25">
      <c r="A2817" s="23"/>
      <c r="B2817" s="23"/>
      <c r="C2817" s="23"/>
      <c r="D2817" s="23"/>
      <c r="E2817" s="23"/>
      <c r="F2817" s="23"/>
      <c r="G2817" s="23"/>
      <c r="H2817" s="23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26.25">
      <c r="A2818" s="23"/>
      <c r="B2818" s="23"/>
      <c r="C2818" s="23"/>
      <c r="D2818" s="23"/>
      <c r="E2818" s="23"/>
      <c r="F2818" s="23"/>
      <c r="G2818" s="23"/>
      <c r="H2818" s="23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26.25">
      <c r="A2819" s="23"/>
      <c r="B2819" s="23"/>
      <c r="C2819" s="23"/>
      <c r="D2819" s="23"/>
      <c r="E2819" s="23"/>
      <c r="F2819" s="23"/>
      <c r="G2819" s="23"/>
      <c r="H2819" s="23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26.25">
      <c r="A2820" s="23"/>
      <c r="B2820" s="23"/>
      <c r="C2820" s="23"/>
      <c r="D2820" s="23"/>
      <c r="E2820" s="23"/>
      <c r="F2820" s="23"/>
      <c r="G2820" s="23"/>
      <c r="H2820" s="23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26.25">
      <c r="A2821" s="23"/>
      <c r="B2821" s="23"/>
      <c r="C2821" s="23"/>
      <c r="D2821" s="23"/>
      <c r="E2821" s="23"/>
      <c r="F2821" s="23"/>
      <c r="G2821" s="23"/>
      <c r="H2821" s="23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26.25">
      <c r="A2822" s="23" t="s">
        <v>0</v>
      </c>
      <c r="B2822" s="23"/>
      <c r="C2822" s="23"/>
      <c r="D2822" s="23"/>
      <c r="E2822" s="23"/>
      <c r="F2822" s="23"/>
      <c r="G2822" s="23"/>
      <c r="H2822" s="23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26.25">
      <c r="A2823" s="23" t="s">
        <v>669</v>
      </c>
      <c r="B2823" s="23"/>
      <c r="C2823" s="23"/>
      <c r="D2823" s="23"/>
      <c r="E2823" s="23"/>
      <c r="F2823" s="23"/>
      <c r="G2823" s="23"/>
      <c r="H2823" s="23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26.25">
      <c r="A2824" s="23" t="s">
        <v>2</v>
      </c>
      <c r="B2824" s="23" t="s">
        <v>3</v>
      </c>
      <c r="C2824" s="23" t="s">
        <v>4</v>
      </c>
      <c r="D2824" s="23" t="s">
        <v>5</v>
      </c>
      <c r="E2824" s="23" t="s">
        <v>6</v>
      </c>
      <c r="F2824" s="23" t="s">
        <v>7</v>
      </c>
      <c r="G2824" s="23" t="s">
        <v>8</v>
      </c>
      <c r="H2824" s="23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26.25">
      <c r="A2825" s="23">
        <v>1</v>
      </c>
      <c r="B2825" s="23" t="s">
        <v>80</v>
      </c>
      <c r="C2825" s="23" t="s">
        <v>144</v>
      </c>
      <c r="D2825" s="23" t="s">
        <v>127</v>
      </c>
      <c r="E2825" s="23">
        <v>2</v>
      </c>
      <c r="F2825" s="29">
        <v>293000</v>
      </c>
      <c r="G2825" s="29">
        <v>586000</v>
      </c>
      <c r="H2825" s="23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26.25">
      <c r="A2826" s="23">
        <v>2</v>
      </c>
      <c r="B2826" s="23" t="s">
        <v>82</v>
      </c>
      <c r="C2826" s="23" t="s">
        <v>670</v>
      </c>
      <c r="D2826" s="23" t="s">
        <v>12</v>
      </c>
      <c r="E2826" s="23">
        <v>1.5</v>
      </c>
      <c r="F2826" s="29">
        <v>435000</v>
      </c>
      <c r="G2826" s="29">
        <v>652500</v>
      </c>
      <c r="H2826" s="23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26.25">
      <c r="A2827" s="23">
        <v>3</v>
      </c>
      <c r="B2827" s="23" t="s">
        <v>14</v>
      </c>
      <c r="C2827" s="23"/>
      <c r="D2827" s="23"/>
      <c r="E2827" s="23"/>
      <c r="F2827" s="23"/>
      <c r="G2827" s="23">
        <v>0</v>
      </c>
      <c r="H2827" s="23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26.25">
      <c r="A2828" s="23" t="s">
        <v>15</v>
      </c>
      <c r="B2828" s="23"/>
      <c r="C2828" s="23"/>
      <c r="D2828" s="23"/>
      <c r="E2828" s="23"/>
      <c r="F2828" s="23"/>
      <c r="G2828" s="23"/>
      <c r="H2828" s="29">
        <v>1238500</v>
      </c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26.25">
      <c r="A2829" s="23" t="s">
        <v>16</v>
      </c>
      <c r="B2829" s="23"/>
      <c r="C2829" s="23"/>
      <c r="D2829" s="23"/>
      <c r="E2829" s="23"/>
      <c r="F2829" s="23"/>
      <c r="G2829" s="23"/>
      <c r="H2829" s="29">
        <v>590500</v>
      </c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26.25">
      <c r="A2830" s="23" t="s">
        <v>17</v>
      </c>
      <c r="B2830" s="23"/>
      <c r="C2830" s="23"/>
      <c r="D2830" s="23"/>
      <c r="E2830" s="23"/>
      <c r="F2830" s="23"/>
      <c r="G2830" s="23"/>
      <c r="H2830" s="29">
        <v>649000</v>
      </c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26.25">
      <c r="A2831" s="23"/>
      <c r="B2831" s="23"/>
      <c r="C2831" s="23"/>
      <c r="D2831" s="23"/>
      <c r="E2831" s="23"/>
      <c r="F2831" s="23"/>
      <c r="G2831" s="23"/>
      <c r="H2831" s="23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26.25">
      <c r="A2832" s="23"/>
      <c r="B2832" s="23"/>
      <c r="C2832" s="23"/>
      <c r="D2832" s="23"/>
      <c r="E2832" s="23"/>
      <c r="F2832" s="23"/>
      <c r="G2832" s="23"/>
      <c r="H2832" s="23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26.25">
      <c r="A2833" s="23"/>
      <c r="B2833" s="23"/>
      <c r="C2833" s="23"/>
      <c r="D2833" s="23"/>
      <c r="E2833" s="23"/>
      <c r="F2833" s="23"/>
      <c r="G2833" s="23"/>
      <c r="H2833" s="23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26.25">
      <c r="A2834" s="23"/>
      <c r="B2834" s="23"/>
      <c r="C2834" s="23"/>
      <c r="D2834" s="23"/>
      <c r="E2834" s="23"/>
      <c r="F2834" s="23"/>
      <c r="G2834" s="23"/>
      <c r="H2834" s="23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26.25">
      <c r="A2835" s="23"/>
      <c r="B2835" s="23"/>
      <c r="C2835" s="23"/>
      <c r="D2835" s="23"/>
      <c r="E2835" s="23"/>
      <c r="F2835" s="23"/>
      <c r="G2835" s="23"/>
      <c r="H2835" s="23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26.25">
      <c r="A2836" s="23"/>
      <c r="B2836" s="23"/>
      <c r="C2836" s="23"/>
      <c r="D2836" s="23"/>
      <c r="E2836" s="23"/>
      <c r="F2836" s="23"/>
      <c r="G2836" s="23"/>
      <c r="H2836" s="23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26.25">
      <c r="A2837" s="23"/>
      <c r="B2837" s="23"/>
      <c r="C2837" s="23"/>
      <c r="D2837" s="23"/>
      <c r="E2837" s="23"/>
      <c r="F2837" s="23"/>
      <c r="G2837" s="23"/>
      <c r="H2837" s="23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26.25">
      <c r="A2838" s="23"/>
      <c r="B2838" s="23"/>
      <c r="C2838" s="23"/>
      <c r="D2838" s="23"/>
      <c r="E2838" s="23"/>
      <c r="F2838" s="23"/>
      <c r="G2838" s="23"/>
      <c r="H2838" s="23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26.25">
      <c r="A2839" s="23" t="s">
        <v>0</v>
      </c>
      <c r="B2839" s="23"/>
      <c r="C2839" s="23"/>
      <c r="D2839" s="23"/>
      <c r="E2839" s="23"/>
      <c r="F2839" s="23"/>
      <c r="G2839" s="23"/>
      <c r="H2839" s="23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26.25">
      <c r="A2840" s="23" t="s">
        <v>671</v>
      </c>
      <c r="B2840" s="23"/>
      <c r="C2840" s="23"/>
      <c r="D2840" s="23"/>
      <c r="E2840" s="23"/>
      <c r="F2840" s="23"/>
      <c r="G2840" s="23"/>
      <c r="H2840" s="23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26.25">
      <c r="A2841" s="23" t="s">
        <v>2</v>
      </c>
      <c r="B2841" s="23" t="s">
        <v>3</v>
      </c>
      <c r="C2841" s="23" t="s">
        <v>4</v>
      </c>
      <c r="D2841" s="23" t="s">
        <v>5</v>
      </c>
      <c r="E2841" s="23" t="s">
        <v>6</v>
      </c>
      <c r="F2841" s="23" t="s">
        <v>7</v>
      </c>
      <c r="G2841" s="23" t="s">
        <v>8</v>
      </c>
      <c r="H2841" s="23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26.25">
      <c r="A2842" s="23">
        <v>1</v>
      </c>
      <c r="B2842" s="23" t="s">
        <v>170</v>
      </c>
      <c r="C2842" s="23" t="s">
        <v>620</v>
      </c>
      <c r="D2842" s="23" t="s">
        <v>127</v>
      </c>
      <c r="E2842" s="23">
        <v>2</v>
      </c>
      <c r="F2842" s="29">
        <v>293000</v>
      </c>
      <c r="G2842" s="29">
        <v>586000</v>
      </c>
      <c r="H2842" s="23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6.25">
      <c r="A2843" s="23">
        <v>2</v>
      </c>
      <c r="B2843" s="23" t="s">
        <v>80</v>
      </c>
      <c r="C2843" s="23" t="s">
        <v>431</v>
      </c>
      <c r="D2843" s="23" t="s">
        <v>12</v>
      </c>
      <c r="E2843" s="23">
        <v>1.5</v>
      </c>
      <c r="F2843" s="29">
        <v>435000</v>
      </c>
      <c r="G2843" s="29">
        <v>652500</v>
      </c>
      <c r="H2843" s="23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26.25">
      <c r="A2844" s="23">
        <v>3</v>
      </c>
      <c r="B2844" s="23" t="s">
        <v>14</v>
      </c>
      <c r="C2844" s="23"/>
      <c r="D2844" s="23"/>
      <c r="E2844" s="23"/>
      <c r="F2844" s="23"/>
      <c r="G2844" s="23">
        <v>0</v>
      </c>
      <c r="H2844" s="23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26.25">
      <c r="A2845" s="23" t="s">
        <v>15</v>
      </c>
      <c r="B2845" s="23"/>
      <c r="C2845" s="23"/>
      <c r="D2845" s="23"/>
      <c r="E2845" s="23"/>
      <c r="F2845" s="23"/>
      <c r="G2845" s="23"/>
      <c r="H2845" s="29">
        <v>1238500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26.25">
      <c r="A2846" s="23" t="s">
        <v>16</v>
      </c>
      <c r="B2846" s="23"/>
      <c r="C2846" s="23"/>
      <c r="D2846" s="23"/>
      <c r="E2846" s="23"/>
      <c r="F2846" s="23"/>
      <c r="G2846" s="23"/>
      <c r="H2846" s="29">
        <v>590500</v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26.25">
      <c r="A2847" s="23" t="s">
        <v>17</v>
      </c>
      <c r="B2847" s="23"/>
      <c r="C2847" s="23"/>
      <c r="D2847" s="23"/>
      <c r="E2847" s="23"/>
      <c r="F2847" s="23"/>
      <c r="G2847" s="23"/>
      <c r="H2847" s="29">
        <v>649000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26.25">
      <c r="A2848" s="23"/>
      <c r="B2848" s="23"/>
      <c r="C2848" s="23"/>
      <c r="D2848" s="23"/>
      <c r="E2848" s="23"/>
      <c r="F2848" s="23"/>
      <c r="G2848" s="23"/>
      <c r="H2848" s="23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26.25">
      <c r="A2849" s="23"/>
      <c r="B2849" s="23"/>
      <c r="C2849" s="23"/>
      <c r="D2849" s="23"/>
      <c r="E2849" s="23"/>
      <c r="F2849" s="23"/>
      <c r="G2849" s="23"/>
      <c r="H2849" s="23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26.25">
      <c r="A2850" s="23"/>
      <c r="B2850" s="23"/>
      <c r="C2850" s="23"/>
      <c r="D2850" s="23"/>
      <c r="E2850" s="23"/>
      <c r="F2850" s="23"/>
      <c r="G2850" s="23"/>
      <c r="H2850" s="23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6.25">
      <c r="A2851" s="23"/>
      <c r="B2851" s="23"/>
      <c r="C2851" s="23"/>
      <c r="D2851" s="23"/>
      <c r="E2851" s="23"/>
      <c r="F2851" s="23"/>
      <c r="G2851" s="23"/>
      <c r="H2851" s="23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6.25">
      <c r="A2852" s="23"/>
      <c r="B2852" s="23"/>
      <c r="C2852" s="23"/>
      <c r="D2852" s="23"/>
      <c r="E2852" s="23"/>
      <c r="F2852" s="23"/>
      <c r="G2852" s="23"/>
      <c r="H2852" s="23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26.25">
      <c r="A2853" s="23"/>
      <c r="B2853" s="23"/>
      <c r="C2853" s="23"/>
      <c r="D2853" s="23"/>
      <c r="E2853" s="23"/>
      <c r="F2853" s="23"/>
      <c r="G2853" s="23"/>
      <c r="H2853" s="23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26.25">
      <c r="A2854" s="23"/>
      <c r="B2854" s="23"/>
      <c r="C2854" s="23"/>
      <c r="D2854" s="23"/>
      <c r="E2854" s="23"/>
      <c r="F2854" s="23"/>
      <c r="G2854" s="23"/>
      <c r="H2854" s="23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26.25">
      <c r="A2855" s="23"/>
      <c r="B2855" s="23"/>
      <c r="C2855" s="23"/>
      <c r="D2855" s="23"/>
      <c r="E2855" s="23"/>
      <c r="F2855" s="23"/>
      <c r="G2855" s="23"/>
      <c r="H2855" s="23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26.25">
      <c r="A2856" s="23" t="s">
        <v>0</v>
      </c>
      <c r="B2856" s="23"/>
      <c r="C2856" s="23"/>
      <c r="D2856" s="23"/>
      <c r="E2856" s="23"/>
      <c r="F2856" s="23"/>
      <c r="G2856" s="23"/>
      <c r="H2856" s="23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26.25">
      <c r="A2857" s="23" t="s">
        <v>672</v>
      </c>
      <c r="B2857" s="23"/>
      <c r="C2857" s="23"/>
      <c r="D2857" s="23"/>
      <c r="E2857" s="23"/>
      <c r="F2857" s="23"/>
      <c r="G2857" s="23"/>
      <c r="H2857" s="23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26.25">
      <c r="A2858" s="23" t="s">
        <v>2</v>
      </c>
      <c r="B2858" s="23" t="s">
        <v>3</v>
      </c>
      <c r="C2858" s="23" t="s">
        <v>4</v>
      </c>
      <c r="D2858" s="23" t="s">
        <v>5</v>
      </c>
      <c r="E2858" s="23" t="s">
        <v>6</v>
      </c>
      <c r="F2858" s="23" t="s">
        <v>7</v>
      </c>
      <c r="G2858" s="23" t="s">
        <v>8</v>
      </c>
      <c r="H2858" s="23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26.25">
      <c r="A2859" s="23">
        <v>1</v>
      </c>
      <c r="B2859" s="23" t="s">
        <v>393</v>
      </c>
      <c r="C2859" s="23" t="s">
        <v>673</v>
      </c>
      <c r="D2859" s="23" t="s">
        <v>127</v>
      </c>
      <c r="E2859" s="23">
        <v>1.55</v>
      </c>
      <c r="F2859" s="29">
        <v>293000</v>
      </c>
      <c r="G2859" s="29">
        <v>454150</v>
      </c>
      <c r="H2859" s="23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26.25">
      <c r="A2860" s="23">
        <v>2</v>
      </c>
      <c r="B2860" s="23" t="s">
        <v>80</v>
      </c>
      <c r="C2860" s="23" t="s">
        <v>674</v>
      </c>
      <c r="D2860" s="23" t="s">
        <v>12</v>
      </c>
      <c r="E2860" s="23">
        <v>2</v>
      </c>
      <c r="F2860" s="29">
        <v>435000</v>
      </c>
      <c r="G2860" s="29">
        <v>870000</v>
      </c>
      <c r="H2860" s="23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26.25">
      <c r="A2861" s="23">
        <v>3</v>
      </c>
      <c r="B2861" s="23" t="s">
        <v>14</v>
      </c>
      <c r="C2861" s="23"/>
      <c r="D2861" s="23"/>
      <c r="E2861" s="23"/>
      <c r="F2861" s="23"/>
      <c r="G2861" s="23">
        <v>0</v>
      </c>
      <c r="H2861" s="23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26.25">
      <c r="A2862" s="23" t="s">
        <v>15</v>
      </c>
      <c r="B2862" s="23"/>
      <c r="C2862" s="23"/>
      <c r="D2862" s="23"/>
      <c r="E2862" s="23"/>
      <c r="F2862" s="23"/>
      <c r="G2862" s="23"/>
      <c r="H2862" s="29">
        <v>1324150</v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26.25">
      <c r="A2863" s="23" t="s">
        <v>16</v>
      </c>
      <c r="B2863" s="23"/>
      <c r="C2863" s="23"/>
      <c r="D2863" s="23"/>
      <c r="E2863" s="23"/>
      <c r="F2863" s="23"/>
      <c r="G2863" s="23"/>
      <c r="H2863" s="29">
        <v>676150</v>
      </c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26.25">
      <c r="A2864" s="23" t="s">
        <v>17</v>
      </c>
      <c r="B2864" s="23"/>
      <c r="C2864" s="23"/>
      <c r="D2864" s="23"/>
      <c r="E2864" s="23"/>
      <c r="F2864" s="23"/>
      <c r="G2864" s="23"/>
      <c r="H2864" s="29">
        <v>649000</v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26.25">
      <c r="A2865" s="23"/>
      <c r="B2865" s="23"/>
      <c r="C2865" s="23"/>
      <c r="D2865" s="23"/>
      <c r="E2865" s="23"/>
      <c r="F2865" s="23"/>
      <c r="G2865" s="23"/>
      <c r="H2865" s="23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26.25">
      <c r="A2866" s="23"/>
      <c r="B2866" s="23"/>
      <c r="C2866" s="23"/>
      <c r="D2866" s="23"/>
      <c r="E2866" s="23"/>
      <c r="F2866" s="23"/>
      <c r="G2866" s="23"/>
      <c r="H2866" s="23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26.25">
      <c r="A2867" s="23"/>
      <c r="B2867" s="23"/>
      <c r="C2867" s="23"/>
      <c r="D2867" s="23"/>
      <c r="E2867" s="23"/>
      <c r="F2867" s="23"/>
      <c r="G2867" s="23"/>
      <c r="H2867" s="23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26.25">
      <c r="A2868" s="23"/>
      <c r="B2868" s="23"/>
      <c r="C2868" s="23"/>
      <c r="D2868" s="23"/>
      <c r="E2868" s="23"/>
      <c r="F2868" s="23"/>
      <c r="G2868" s="23"/>
      <c r="H2868" s="23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26.25">
      <c r="A2869" s="23"/>
      <c r="B2869" s="23"/>
      <c r="C2869" s="23"/>
      <c r="D2869" s="23"/>
      <c r="E2869" s="23"/>
      <c r="F2869" s="23"/>
      <c r="G2869" s="23"/>
      <c r="H2869" s="23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26.25">
      <c r="A2870" s="23"/>
      <c r="B2870" s="23"/>
      <c r="C2870" s="23"/>
      <c r="D2870" s="23"/>
      <c r="E2870" s="23"/>
      <c r="F2870" s="23"/>
      <c r="G2870" s="23"/>
      <c r="H2870" s="23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26.25">
      <c r="A2871" s="23"/>
      <c r="B2871" s="23"/>
      <c r="C2871" s="23"/>
      <c r="D2871" s="23"/>
      <c r="E2871" s="23"/>
      <c r="F2871" s="23"/>
      <c r="G2871" s="23"/>
      <c r="H2871" s="23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26.25">
      <c r="A2872" s="23"/>
      <c r="B2872" s="23"/>
      <c r="C2872" s="23"/>
      <c r="D2872" s="23"/>
      <c r="E2872" s="23"/>
      <c r="F2872" s="23"/>
      <c r="G2872" s="23"/>
      <c r="H2872" s="23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26.25">
      <c r="A2873" s="23" t="s">
        <v>0</v>
      </c>
      <c r="B2873" s="23"/>
      <c r="C2873" s="23"/>
      <c r="D2873" s="23"/>
      <c r="E2873" s="23"/>
      <c r="F2873" s="23"/>
      <c r="G2873" s="23"/>
      <c r="H2873" s="23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26.25">
      <c r="A2874" s="23" t="s">
        <v>675</v>
      </c>
      <c r="B2874" s="23"/>
      <c r="C2874" s="23"/>
      <c r="D2874" s="23"/>
      <c r="E2874" s="23"/>
      <c r="F2874" s="23"/>
      <c r="G2874" s="23"/>
      <c r="H2874" s="23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26.25">
      <c r="A2875" s="23" t="s">
        <v>2</v>
      </c>
      <c r="B2875" s="23" t="s">
        <v>3</v>
      </c>
      <c r="C2875" s="23" t="s">
        <v>4</v>
      </c>
      <c r="D2875" s="23" t="s">
        <v>5</v>
      </c>
      <c r="E2875" s="23" t="s">
        <v>6</v>
      </c>
      <c r="F2875" s="23" t="s">
        <v>7</v>
      </c>
      <c r="G2875" s="23" t="s">
        <v>8</v>
      </c>
      <c r="H2875" s="23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26.25">
      <c r="A2876" s="23">
        <v>1</v>
      </c>
      <c r="B2876" s="23" t="s">
        <v>329</v>
      </c>
      <c r="C2876" s="23" t="s">
        <v>676</v>
      </c>
      <c r="D2876" s="23" t="s">
        <v>127</v>
      </c>
      <c r="E2876" s="23">
        <v>2</v>
      </c>
      <c r="F2876" s="29">
        <v>293000</v>
      </c>
      <c r="G2876" s="29">
        <v>586000</v>
      </c>
      <c r="H2876" s="23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26.25">
      <c r="A2877" s="23">
        <v>2</v>
      </c>
      <c r="B2877" s="23" t="s">
        <v>175</v>
      </c>
      <c r="C2877" s="23" t="s">
        <v>677</v>
      </c>
      <c r="D2877" s="23" t="s">
        <v>12</v>
      </c>
      <c r="E2877" s="23">
        <v>1.94</v>
      </c>
      <c r="F2877" s="29">
        <v>435000</v>
      </c>
      <c r="G2877" s="29">
        <v>843900</v>
      </c>
      <c r="H2877" s="23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26.25">
      <c r="A2878" s="23">
        <v>3</v>
      </c>
      <c r="B2878" s="23" t="s">
        <v>14</v>
      </c>
      <c r="C2878" s="23"/>
      <c r="D2878" s="23"/>
      <c r="E2878" s="23"/>
      <c r="F2878" s="23"/>
      <c r="G2878" s="23">
        <v>0</v>
      </c>
      <c r="H2878" s="23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26.25">
      <c r="A2879" s="23" t="s">
        <v>15</v>
      </c>
      <c r="B2879" s="23"/>
      <c r="C2879" s="23"/>
      <c r="D2879" s="23"/>
      <c r="E2879" s="23"/>
      <c r="F2879" s="23"/>
      <c r="G2879" s="23"/>
      <c r="H2879" s="29">
        <v>1429900</v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26.25">
      <c r="A2880" s="23" t="s">
        <v>16</v>
      </c>
      <c r="B2880" s="23"/>
      <c r="C2880" s="23"/>
      <c r="D2880" s="23"/>
      <c r="E2880" s="23"/>
      <c r="F2880" s="23"/>
      <c r="G2880" s="23"/>
      <c r="H2880" s="29">
        <v>781900</v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26.25">
      <c r="A2881" s="23" t="s">
        <v>17</v>
      </c>
      <c r="B2881" s="23"/>
      <c r="C2881" s="23"/>
      <c r="D2881" s="23"/>
      <c r="E2881" s="23"/>
      <c r="F2881" s="23"/>
      <c r="G2881" s="23"/>
      <c r="H2881" s="29">
        <v>649000</v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26.25">
      <c r="A2882" s="23"/>
      <c r="B2882" s="23"/>
      <c r="C2882" s="23"/>
      <c r="D2882" s="23"/>
      <c r="E2882" s="23"/>
      <c r="F2882" s="23"/>
      <c r="G2882" s="23"/>
      <c r="H2882" s="2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26.25">
      <c r="A2883" s="23"/>
      <c r="B2883" s="23"/>
      <c r="C2883" s="23"/>
      <c r="D2883" s="23"/>
      <c r="E2883" s="23"/>
      <c r="F2883" s="23"/>
      <c r="G2883" s="23"/>
      <c r="H2883" s="23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26.25">
      <c r="A2884" s="23"/>
      <c r="B2884" s="23"/>
      <c r="C2884" s="23"/>
      <c r="D2884" s="23"/>
      <c r="E2884" s="23"/>
      <c r="F2884" s="23"/>
      <c r="G2884" s="23"/>
      <c r="H2884" s="23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26.25">
      <c r="A2885" s="23"/>
      <c r="B2885" s="23"/>
      <c r="C2885" s="23"/>
      <c r="D2885" s="23"/>
      <c r="E2885" s="23"/>
      <c r="F2885" s="23"/>
      <c r="G2885" s="23"/>
      <c r="H2885" s="23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26.25">
      <c r="A2886" s="23"/>
      <c r="B2886" s="23"/>
      <c r="C2886" s="23"/>
      <c r="D2886" s="23"/>
      <c r="E2886" s="23"/>
      <c r="F2886" s="23"/>
      <c r="G2886" s="23"/>
      <c r="H2886" s="23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26.25">
      <c r="A2887" s="23"/>
      <c r="B2887" s="23"/>
      <c r="C2887" s="23"/>
      <c r="D2887" s="23"/>
      <c r="E2887" s="23"/>
      <c r="F2887" s="23"/>
      <c r="G2887" s="23"/>
      <c r="H2887" s="23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26.25">
      <c r="A2888" s="23" t="s">
        <v>0</v>
      </c>
      <c r="B2888" s="23"/>
      <c r="C2888" s="23"/>
      <c r="D2888" s="23"/>
      <c r="E2888" s="23"/>
      <c r="F2888" s="23"/>
      <c r="G2888" s="23"/>
      <c r="H2888" s="23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26.25">
      <c r="A2889" s="23" t="s">
        <v>678</v>
      </c>
      <c r="B2889" s="23"/>
      <c r="C2889" s="23"/>
      <c r="D2889" s="23"/>
      <c r="E2889" s="23"/>
      <c r="F2889" s="23"/>
      <c r="G2889" s="23"/>
      <c r="H2889" s="23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26.25">
      <c r="A2890" s="23" t="s">
        <v>2</v>
      </c>
      <c r="B2890" s="23" t="s">
        <v>3</v>
      </c>
      <c r="C2890" s="23" t="s">
        <v>4</v>
      </c>
      <c r="D2890" s="23" t="s">
        <v>5</v>
      </c>
      <c r="E2890" s="23" t="s">
        <v>6</v>
      </c>
      <c r="F2890" s="23" t="s">
        <v>7</v>
      </c>
      <c r="G2890" s="23" t="s">
        <v>8</v>
      </c>
      <c r="H2890" s="23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26.25">
      <c r="A2891" s="23">
        <v>1</v>
      </c>
      <c r="B2891" s="23" t="s">
        <v>159</v>
      </c>
      <c r="C2891" s="23" t="s">
        <v>679</v>
      </c>
      <c r="D2891" s="23" t="s">
        <v>127</v>
      </c>
      <c r="E2891" s="23">
        <v>2</v>
      </c>
      <c r="F2891" s="29">
        <v>293000</v>
      </c>
      <c r="G2891" s="29">
        <v>586000</v>
      </c>
      <c r="H2891" s="23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26.25">
      <c r="A2892" s="23">
        <v>2</v>
      </c>
      <c r="B2892" s="23" t="s">
        <v>82</v>
      </c>
      <c r="C2892" s="23" t="s">
        <v>680</v>
      </c>
      <c r="D2892" s="23" t="s">
        <v>12</v>
      </c>
      <c r="E2892" s="23">
        <v>1.5</v>
      </c>
      <c r="F2892" s="29">
        <v>435000</v>
      </c>
      <c r="G2892" s="29">
        <v>652500</v>
      </c>
      <c r="H2892" s="23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26.25">
      <c r="A2893" s="23">
        <v>3</v>
      </c>
      <c r="B2893" s="23" t="s">
        <v>14</v>
      </c>
      <c r="C2893" s="23"/>
      <c r="D2893" s="23"/>
      <c r="E2893" s="23"/>
      <c r="F2893" s="23"/>
      <c r="G2893" s="23">
        <v>0</v>
      </c>
      <c r="H2893" s="23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26.25">
      <c r="A2894" s="23" t="s">
        <v>15</v>
      </c>
      <c r="B2894" s="23"/>
      <c r="C2894" s="23"/>
      <c r="D2894" s="23"/>
      <c r="E2894" s="23"/>
      <c r="F2894" s="23"/>
      <c r="G2894" s="23"/>
      <c r="H2894" s="29">
        <v>1238500</v>
      </c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26.25">
      <c r="A2895" s="23" t="s">
        <v>16</v>
      </c>
      <c r="B2895" s="23"/>
      <c r="C2895" s="23"/>
      <c r="D2895" s="23"/>
      <c r="E2895" s="23"/>
      <c r="F2895" s="23"/>
      <c r="G2895" s="23"/>
      <c r="H2895" s="29">
        <v>590500</v>
      </c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26.25">
      <c r="A2896" s="23" t="s">
        <v>17</v>
      </c>
      <c r="B2896" s="23"/>
      <c r="C2896" s="23"/>
      <c r="D2896" s="23"/>
      <c r="E2896" s="23"/>
      <c r="F2896" s="23"/>
      <c r="G2896" s="23"/>
      <c r="H2896" s="29">
        <v>649000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26.25">
      <c r="A2897" s="23"/>
      <c r="B2897" s="23"/>
      <c r="C2897" s="23"/>
      <c r="D2897" s="23"/>
      <c r="E2897" s="23"/>
      <c r="F2897" s="23"/>
      <c r="G2897" s="23"/>
      <c r="H2897" s="23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26.25">
      <c r="A2898" s="23"/>
      <c r="B2898" s="23"/>
      <c r="C2898" s="23"/>
      <c r="D2898" s="23"/>
      <c r="E2898" s="23"/>
      <c r="F2898" s="23"/>
      <c r="G2898" s="23"/>
      <c r="H2898" s="2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26.25">
      <c r="A2899" s="23"/>
      <c r="B2899" s="23"/>
      <c r="C2899" s="23"/>
      <c r="D2899" s="23"/>
      <c r="E2899" s="23"/>
      <c r="F2899" s="23"/>
      <c r="G2899" s="23"/>
      <c r="H2899" s="23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26.25">
      <c r="A2900" s="23"/>
      <c r="B2900" s="23"/>
      <c r="C2900" s="23"/>
      <c r="D2900" s="23"/>
      <c r="E2900" s="23"/>
      <c r="F2900" s="23"/>
      <c r="G2900" s="23"/>
      <c r="H2900" s="23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26.25">
      <c r="A2901" s="23"/>
      <c r="B2901" s="23"/>
      <c r="C2901" s="23"/>
      <c r="D2901" s="23"/>
      <c r="E2901" s="23"/>
      <c r="F2901" s="23"/>
      <c r="G2901" s="23"/>
      <c r="H2901" s="23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26.25">
      <c r="A2902" s="23"/>
      <c r="B2902" s="23"/>
      <c r="C2902" s="23"/>
      <c r="D2902" s="23"/>
      <c r="E2902" s="23"/>
      <c r="F2902" s="23"/>
      <c r="G2902" s="23"/>
      <c r="H2902" s="23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26.25">
      <c r="A2903" s="23" t="s">
        <v>0</v>
      </c>
      <c r="B2903" s="23"/>
      <c r="C2903" s="23"/>
      <c r="D2903" s="23"/>
      <c r="E2903" s="23"/>
      <c r="F2903" s="23"/>
      <c r="G2903" s="23"/>
      <c r="H2903" s="23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26.25">
      <c r="A2904" s="23" t="s">
        <v>681</v>
      </c>
      <c r="B2904" s="23"/>
      <c r="C2904" s="23"/>
      <c r="D2904" s="23"/>
      <c r="E2904" s="23"/>
      <c r="F2904" s="23"/>
      <c r="G2904" s="23"/>
      <c r="H2904" s="23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26.25">
      <c r="A2905" s="23" t="s">
        <v>2</v>
      </c>
      <c r="B2905" s="23" t="s">
        <v>3</v>
      </c>
      <c r="C2905" s="23" t="s">
        <v>4</v>
      </c>
      <c r="D2905" s="23" t="s">
        <v>5</v>
      </c>
      <c r="E2905" s="23" t="s">
        <v>6</v>
      </c>
      <c r="F2905" s="23" t="s">
        <v>7</v>
      </c>
      <c r="G2905" s="23" t="s">
        <v>8</v>
      </c>
      <c r="H2905" s="23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26.25">
      <c r="A2906" s="23">
        <v>1</v>
      </c>
      <c r="B2906" s="23" t="s">
        <v>159</v>
      </c>
      <c r="C2906" s="23" t="s">
        <v>679</v>
      </c>
      <c r="D2906" s="23" t="s">
        <v>127</v>
      </c>
      <c r="E2906" s="23">
        <v>2</v>
      </c>
      <c r="F2906" s="29">
        <v>293000</v>
      </c>
      <c r="G2906" s="29">
        <v>586000</v>
      </c>
      <c r="H2906" s="23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26.25">
      <c r="A2907" s="23">
        <v>2</v>
      </c>
      <c r="B2907" s="23" t="s">
        <v>53</v>
      </c>
      <c r="C2907" s="23" t="s">
        <v>682</v>
      </c>
      <c r="D2907" s="23" t="s">
        <v>12</v>
      </c>
      <c r="E2907" s="23">
        <v>1.45</v>
      </c>
      <c r="F2907" s="29">
        <v>435000</v>
      </c>
      <c r="G2907" s="29">
        <v>630750</v>
      </c>
      <c r="H2907" s="23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26.25">
      <c r="A2908" s="23">
        <v>3</v>
      </c>
      <c r="B2908" s="23" t="s">
        <v>14</v>
      </c>
      <c r="C2908" s="23"/>
      <c r="D2908" s="23"/>
      <c r="E2908" s="23"/>
      <c r="F2908" s="23"/>
      <c r="G2908" s="23">
        <v>0</v>
      </c>
      <c r="H2908" s="23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26.25">
      <c r="A2909" s="23" t="s">
        <v>15</v>
      </c>
      <c r="B2909" s="23"/>
      <c r="C2909" s="23"/>
      <c r="D2909" s="23"/>
      <c r="E2909" s="23"/>
      <c r="F2909" s="23"/>
      <c r="G2909" s="23"/>
      <c r="H2909" s="29">
        <v>1216750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26.25">
      <c r="A2910" s="23" t="s">
        <v>16</v>
      </c>
      <c r="B2910" s="23"/>
      <c r="C2910" s="23"/>
      <c r="D2910" s="23"/>
      <c r="E2910" s="23"/>
      <c r="F2910" s="23"/>
      <c r="G2910" s="23"/>
      <c r="H2910" s="29">
        <v>568750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26.25">
      <c r="A2911" s="23" t="s">
        <v>17</v>
      </c>
      <c r="B2911" s="23"/>
      <c r="C2911" s="23"/>
      <c r="D2911" s="23"/>
      <c r="E2911" s="23"/>
      <c r="F2911" s="23"/>
      <c r="G2911" s="23"/>
      <c r="H2911" s="29">
        <v>649000</v>
      </c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26.25">
      <c r="A2912" s="23"/>
      <c r="B2912" s="23"/>
      <c r="C2912" s="23"/>
      <c r="D2912" s="23"/>
      <c r="E2912" s="23"/>
      <c r="F2912" s="23"/>
      <c r="G2912" s="23"/>
      <c r="H2912" s="23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26.25">
      <c r="A2913" s="23"/>
      <c r="B2913" s="23"/>
      <c r="C2913" s="23"/>
      <c r="D2913" s="23"/>
      <c r="E2913" s="23"/>
      <c r="F2913" s="23"/>
      <c r="G2913" s="23"/>
      <c r="H2913" s="23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26.25">
      <c r="A2914" s="23"/>
      <c r="B2914" s="23"/>
      <c r="C2914" s="23"/>
      <c r="D2914" s="23"/>
      <c r="E2914" s="23"/>
      <c r="F2914" s="23"/>
      <c r="G2914" s="23"/>
      <c r="H2914" s="23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26.25">
      <c r="A2915" s="23"/>
      <c r="B2915" s="23"/>
      <c r="C2915" s="23"/>
      <c r="D2915" s="23"/>
      <c r="E2915" s="23"/>
      <c r="F2915" s="23"/>
      <c r="G2915" s="23"/>
      <c r="H2915" s="23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26.25">
      <c r="A2916" s="23"/>
      <c r="B2916" s="23"/>
      <c r="C2916" s="23"/>
      <c r="D2916" s="23"/>
      <c r="E2916" s="23"/>
      <c r="F2916" s="23"/>
      <c r="G2916" s="23"/>
      <c r="H2916" s="23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26.25">
      <c r="A2917" s="23" t="s">
        <v>0</v>
      </c>
      <c r="B2917" s="23"/>
      <c r="C2917" s="23"/>
      <c r="D2917" s="23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26.25">
      <c r="A2918" s="23" t="s">
        <v>683</v>
      </c>
      <c r="B2918" s="23"/>
      <c r="C2918" s="23"/>
      <c r="D2918" s="23"/>
      <c r="E2918" s="23"/>
      <c r="F2918" s="23"/>
      <c r="G2918" s="23"/>
      <c r="H2918" s="23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26.25">
      <c r="A2919" s="23" t="s">
        <v>2</v>
      </c>
      <c r="B2919" s="23" t="s">
        <v>3</v>
      </c>
      <c r="C2919" s="23" t="s">
        <v>4</v>
      </c>
      <c r="D2919" s="23" t="s">
        <v>5</v>
      </c>
      <c r="E2919" s="23" t="s">
        <v>6</v>
      </c>
      <c r="F2919" s="23" t="s">
        <v>7</v>
      </c>
      <c r="G2919" s="23" t="s">
        <v>8</v>
      </c>
      <c r="H2919" s="23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26.25">
      <c r="A2920" s="23">
        <v>1</v>
      </c>
      <c r="B2920" s="23" t="s">
        <v>170</v>
      </c>
      <c r="C2920" s="23" t="s">
        <v>684</v>
      </c>
      <c r="D2920" s="23" t="s">
        <v>127</v>
      </c>
      <c r="E2920" s="23">
        <v>3</v>
      </c>
      <c r="F2920" s="29">
        <v>293000</v>
      </c>
      <c r="G2920" s="29">
        <v>879000</v>
      </c>
      <c r="H2920" s="23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26.25">
      <c r="A2921" s="23">
        <v>2</v>
      </c>
      <c r="B2921" s="23" t="s">
        <v>685</v>
      </c>
      <c r="C2921" s="23" t="s">
        <v>686</v>
      </c>
      <c r="D2921" s="23" t="s">
        <v>12</v>
      </c>
      <c r="E2921" s="23">
        <v>0.8</v>
      </c>
      <c r="F2921" s="29">
        <v>435000</v>
      </c>
      <c r="G2921" s="29">
        <v>348000</v>
      </c>
      <c r="H2921" s="23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26.25">
      <c r="A2922" s="23">
        <v>3</v>
      </c>
      <c r="B2922" s="23" t="s">
        <v>14</v>
      </c>
      <c r="C2922" s="23"/>
      <c r="D2922" s="23"/>
      <c r="E2922" s="23"/>
      <c r="F2922" s="23"/>
      <c r="G2922" s="23">
        <v>0</v>
      </c>
      <c r="H2922" s="23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26.25">
      <c r="A2923" s="23" t="s">
        <v>15</v>
      </c>
      <c r="B2923" s="23"/>
      <c r="C2923" s="23"/>
      <c r="D2923" s="23"/>
      <c r="E2923" s="23"/>
      <c r="F2923" s="23"/>
      <c r="G2923" s="23"/>
      <c r="H2923" s="29">
        <v>1227000</v>
      </c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26.25">
      <c r="A2924" s="23" t="s">
        <v>16</v>
      </c>
      <c r="B2924" s="23"/>
      <c r="C2924" s="23"/>
      <c r="D2924" s="23"/>
      <c r="E2924" s="23"/>
      <c r="F2924" s="23"/>
      <c r="G2924" s="23"/>
      <c r="H2924" s="29">
        <v>579000</v>
      </c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26.25">
      <c r="A2925" s="23" t="s">
        <v>17</v>
      </c>
      <c r="B2925" s="23"/>
      <c r="C2925" s="23"/>
      <c r="D2925" s="23"/>
      <c r="E2925" s="23"/>
      <c r="F2925" s="23"/>
      <c r="G2925" s="23"/>
      <c r="H2925" s="29">
        <v>649000</v>
      </c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26.25">
      <c r="A2926" s="23"/>
      <c r="B2926" s="23"/>
      <c r="C2926" s="23"/>
      <c r="D2926" s="23"/>
      <c r="E2926" s="23"/>
      <c r="F2926" s="23"/>
      <c r="G2926" s="23"/>
      <c r="H2926" s="23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26.25">
      <c r="A2927" s="23"/>
      <c r="B2927" s="23"/>
      <c r="C2927" s="23"/>
      <c r="D2927" s="23"/>
      <c r="E2927" s="23"/>
      <c r="F2927" s="23"/>
      <c r="G2927" s="23"/>
      <c r="H2927" s="23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26.25">
      <c r="A2928" s="23"/>
      <c r="B2928" s="23"/>
      <c r="C2928" s="23"/>
      <c r="D2928" s="23"/>
      <c r="E2928" s="23"/>
      <c r="F2928" s="23"/>
      <c r="G2928" s="23"/>
      <c r="H2928" s="23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26.25">
      <c r="A2929" s="23"/>
      <c r="B2929" s="23"/>
      <c r="C2929" s="23"/>
      <c r="D2929" s="23"/>
      <c r="E2929" s="23"/>
      <c r="F2929" s="23"/>
      <c r="G2929" s="23"/>
      <c r="H2929" s="23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26.25">
      <c r="A2930" s="23"/>
      <c r="B2930" s="23"/>
      <c r="C2930" s="23"/>
      <c r="D2930" s="23"/>
      <c r="E2930" s="23"/>
      <c r="F2930" s="23"/>
      <c r="G2930" s="23"/>
      <c r="H2930" s="23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26.25">
      <c r="A2931" s="23"/>
      <c r="B2931" s="23"/>
      <c r="C2931" s="23"/>
      <c r="D2931" s="23"/>
      <c r="E2931" s="23"/>
      <c r="F2931" s="23"/>
      <c r="G2931" s="23"/>
      <c r="H2931" s="23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26.25">
      <c r="A2932" s="23" t="s">
        <v>0</v>
      </c>
      <c r="B2932" s="23"/>
      <c r="C2932" s="23"/>
      <c r="D2932" s="23"/>
      <c r="E2932" s="23"/>
      <c r="F2932" s="23"/>
      <c r="G2932" s="23"/>
      <c r="H2932" s="23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26.25">
      <c r="A2933" s="23" t="s">
        <v>687</v>
      </c>
      <c r="B2933" s="23"/>
      <c r="C2933" s="23"/>
      <c r="D2933" s="23"/>
      <c r="E2933" s="23"/>
      <c r="F2933" s="23"/>
      <c r="G2933" s="23"/>
      <c r="H2933" s="23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26.25">
      <c r="A2934" s="23" t="s">
        <v>2</v>
      </c>
      <c r="B2934" s="23" t="s">
        <v>3</v>
      </c>
      <c r="C2934" s="23" t="s">
        <v>4</v>
      </c>
      <c r="D2934" s="23" t="s">
        <v>5</v>
      </c>
      <c r="E2934" s="23" t="s">
        <v>6</v>
      </c>
      <c r="F2934" s="23" t="s">
        <v>7</v>
      </c>
      <c r="G2934" s="23" t="s">
        <v>8</v>
      </c>
      <c r="H2934" s="23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26.25">
      <c r="A2935" s="23">
        <v>1</v>
      </c>
      <c r="B2935" s="23" t="s">
        <v>85</v>
      </c>
      <c r="C2935" s="23" t="s">
        <v>688</v>
      </c>
      <c r="D2935" s="23" t="s">
        <v>127</v>
      </c>
      <c r="E2935" s="23">
        <v>2</v>
      </c>
      <c r="F2935" s="29">
        <v>293000</v>
      </c>
      <c r="G2935" s="29">
        <v>586000</v>
      </c>
      <c r="H2935" s="23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26.25">
      <c r="A2936" s="23">
        <v>2</v>
      </c>
      <c r="B2936" s="23" t="s">
        <v>119</v>
      </c>
      <c r="C2936" s="23" t="s">
        <v>689</v>
      </c>
      <c r="D2936" s="23" t="s">
        <v>12</v>
      </c>
      <c r="E2936" s="23">
        <v>1.52</v>
      </c>
      <c r="F2936" s="29">
        <v>435000</v>
      </c>
      <c r="G2936" s="29">
        <v>661200</v>
      </c>
      <c r="H2936" s="23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26.25">
      <c r="A2937" s="23">
        <v>3</v>
      </c>
      <c r="B2937" s="23" t="s">
        <v>14</v>
      </c>
      <c r="C2937" s="23"/>
      <c r="D2937" s="23"/>
      <c r="E2937" s="23"/>
      <c r="F2937" s="23"/>
      <c r="G2937" s="23">
        <v>0</v>
      </c>
      <c r="H2937" s="23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26.25">
      <c r="A2938" s="23" t="s">
        <v>15</v>
      </c>
      <c r="B2938" s="23"/>
      <c r="C2938" s="23"/>
      <c r="D2938" s="23"/>
      <c r="E2938" s="23"/>
      <c r="F2938" s="23"/>
      <c r="G2938" s="23"/>
      <c r="H2938" s="29">
        <v>1247200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26.25">
      <c r="A2939" s="23" t="s">
        <v>16</v>
      </c>
      <c r="B2939" s="23"/>
      <c r="C2939" s="23"/>
      <c r="D2939" s="23"/>
      <c r="E2939" s="23"/>
      <c r="F2939" s="23"/>
      <c r="G2939" s="23"/>
      <c r="H2939" s="29">
        <v>599200</v>
      </c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26.25">
      <c r="A2940" s="23" t="s">
        <v>17</v>
      </c>
      <c r="B2940" s="23"/>
      <c r="C2940" s="23"/>
      <c r="D2940" s="23"/>
      <c r="E2940" s="23"/>
      <c r="F2940" s="23"/>
      <c r="G2940" s="23"/>
      <c r="H2940" s="29">
        <v>649000</v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26.25">
      <c r="A2941" s="23"/>
      <c r="B2941" s="23"/>
      <c r="C2941" s="23"/>
      <c r="D2941" s="23"/>
      <c r="E2941" s="23"/>
      <c r="F2941" s="23"/>
      <c r="G2941" s="23"/>
      <c r="H2941" s="23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26.25">
      <c r="A2942" s="23"/>
      <c r="B2942" s="23"/>
      <c r="C2942" s="23"/>
      <c r="D2942" s="23"/>
      <c r="E2942" s="23"/>
      <c r="F2942" s="23"/>
      <c r="G2942" s="23"/>
      <c r="H2942" s="23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26.25">
      <c r="A2943" s="23"/>
      <c r="B2943" s="23"/>
      <c r="C2943" s="23"/>
      <c r="D2943" s="23"/>
      <c r="E2943" s="23"/>
      <c r="F2943" s="23"/>
      <c r="G2943" s="23"/>
      <c r="H2943" s="23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26.25">
      <c r="A2944" s="23"/>
      <c r="B2944" s="23"/>
      <c r="C2944" s="23"/>
      <c r="D2944" s="23"/>
      <c r="E2944" s="23"/>
      <c r="F2944" s="23"/>
      <c r="G2944" s="23"/>
      <c r="H2944" s="23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26.25">
      <c r="A2945" s="23"/>
      <c r="B2945" s="23"/>
      <c r="C2945" s="23"/>
      <c r="D2945" s="23"/>
      <c r="E2945" s="23"/>
      <c r="F2945" s="23"/>
      <c r="G2945" s="23"/>
      <c r="H2945" s="23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26.25">
      <c r="A2946" s="23" t="s">
        <v>0</v>
      </c>
      <c r="B2946" s="23"/>
      <c r="C2946" s="23"/>
      <c r="D2946" s="23"/>
      <c r="E2946" s="23"/>
      <c r="F2946" s="23"/>
      <c r="G2946" s="23"/>
      <c r="H2946" s="23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26.25">
      <c r="A2947" s="23" t="s">
        <v>690</v>
      </c>
      <c r="B2947" s="23"/>
      <c r="C2947" s="23"/>
      <c r="D2947" s="23"/>
      <c r="E2947" s="23"/>
      <c r="F2947" s="23"/>
      <c r="G2947" s="23"/>
      <c r="H2947" s="23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26.25">
      <c r="A2948" s="23" t="s">
        <v>2</v>
      </c>
      <c r="B2948" s="23" t="s">
        <v>3</v>
      </c>
      <c r="C2948" s="23" t="s">
        <v>4</v>
      </c>
      <c r="D2948" s="23" t="s">
        <v>5</v>
      </c>
      <c r="E2948" s="23" t="s">
        <v>6</v>
      </c>
      <c r="F2948" s="23" t="s">
        <v>7</v>
      </c>
      <c r="G2948" s="23" t="s">
        <v>8</v>
      </c>
      <c r="H2948" s="23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26.25">
      <c r="A2949" s="23">
        <v>1</v>
      </c>
      <c r="B2949" s="23" t="s">
        <v>159</v>
      </c>
      <c r="C2949" s="23" t="s">
        <v>691</v>
      </c>
      <c r="D2949" s="23" t="s">
        <v>127</v>
      </c>
      <c r="E2949" s="23">
        <v>2</v>
      </c>
      <c r="F2949" s="29">
        <v>293000</v>
      </c>
      <c r="G2949" s="29">
        <v>586000</v>
      </c>
      <c r="H2949" s="23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26.25">
      <c r="A2950" s="23">
        <v>2</v>
      </c>
      <c r="B2950" s="23" t="s">
        <v>692</v>
      </c>
      <c r="C2950" s="23" t="s">
        <v>693</v>
      </c>
      <c r="D2950" s="23" t="s">
        <v>12</v>
      </c>
      <c r="E2950" s="23">
        <v>1.7</v>
      </c>
      <c r="F2950" s="29">
        <v>435000</v>
      </c>
      <c r="G2950" s="29">
        <v>739500</v>
      </c>
      <c r="H2950" s="23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26.25">
      <c r="A2951" s="23">
        <v>3</v>
      </c>
      <c r="B2951" s="23" t="s">
        <v>14</v>
      </c>
      <c r="C2951" s="23"/>
      <c r="D2951" s="23"/>
      <c r="E2951" s="23"/>
      <c r="F2951" s="23"/>
      <c r="G2951" s="23">
        <v>0</v>
      </c>
      <c r="H2951" s="23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26.25">
      <c r="A2952" s="23" t="s">
        <v>15</v>
      </c>
      <c r="B2952" s="23"/>
      <c r="C2952" s="23"/>
      <c r="D2952" s="23"/>
      <c r="E2952" s="23"/>
      <c r="F2952" s="23"/>
      <c r="G2952" s="23"/>
      <c r="H2952" s="29">
        <v>1325500</v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26.25">
      <c r="A2953" s="23" t="s">
        <v>16</v>
      </c>
      <c r="B2953" s="23"/>
      <c r="C2953" s="23"/>
      <c r="D2953" s="23"/>
      <c r="E2953" s="23"/>
      <c r="F2953" s="23"/>
      <c r="G2953" s="23"/>
      <c r="H2953" s="29">
        <v>677500</v>
      </c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26.25">
      <c r="A2954" s="23" t="s">
        <v>17</v>
      </c>
      <c r="B2954" s="23"/>
      <c r="C2954" s="23"/>
      <c r="D2954" s="23"/>
      <c r="E2954" s="23"/>
      <c r="F2954" s="23"/>
      <c r="G2954" s="23"/>
      <c r="H2954" s="29">
        <v>649000</v>
      </c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26.25">
      <c r="A2955" s="23"/>
      <c r="B2955" s="23"/>
      <c r="C2955" s="23"/>
      <c r="D2955" s="23"/>
      <c r="E2955" s="23"/>
      <c r="F2955" s="23"/>
      <c r="G2955" s="23"/>
      <c r="H2955" s="23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26.25">
      <c r="A2956" s="23"/>
      <c r="B2956" s="23"/>
      <c r="C2956" s="23"/>
      <c r="D2956" s="23"/>
      <c r="E2956" s="23"/>
      <c r="F2956" s="23"/>
      <c r="G2956" s="23"/>
      <c r="H2956" s="23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26.25">
      <c r="A2957" s="23"/>
      <c r="B2957" s="23"/>
      <c r="C2957" s="23"/>
      <c r="D2957" s="23"/>
      <c r="E2957" s="23"/>
      <c r="F2957" s="23"/>
      <c r="G2957" s="23"/>
      <c r="H2957" s="23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26.25">
      <c r="A2958" s="23"/>
      <c r="B2958" s="23"/>
      <c r="C2958" s="23"/>
      <c r="D2958" s="23"/>
      <c r="E2958" s="23"/>
      <c r="F2958" s="23"/>
      <c r="G2958" s="23"/>
      <c r="H2958" s="23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26.25">
      <c r="A2959" s="23"/>
      <c r="B2959" s="23"/>
      <c r="C2959" s="23"/>
      <c r="D2959" s="23"/>
      <c r="E2959" s="23"/>
      <c r="F2959" s="23"/>
      <c r="G2959" s="23"/>
      <c r="H2959" s="23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26.25">
      <c r="A2960" s="23"/>
      <c r="B2960" s="23"/>
      <c r="C2960" s="23"/>
      <c r="D2960" s="23"/>
      <c r="E2960" s="23"/>
      <c r="F2960" s="23"/>
      <c r="G2960" s="23"/>
      <c r="H2960" s="23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26.25">
      <c r="A2961" s="23" t="s">
        <v>0</v>
      </c>
      <c r="B2961" s="23"/>
      <c r="C2961" s="23"/>
      <c r="D2961" s="23"/>
      <c r="E2961" s="23"/>
      <c r="F2961" s="23"/>
      <c r="G2961" s="23"/>
      <c r="H2961" s="23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26.25">
      <c r="A2962" s="23" t="s">
        <v>694</v>
      </c>
      <c r="B2962" s="23"/>
      <c r="C2962" s="23"/>
      <c r="D2962" s="23"/>
      <c r="E2962" s="23"/>
      <c r="F2962" s="23"/>
      <c r="G2962" s="23"/>
      <c r="H2962" s="23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26.25">
      <c r="A2963" s="23" t="s">
        <v>2</v>
      </c>
      <c r="B2963" s="23" t="s">
        <v>3</v>
      </c>
      <c r="C2963" s="23" t="s">
        <v>4</v>
      </c>
      <c r="D2963" s="23" t="s">
        <v>5</v>
      </c>
      <c r="E2963" s="23" t="s">
        <v>6</v>
      </c>
      <c r="F2963" s="23" t="s">
        <v>7</v>
      </c>
      <c r="G2963" s="23" t="s">
        <v>8</v>
      </c>
      <c r="H2963" s="23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26.25">
      <c r="A2964" s="23">
        <v>1</v>
      </c>
      <c r="B2964" s="23" t="s">
        <v>159</v>
      </c>
      <c r="C2964" s="23" t="s">
        <v>695</v>
      </c>
      <c r="D2964" s="23" t="s">
        <v>127</v>
      </c>
      <c r="E2964" s="23">
        <v>2.2400000000000002</v>
      </c>
      <c r="F2964" s="29">
        <v>293000</v>
      </c>
      <c r="G2964" s="29">
        <v>656320</v>
      </c>
      <c r="H2964" s="23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26.25">
      <c r="A2965" s="23">
        <v>2</v>
      </c>
      <c r="B2965" s="23" t="s">
        <v>206</v>
      </c>
      <c r="C2965" s="23" t="s">
        <v>696</v>
      </c>
      <c r="D2965" s="23" t="s">
        <v>12</v>
      </c>
      <c r="E2965" s="23">
        <v>1.27</v>
      </c>
      <c r="F2965" s="29">
        <v>435000</v>
      </c>
      <c r="G2965" s="29">
        <v>552450</v>
      </c>
      <c r="H2965" s="23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26.25">
      <c r="A2966" s="23">
        <v>3</v>
      </c>
      <c r="B2966" s="23" t="s">
        <v>14</v>
      </c>
      <c r="C2966" s="23"/>
      <c r="D2966" s="23"/>
      <c r="E2966" s="23"/>
      <c r="F2966" s="23"/>
      <c r="G2966" s="23">
        <v>0</v>
      </c>
      <c r="H2966" s="23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26.25">
      <c r="A2967" s="23" t="s">
        <v>15</v>
      </c>
      <c r="B2967" s="23"/>
      <c r="C2967" s="23"/>
      <c r="D2967" s="23"/>
      <c r="E2967" s="23"/>
      <c r="F2967" s="23"/>
      <c r="G2967" s="23"/>
      <c r="H2967" s="29">
        <v>1208770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26.25">
      <c r="A2968" s="23" t="s">
        <v>16</v>
      </c>
      <c r="B2968" s="23"/>
      <c r="C2968" s="23"/>
      <c r="D2968" s="23"/>
      <c r="E2968" s="23"/>
      <c r="F2968" s="23"/>
      <c r="G2968" s="23"/>
      <c r="H2968" s="29">
        <v>560770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26.25">
      <c r="A2969" s="23" t="s">
        <v>17</v>
      </c>
      <c r="B2969" s="23"/>
      <c r="C2969" s="23"/>
      <c r="D2969" s="23"/>
      <c r="E2969" s="23"/>
      <c r="F2969" s="23"/>
      <c r="G2969" s="23"/>
      <c r="H2969" s="29">
        <v>649000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26.25">
      <c r="A2970" s="23"/>
      <c r="B2970" s="23"/>
      <c r="C2970" s="23"/>
      <c r="D2970" s="23"/>
      <c r="E2970" s="23"/>
      <c r="F2970" s="23"/>
      <c r="G2970" s="23"/>
      <c r="H2970" s="23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26.25">
      <c r="A2971" s="23"/>
      <c r="B2971" s="23"/>
      <c r="C2971" s="23"/>
      <c r="D2971" s="23"/>
      <c r="E2971" s="23"/>
      <c r="F2971" s="23"/>
      <c r="G2971" s="23"/>
      <c r="H2971" s="23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26.25">
      <c r="A2972" s="23"/>
      <c r="B2972" s="23"/>
      <c r="C2972" s="23"/>
      <c r="D2972" s="23"/>
      <c r="E2972" s="23"/>
      <c r="F2972" s="23"/>
      <c r="G2972" s="23"/>
      <c r="H2972" s="23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26.25">
      <c r="A2973" s="23"/>
      <c r="B2973" s="23"/>
      <c r="C2973" s="23"/>
      <c r="D2973" s="23"/>
      <c r="E2973" s="23"/>
      <c r="F2973" s="23"/>
      <c r="G2973" s="23"/>
      <c r="H2973" s="23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26.25">
      <c r="A2974" s="23"/>
      <c r="B2974" s="23"/>
      <c r="C2974" s="23"/>
      <c r="D2974" s="23"/>
      <c r="E2974" s="23"/>
      <c r="F2974" s="23"/>
      <c r="G2974" s="23"/>
      <c r="H2974" s="23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26.25">
      <c r="A2975" s="23"/>
      <c r="B2975" s="23"/>
      <c r="C2975" s="23"/>
      <c r="D2975" s="23"/>
      <c r="E2975" s="23"/>
      <c r="F2975" s="23"/>
      <c r="G2975" s="23"/>
      <c r="H2975" s="23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26.25">
      <c r="A2976" s="23"/>
      <c r="B2976" s="23"/>
      <c r="C2976" s="23"/>
      <c r="D2976" s="23"/>
      <c r="E2976" s="23"/>
      <c r="F2976" s="23"/>
      <c r="G2976" s="23"/>
      <c r="H2976" s="23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26.25">
      <c r="A2977" s="23"/>
      <c r="B2977" s="23"/>
      <c r="C2977" s="23"/>
      <c r="D2977" s="23"/>
      <c r="E2977" s="23"/>
      <c r="F2977" s="23"/>
      <c r="G2977" s="23"/>
      <c r="H2977" s="23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26.25">
      <c r="A2978" s="23"/>
      <c r="B2978" s="23"/>
      <c r="C2978" s="23"/>
      <c r="D2978" s="23"/>
      <c r="E2978" s="23"/>
      <c r="F2978" s="23"/>
      <c r="G2978" s="23"/>
      <c r="H2978" s="23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26.25">
      <c r="A2979" s="23" t="s">
        <v>0</v>
      </c>
      <c r="B2979" s="23"/>
      <c r="C2979" s="23"/>
      <c r="D2979" s="23"/>
      <c r="E2979" s="23"/>
      <c r="F2979" s="23"/>
      <c r="G2979" s="23"/>
      <c r="H2979" s="23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26.25">
      <c r="A2980" s="23" t="s">
        <v>697</v>
      </c>
      <c r="B2980" s="23"/>
      <c r="C2980" s="23"/>
      <c r="D2980" s="23"/>
      <c r="E2980" s="23"/>
      <c r="F2980" s="23"/>
      <c r="G2980" s="23"/>
      <c r="H2980" s="23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26.25">
      <c r="A2981" s="23" t="s">
        <v>2</v>
      </c>
      <c r="B2981" s="23" t="s">
        <v>3</v>
      </c>
      <c r="C2981" s="23" t="s">
        <v>4</v>
      </c>
      <c r="D2981" s="23" t="s">
        <v>5</v>
      </c>
      <c r="E2981" s="23" t="s">
        <v>6</v>
      </c>
      <c r="F2981" s="23" t="s">
        <v>7</v>
      </c>
      <c r="G2981" s="23" t="s">
        <v>8</v>
      </c>
      <c r="H2981" s="23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26.25">
      <c r="A2982" s="23">
        <v>1</v>
      </c>
      <c r="B2982" s="23" t="s">
        <v>698</v>
      </c>
      <c r="C2982" s="23" t="s">
        <v>699</v>
      </c>
      <c r="D2982" s="23" t="s">
        <v>127</v>
      </c>
      <c r="E2982" s="23">
        <v>2</v>
      </c>
      <c r="F2982" s="29">
        <v>293000</v>
      </c>
      <c r="G2982" s="29">
        <v>586000</v>
      </c>
      <c r="H2982" s="23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26.25">
      <c r="A2983" s="23">
        <v>2</v>
      </c>
      <c r="B2983" s="23" t="s">
        <v>53</v>
      </c>
      <c r="C2983" s="23" t="s">
        <v>700</v>
      </c>
      <c r="D2983" s="23" t="s">
        <v>12</v>
      </c>
      <c r="E2983" s="23">
        <v>1.53</v>
      </c>
      <c r="F2983" s="29">
        <v>435000</v>
      </c>
      <c r="G2983" s="29">
        <v>665550</v>
      </c>
      <c r="H2983" s="23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26.25">
      <c r="A2984" s="23">
        <v>3</v>
      </c>
      <c r="B2984" s="23" t="s">
        <v>14</v>
      </c>
      <c r="C2984" s="23"/>
      <c r="D2984" s="23"/>
      <c r="E2984" s="23"/>
      <c r="F2984" s="23"/>
      <c r="G2984" s="23">
        <v>0</v>
      </c>
      <c r="H2984" s="23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26.25">
      <c r="A2985" s="23" t="s">
        <v>15</v>
      </c>
      <c r="B2985" s="23"/>
      <c r="C2985" s="23"/>
      <c r="D2985" s="23"/>
      <c r="E2985" s="23"/>
      <c r="F2985" s="23"/>
      <c r="G2985" s="23"/>
      <c r="H2985" s="29">
        <v>1251550</v>
      </c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26.25">
      <c r="A2986" s="23" t="s">
        <v>16</v>
      </c>
      <c r="B2986" s="23"/>
      <c r="C2986" s="23"/>
      <c r="D2986" s="23"/>
      <c r="E2986" s="23"/>
      <c r="F2986" s="23"/>
      <c r="G2986" s="23"/>
      <c r="H2986" s="29">
        <v>603550</v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26.25">
      <c r="A2987" s="23" t="s">
        <v>17</v>
      </c>
      <c r="B2987" s="23"/>
      <c r="C2987" s="23"/>
      <c r="D2987" s="23"/>
      <c r="E2987" s="23"/>
      <c r="F2987" s="23"/>
      <c r="G2987" s="23"/>
      <c r="H2987" s="29">
        <v>649000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26.25">
      <c r="A2988" s="23"/>
      <c r="B2988" s="23"/>
      <c r="C2988" s="23"/>
      <c r="D2988" s="23"/>
      <c r="E2988" s="23"/>
      <c r="F2988" s="23"/>
      <c r="G2988" s="23"/>
      <c r="H2988" s="23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26.25">
      <c r="A2989" s="23"/>
      <c r="B2989" s="23"/>
      <c r="C2989" s="23"/>
      <c r="D2989" s="23"/>
      <c r="E2989" s="23"/>
      <c r="F2989" s="23"/>
      <c r="G2989" s="23"/>
      <c r="H2989" s="23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26.25">
      <c r="A2990" s="23"/>
      <c r="B2990" s="23"/>
      <c r="C2990" s="23"/>
      <c r="D2990" s="23"/>
      <c r="E2990" s="23"/>
      <c r="F2990" s="23"/>
      <c r="G2990" s="23"/>
      <c r="H2990" s="23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26.25">
      <c r="A2991" s="23"/>
      <c r="B2991" s="23"/>
      <c r="C2991" s="23"/>
      <c r="D2991" s="23"/>
      <c r="E2991" s="23"/>
      <c r="F2991" s="23"/>
      <c r="G2991" s="23"/>
      <c r="H2991" s="23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26.25">
      <c r="A2992" s="23"/>
      <c r="B2992" s="23"/>
      <c r="C2992" s="23"/>
      <c r="D2992" s="23"/>
      <c r="E2992" s="23"/>
      <c r="F2992" s="23"/>
      <c r="G2992" s="23"/>
      <c r="H2992" s="23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26.25">
      <c r="A2993" s="23"/>
      <c r="B2993" s="23"/>
      <c r="C2993" s="23"/>
      <c r="D2993" s="23"/>
      <c r="E2993" s="23"/>
      <c r="F2993" s="23"/>
      <c r="G2993" s="23"/>
      <c r="H2993" s="23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26.25">
      <c r="A2994" s="23"/>
      <c r="B2994" s="23"/>
      <c r="C2994" s="23"/>
      <c r="D2994" s="23"/>
      <c r="E2994" s="23"/>
      <c r="F2994" s="23"/>
      <c r="G2994" s="23"/>
      <c r="H2994" s="23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26.25">
      <c r="A2995" s="23" t="s">
        <v>0</v>
      </c>
      <c r="B2995" s="23"/>
      <c r="C2995" s="23"/>
      <c r="D2995" s="23"/>
      <c r="E2995" s="23"/>
      <c r="F2995" s="23"/>
      <c r="G2995" s="23"/>
      <c r="H2995" s="23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26.25">
      <c r="A2996" s="23" t="s">
        <v>701</v>
      </c>
      <c r="B2996" s="23"/>
      <c r="C2996" s="23"/>
      <c r="D2996" s="23"/>
      <c r="E2996" s="23"/>
      <c r="F2996" s="23"/>
      <c r="G2996" s="23"/>
      <c r="H2996" s="2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26.25">
      <c r="A2997" s="23" t="s">
        <v>2</v>
      </c>
      <c r="B2997" s="23" t="s">
        <v>3</v>
      </c>
      <c r="C2997" s="23" t="s">
        <v>4</v>
      </c>
      <c r="D2997" s="23" t="s">
        <v>5</v>
      </c>
      <c r="E2997" s="23" t="s">
        <v>6</v>
      </c>
      <c r="F2997" s="23" t="s">
        <v>7</v>
      </c>
      <c r="G2997" s="23" t="s">
        <v>8</v>
      </c>
      <c r="H2997" s="23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26.25">
      <c r="A2998" s="23">
        <v>1</v>
      </c>
      <c r="B2998" s="23" t="s">
        <v>93</v>
      </c>
      <c r="C2998" s="23" t="s">
        <v>431</v>
      </c>
      <c r="D2998" s="23" t="s">
        <v>127</v>
      </c>
      <c r="E2998" s="23">
        <v>2</v>
      </c>
      <c r="F2998" s="29">
        <v>293000</v>
      </c>
      <c r="G2998" s="29">
        <v>586000</v>
      </c>
      <c r="H2998" s="23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26.25">
      <c r="A2999" s="23">
        <v>2</v>
      </c>
      <c r="B2999" s="23" t="s">
        <v>68</v>
      </c>
      <c r="C2999" s="23" t="s">
        <v>386</v>
      </c>
      <c r="D2999" s="23" t="s">
        <v>12</v>
      </c>
      <c r="E2999" s="23">
        <v>1.2</v>
      </c>
      <c r="F2999" s="29">
        <v>435000</v>
      </c>
      <c r="G2999" s="29">
        <v>522000</v>
      </c>
      <c r="H2999" s="23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26.25">
      <c r="A3000" s="23">
        <v>3</v>
      </c>
      <c r="B3000" s="23" t="s">
        <v>14</v>
      </c>
      <c r="C3000" s="23"/>
      <c r="D3000" s="23"/>
      <c r="E3000" s="23"/>
      <c r="F3000" s="23"/>
      <c r="G3000" s="23">
        <v>0</v>
      </c>
      <c r="H3000" s="23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26.25">
      <c r="A3001" s="23" t="s">
        <v>15</v>
      </c>
      <c r="B3001" s="23"/>
      <c r="C3001" s="23"/>
      <c r="D3001" s="23"/>
      <c r="E3001" s="23"/>
      <c r="F3001" s="23"/>
      <c r="G3001" s="23"/>
      <c r="H3001" s="29">
        <v>1108000</v>
      </c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26.25">
      <c r="A3002" s="23" t="s">
        <v>16</v>
      </c>
      <c r="B3002" s="23"/>
      <c r="C3002" s="23"/>
      <c r="D3002" s="23"/>
      <c r="E3002" s="23"/>
      <c r="F3002" s="23"/>
      <c r="G3002" s="23"/>
      <c r="H3002" s="29">
        <v>460000</v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26.25">
      <c r="A3003" s="23" t="s">
        <v>17</v>
      </c>
      <c r="B3003" s="23"/>
      <c r="C3003" s="23"/>
      <c r="D3003" s="23"/>
      <c r="E3003" s="23"/>
      <c r="F3003" s="23"/>
      <c r="G3003" s="23"/>
      <c r="H3003" s="29">
        <v>649000</v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26.25">
      <c r="A3004" s="23"/>
      <c r="B3004" s="23"/>
      <c r="C3004" s="23"/>
      <c r="D3004" s="23"/>
      <c r="E3004" s="23"/>
      <c r="F3004" s="23"/>
      <c r="G3004" s="23"/>
      <c r="H3004" s="23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26.25">
      <c r="A3005" s="23"/>
      <c r="B3005" s="23"/>
      <c r="C3005" s="23"/>
      <c r="D3005" s="23"/>
      <c r="E3005" s="23"/>
      <c r="F3005" s="23"/>
      <c r="G3005" s="23"/>
      <c r="H3005" s="23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26.25">
      <c r="A3006" s="23"/>
      <c r="B3006" s="23"/>
      <c r="C3006" s="23"/>
      <c r="D3006" s="23"/>
      <c r="E3006" s="23"/>
      <c r="F3006" s="23"/>
      <c r="G3006" s="23"/>
      <c r="H3006" s="23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26.25">
      <c r="A3007" s="23"/>
      <c r="B3007" s="23"/>
      <c r="C3007" s="23"/>
      <c r="D3007" s="23"/>
      <c r="E3007" s="23"/>
      <c r="F3007" s="23"/>
      <c r="G3007" s="23"/>
      <c r="H3007" s="23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26.25">
      <c r="A3008" s="23"/>
      <c r="B3008" s="23"/>
      <c r="C3008" s="23"/>
      <c r="D3008" s="23"/>
      <c r="E3008" s="23"/>
      <c r="F3008" s="23"/>
      <c r="G3008" s="23"/>
      <c r="H3008" s="23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26.25">
      <c r="A3009" s="23" t="s">
        <v>0</v>
      </c>
      <c r="B3009" s="23"/>
      <c r="C3009" s="23"/>
      <c r="D3009" s="23"/>
      <c r="E3009" s="23"/>
      <c r="F3009" s="23"/>
      <c r="G3009" s="23"/>
      <c r="H3009" s="23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26.25">
      <c r="A3010" s="23" t="s">
        <v>702</v>
      </c>
      <c r="B3010" s="23"/>
      <c r="C3010" s="23"/>
      <c r="D3010" s="23"/>
      <c r="E3010" s="23"/>
      <c r="F3010" s="23"/>
      <c r="G3010" s="23"/>
      <c r="H3010" s="23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26.25">
      <c r="A3011" s="23" t="s">
        <v>2</v>
      </c>
      <c r="B3011" s="23" t="s">
        <v>3</v>
      </c>
      <c r="C3011" s="23" t="s">
        <v>4</v>
      </c>
      <c r="D3011" s="23" t="s">
        <v>5</v>
      </c>
      <c r="E3011" s="23" t="s">
        <v>6</v>
      </c>
      <c r="F3011" s="23" t="s">
        <v>7</v>
      </c>
      <c r="G3011" s="23" t="s">
        <v>8</v>
      </c>
      <c r="H3011" s="23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26.25">
      <c r="A3012" s="23">
        <v>1</v>
      </c>
      <c r="B3012" s="23" t="s">
        <v>703</v>
      </c>
      <c r="C3012" s="23" t="s">
        <v>704</v>
      </c>
      <c r="D3012" s="23" t="s">
        <v>127</v>
      </c>
      <c r="E3012" s="23">
        <v>1.46</v>
      </c>
      <c r="F3012" s="29">
        <v>293000</v>
      </c>
      <c r="G3012" s="29">
        <v>427780</v>
      </c>
      <c r="H3012" s="23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26.25">
      <c r="A3013" s="23">
        <v>2</v>
      </c>
      <c r="B3013" s="23" t="s">
        <v>170</v>
      </c>
      <c r="C3013" s="23" t="s">
        <v>705</v>
      </c>
      <c r="D3013" s="23" t="s">
        <v>12</v>
      </c>
      <c r="E3013" s="23">
        <v>1.65</v>
      </c>
      <c r="F3013" s="29">
        <v>435000</v>
      </c>
      <c r="G3013" s="29">
        <v>717750</v>
      </c>
      <c r="H3013" s="23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26.25">
      <c r="A3014" s="23">
        <v>3</v>
      </c>
      <c r="B3014" s="23" t="s">
        <v>14</v>
      </c>
      <c r="C3014" s="23"/>
      <c r="D3014" s="23"/>
      <c r="E3014" s="23"/>
      <c r="F3014" s="23"/>
      <c r="G3014" s="23">
        <v>0</v>
      </c>
      <c r="H3014" s="23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26.25">
      <c r="A3015" s="23" t="s">
        <v>15</v>
      </c>
      <c r="B3015" s="23"/>
      <c r="C3015" s="23"/>
      <c r="D3015" s="23"/>
      <c r="E3015" s="23"/>
      <c r="F3015" s="23"/>
      <c r="G3015" s="23"/>
      <c r="H3015" s="29">
        <v>1145530</v>
      </c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26.25">
      <c r="A3016" s="23" t="s">
        <v>16</v>
      </c>
      <c r="B3016" s="23"/>
      <c r="C3016" s="23"/>
      <c r="D3016" s="23"/>
      <c r="E3016" s="23"/>
      <c r="F3016" s="23"/>
      <c r="G3016" s="23"/>
      <c r="H3016" s="29">
        <v>497530</v>
      </c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26.25">
      <c r="A3017" s="23" t="s">
        <v>17</v>
      </c>
      <c r="B3017" s="23"/>
      <c r="C3017" s="23"/>
      <c r="D3017" s="23"/>
      <c r="E3017" s="23"/>
      <c r="F3017" s="23"/>
      <c r="G3017" s="23"/>
      <c r="H3017" s="29">
        <v>649000</v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26.25">
      <c r="A3018" s="23"/>
      <c r="B3018" s="23"/>
      <c r="C3018" s="23"/>
      <c r="D3018" s="23"/>
      <c r="E3018" s="23"/>
      <c r="F3018" s="23"/>
      <c r="G3018" s="23"/>
      <c r="H3018" s="23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26.25">
      <c r="A3019" s="23"/>
      <c r="B3019" s="23"/>
      <c r="C3019" s="23"/>
      <c r="D3019" s="23"/>
      <c r="E3019" s="23"/>
      <c r="F3019" s="23"/>
      <c r="G3019" s="23"/>
      <c r="H3019" s="23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26.25">
      <c r="A3020" s="23"/>
      <c r="B3020" s="23"/>
      <c r="C3020" s="23"/>
      <c r="D3020" s="23"/>
      <c r="E3020" s="23"/>
      <c r="F3020" s="23"/>
      <c r="G3020" s="23"/>
      <c r="H3020" s="23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26.25">
      <c r="A3021" s="23"/>
      <c r="B3021" s="23"/>
      <c r="C3021" s="23"/>
      <c r="D3021" s="23"/>
      <c r="E3021" s="23"/>
      <c r="F3021" s="23"/>
      <c r="G3021" s="23"/>
      <c r="H3021" s="23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26.25">
      <c r="A3022" s="23"/>
      <c r="B3022" s="23"/>
      <c r="C3022" s="23"/>
      <c r="D3022" s="23"/>
      <c r="E3022" s="23"/>
      <c r="F3022" s="23"/>
      <c r="G3022" s="23"/>
      <c r="H3022" s="23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26.25">
      <c r="A3023" s="23"/>
      <c r="B3023" s="23"/>
      <c r="C3023" s="23"/>
      <c r="D3023" s="23"/>
      <c r="E3023" s="23"/>
      <c r="F3023" s="23"/>
      <c r="G3023" s="23"/>
      <c r="H3023" s="23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26.25">
      <c r="A3024" s="23"/>
      <c r="B3024" s="23"/>
      <c r="C3024" s="23"/>
      <c r="D3024" s="23"/>
      <c r="E3024" s="23"/>
      <c r="F3024" s="23"/>
      <c r="G3024" s="23"/>
      <c r="H3024" s="23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26.25">
      <c r="A3025" s="23" t="s">
        <v>0</v>
      </c>
      <c r="B3025" s="23"/>
      <c r="C3025" s="23"/>
      <c r="D3025" s="23"/>
      <c r="E3025" s="23"/>
      <c r="F3025" s="23"/>
      <c r="G3025" s="23"/>
      <c r="H3025" s="23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26.25">
      <c r="A3026" s="23" t="s">
        <v>706</v>
      </c>
      <c r="B3026" s="23"/>
      <c r="C3026" s="23"/>
      <c r="D3026" s="23"/>
      <c r="E3026" s="23"/>
      <c r="F3026" s="23"/>
      <c r="G3026" s="23"/>
      <c r="H3026" s="23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26.25">
      <c r="A3027" s="23" t="s">
        <v>2</v>
      </c>
      <c r="B3027" s="23" t="s">
        <v>3</v>
      </c>
      <c r="C3027" s="23" t="s">
        <v>4</v>
      </c>
      <c r="D3027" s="23" t="s">
        <v>5</v>
      </c>
      <c r="E3027" s="23" t="s">
        <v>6</v>
      </c>
      <c r="F3027" s="23" t="s">
        <v>7</v>
      </c>
      <c r="G3027" s="23" t="s">
        <v>8</v>
      </c>
      <c r="H3027" s="23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26.25">
      <c r="A3028" s="23">
        <v>1</v>
      </c>
      <c r="B3028" s="23" t="s">
        <v>80</v>
      </c>
      <c r="C3028" s="23" t="s">
        <v>447</v>
      </c>
      <c r="D3028" s="23" t="s">
        <v>127</v>
      </c>
      <c r="E3028" s="23">
        <v>2</v>
      </c>
      <c r="F3028" s="29">
        <v>293000</v>
      </c>
      <c r="G3028" s="29">
        <v>586000</v>
      </c>
      <c r="H3028" s="23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26.25">
      <c r="A3029" s="23">
        <v>2</v>
      </c>
      <c r="B3029" s="23" t="s">
        <v>393</v>
      </c>
      <c r="C3029" s="23" t="s">
        <v>707</v>
      </c>
      <c r="D3029" s="23" t="s">
        <v>12</v>
      </c>
      <c r="E3029" s="23">
        <v>1.5</v>
      </c>
      <c r="F3029" s="29">
        <v>435000</v>
      </c>
      <c r="G3029" s="29">
        <v>652500</v>
      </c>
      <c r="H3029" s="23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26.25">
      <c r="A3030" s="23">
        <v>3</v>
      </c>
      <c r="B3030" s="23" t="s">
        <v>14</v>
      </c>
      <c r="C3030" s="23"/>
      <c r="D3030" s="23"/>
      <c r="E3030" s="23"/>
      <c r="F3030" s="23"/>
      <c r="G3030" s="23">
        <v>0</v>
      </c>
      <c r="H3030" s="23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26.25">
      <c r="A3031" s="23" t="s">
        <v>15</v>
      </c>
      <c r="B3031" s="23"/>
      <c r="C3031" s="23"/>
      <c r="D3031" s="23"/>
      <c r="E3031" s="23"/>
      <c r="F3031" s="23"/>
      <c r="G3031" s="23"/>
      <c r="H3031" s="29">
        <v>1238500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26.25">
      <c r="A3032" s="23" t="s">
        <v>16</v>
      </c>
      <c r="B3032" s="23"/>
      <c r="C3032" s="23"/>
      <c r="D3032" s="23"/>
      <c r="E3032" s="23"/>
      <c r="F3032" s="23"/>
      <c r="G3032" s="23"/>
      <c r="H3032" s="29">
        <v>590500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26.25">
      <c r="A3033" s="23" t="s">
        <v>17</v>
      </c>
      <c r="B3033" s="23"/>
      <c r="C3033" s="23"/>
      <c r="D3033" s="23"/>
      <c r="E3033" s="23"/>
      <c r="F3033" s="23"/>
      <c r="G3033" s="23"/>
      <c r="H3033" s="29">
        <v>649000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26.25">
      <c r="A3034" s="23"/>
      <c r="B3034" s="23"/>
      <c r="C3034" s="23"/>
      <c r="D3034" s="23"/>
      <c r="E3034" s="23"/>
      <c r="F3034" s="23"/>
      <c r="G3034" s="23"/>
      <c r="H3034" s="23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26.25">
      <c r="A3035" s="23"/>
      <c r="B3035" s="23"/>
      <c r="C3035" s="23"/>
      <c r="D3035" s="23"/>
      <c r="E3035" s="23"/>
      <c r="F3035" s="23"/>
      <c r="G3035" s="23"/>
      <c r="H3035" s="23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26.25">
      <c r="A3036" s="23"/>
      <c r="B3036" s="23"/>
      <c r="C3036" s="23"/>
      <c r="D3036" s="23"/>
      <c r="E3036" s="23"/>
      <c r="F3036" s="23"/>
      <c r="G3036" s="23"/>
      <c r="H3036" s="23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26.25">
      <c r="A3037" s="23"/>
      <c r="B3037" s="23"/>
      <c r="C3037" s="23"/>
      <c r="D3037" s="23"/>
      <c r="E3037" s="23"/>
      <c r="F3037" s="23"/>
      <c r="G3037" s="23"/>
      <c r="H3037" s="23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26.25">
      <c r="A3038" s="23"/>
      <c r="B3038" s="23"/>
      <c r="C3038" s="23"/>
      <c r="D3038" s="23"/>
      <c r="E3038" s="23"/>
      <c r="F3038" s="23"/>
      <c r="G3038" s="23"/>
      <c r="H3038" s="23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26.25">
      <c r="A3039" s="23"/>
      <c r="B3039" s="23"/>
      <c r="C3039" s="23"/>
      <c r="D3039" s="23"/>
      <c r="E3039" s="23"/>
      <c r="F3039" s="23"/>
      <c r="G3039" s="23"/>
      <c r="H3039" s="23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26.25">
      <c r="A3040" s="23"/>
      <c r="B3040" s="23"/>
      <c r="C3040" s="23"/>
      <c r="D3040" s="23"/>
      <c r="E3040" s="23"/>
      <c r="F3040" s="23"/>
      <c r="G3040" s="23"/>
      <c r="H3040" s="2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26.25">
      <c r="A3041" s="23" t="s">
        <v>0</v>
      </c>
      <c r="B3041" s="23"/>
      <c r="C3041" s="23"/>
      <c r="D3041" s="23"/>
      <c r="E3041" s="23"/>
      <c r="F3041" s="23"/>
      <c r="G3041" s="23"/>
      <c r="H3041" s="23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26.25">
      <c r="A3042" s="23" t="s">
        <v>708</v>
      </c>
      <c r="B3042" s="23"/>
      <c r="C3042" s="23"/>
      <c r="D3042" s="23"/>
      <c r="E3042" s="23"/>
      <c r="F3042" s="23"/>
      <c r="G3042" s="23"/>
      <c r="H3042" s="23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26.25">
      <c r="A3043" s="23" t="s">
        <v>2</v>
      </c>
      <c r="B3043" s="23" t="s">
        <v>3</v>
      </c>
      <c r="C3043" s="23" t="s">
        <v>4</v>
      </c>
      <c r="D3043" s="23" t="s">
        <v>5</v>
      </c>
      <c r="E3043" s="23" t="s">
        <v>6</v>
      </c>
      <c r="F3043" s="23" t="s">
        <v>7</v>
      </c>
      <c r="G3043" s="23" t="s">
        <v>8</v>
      </c>
      <c r="H3043" s="23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26.25">
      <c r="A3044" s="23">
        <v>1</v>
      </c>
      <c r="B3044" s="23" t="s">
        <v>93</v>
      </c>
      <c r="C3044" s="23" t="s">
        <v>338</v>
      </c>
      <c r="D3044" s="23" t="s">
        <v>127</v>
      </c>
      <c r="E3044" s="23">
        <v>2</v>
      </c>
      <c r="F3044" s="29">
        <v>293000</v>
      </c>
      <c r="G3044" s="29">
        <v>586000</v>
      </c>
      <c r="H3044" s="23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26.25">
      <c r="A3045" s="23">
        <v>2</v>
      </c>
      <c r="B3045" s="23" t="s">
        <v>111</v>
      </c>
      <c r="C3045" s="23" t="s">
        <v>709</v>
      </c>
      <c r="D3045" s="23" t="s">
        <v>12</v>
      </c>
      <c r="E3045" s="23">
        <v>1.5</v>
      </c>
      <c r="F3045" s="29">
        <v>435000</v>
      </c>
      <c r="G3045" s="29">
        <v>652500</v>
      </c>
      <c r="H3045" s="23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26.25">
      <c r="A3046" s="23">
        <v>3</v>
      </c>
      <c r="B3046" s="23" t="s">
        <v>14</v>
      </c>
      <c r="C3046" s="23"/>
      <c r="D3046" s="23"/>
      <c r="E3046" s="23"/>
      <c r="F3046" s="23"/>
      <c r="G3046" s="23">
        <v>0</v>
      </c>
      <c r="H3046" s="23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26.25">
      <c r="A3047" s="23" t="s">
        <v>15</v>
      </c>
      <c r="B3047" s="23"/>
      <c r="C3047" s="23"/>
      <c r="D3047" s="23"/>
      <c r="E3047" s="23"/>
      <c r="F3047" s="23"/>
      <c r="G3047" s="23"/>
      <c r="H3047" s="29">
        <v>1238500</v>
      </c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26.25">
      <c r="A3048" s="23" t="s">
        <v>710</v>
      </c>
      <c r="B3048" s="23"/>
      <c r="C3048" s="23"/>
      <c r="D3048" s="23"/>
      <c r="E3048" s="23"/>
      <c r="F3048" s="23"/>
      <c r="G3048" s="23"/>
      <c r="H3048" s="29">
        <v>590500</v>
      </c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26.25">
      <c r="A3049" s="23" t="s">
        <v>17</v>
      </c>
      <c r="B3049" s="23"/>
      <c r="C3049" s="23"/>
      <c r="D3049" s="23"/>
      <c r="E3049" s="23"/>
      <c r="F3049" s="23"/>
      <c r="G3049" s="23"/>
      <c r="H3049" s="29">
        <v>649000</v>
      </c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26.25">
      <c r="A3050" s="23"/>
      <c r="B3050" s="23"/>
      <c r="C3050" s="23"/>
      <c r="D3050" s="23"/>
      <c r="E3050" s="23"/>
      <c r="F3050" s="23"/>
      <c r="G3050" s="23"/>
      <c r="H3050" s="23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26.25">
      <c r="A3051" s="23"/>
      <c r="B3051" s="23"/>
      <c r="C3051" s="23"/>
      <c r="D3051" s="23"/>
      <c r="E3051" s="23"/>
      <c r="F3051" s="23"/>
      <c r="G3051" s="23"/>
      <c r="H3051" s="23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26.25">
      <c r="A3052" s="23"/>
      <c r="B3052" s="23"/>
      <c r="C3052" s="23"/>
      <c r="D3052" s="23"/>
      <c r="E3052" s="23"/>
      <c r="F3052" s="23"/>
      <c r="G3052" s="23"/>
      <c r="H3052" s="23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26.25">
      <c r="A3053" s="23"/>
      <c r="B3053" s="23"/>
      <c r="C3053" s="23"/>
      <c r="D3053" s="23"/>
      <c r="E3053" s="23"/>
      <c r="F3053" s="23"/>
      <c r="G3053" s="23"/>
      <c r="H3053" s="23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26.25">
      <c r="A3054" s="23"/>
      <c r="B3054" s="23"/>
      <c r="C3054" s="23"/>
      <c r="D3054" s="23"/>
      <c r="E3054" s="23"/>
      <c r="F3054" s="23"/>
      <c r="G3054" s="23"/>
      <c r="H3054" s="23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26.25">
      <c r="A3055" s="23"/>
      <c r="B3055" s="23"/>
      <c r="C3055" s="23"/>
      <c r="D3055" s="23"/>
      <c r="E3055" s="23"/>
      <c r="F3055" s="23"/>
      <c r="G3055" s="23"/>
      <c r="H3055" s="23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26.25">
      <c r="A3056" s="23" t="s">
        <v>0</v>
      </c>
      <c r="B3056" s="23"/>
      <c r="C3056" s="23"/>
      <c r="D3056" s="23"/>
      <c r="E3056" s="23"/>
      <c r="F3056" s="23"/>
      <c r="G3056" s="23"/>
      <c r="H3056" s="23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26.25">
      <c r="A3057" s="23" t="s">
        <v>711</v>
      </c>
      <c r="B3057" s="23"/>
      <c r="C3057" s="23"/>
      <c r="D3057" s="23"/>
      <c r="E3057" s="23"/>
      <c r="F3057" s="23"/>
      <c r="G3057" s="23"/>
      <c r="H3057" s="23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26.25">
      <c r="A3058" s="23" t="s">
        <v>2</v>
      </c>
      <c r="B3058" s="23" t="s">
        <v>3</v>
      </c>
      <c r="C3058" s="23" t="s">
        <v>4</v>
      </c>
      <c r="D3058" s="23" t="s">
        <v>5</v>
      </c>
      <c r="E3058" s="23" t="s">
        <v>6</v>
      </c>
      <c r="F3058" s="23" t="s">
        <v>7</v>
      </c>
      <c r="G3058" s="23" t="s">
        <v>8</v>
      </c>
      <c r="H3058" s="23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26.25">
      <c r="A3059" s="23">
        <v>1</v>
      </c>
      <c r="B3059" s="23" t="s">
        <v>80</v>
      </c>
      <c r="C3059" s="23" t="s">
        <v>447</v>
      </c>
      <c r="D3059" s="23" t="s">
        <v>127</v>
      </c>
      <c r="E3059" s="23">
        <v>2</v>
      </c>
      <c r="F3059" s="29">
        <v>293000</v>
      </c>
      <c r="G3059" s="29">
        <v>586000</v>
      </c>
      <c r="H3059" s="23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26.25">
      <c r="A3060" s="23">
        <v>2</v>
      </c>
      <c r="B3060" s="23" t="s">
        <v>712</v>
      </c>
      <c r="C3060" s="23" t="s">
        <v>713</v>
      </c>
      <c r="D3060" s="23" t="s">
        <v>12</v>
      </c>
      <c r="E3060" s="23">
        <v>1.5</v>
      </c>
      <c r="F3060" s="29">
        <v>435000</v>
      </c>
      <c r="G3060" s="29">
        <v>652500</v>
      </c>
      <c r="H3060" s="23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26.25">
      <c r="A3061" s="23">
        <v>3</v>
      </c>
      <c r="B3061" s="23" t="s">
        <v>14</v>
      </c>
      <c r="C3061" s="23"/>
      <c r="D3061" s="23"/>
      <c r="E3061" s="23"/>
      <c r="F3061" s="23"/>
      <c r="G3061" s="23">
        <v>0</v>
      </c>
      <c r="H3061" s="23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26.25">
      <c r="A3062" s="23" t="s">
        <v>15</v>
      </c>
      <c r="B3062" s="23"/>
      <c r="C3062" s="23"/>
      <c r="D3062" s="23"/>
      <c r="E3062" s="23"/>
      <c r="F3062" s="23"/>
      <c r="G3062" s="23"/>
      <c r="H3062" s="29">
        <v>1238500</v>
      </c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26.25">
      <c r="A3063" s="23" t="s">
        <v>16</v>
      </c>
      <c r="B3063" s="23"/>
      <c r="C3063" s="23"/>
      <c r="D3063" s="23"/>
      <c r="E3063" s="23"/>
      <c r="F3063" s="23"/>
      <c r="G3063" s="23"/>
      <c r="H3063" s="29">
        <v>590500</v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26.25">
      <c r="A3064" s="23" t="s">
        <v>17</v>
      </c>
      <c r="B3064" s="23"/>
      <c r="C3064" s="23"/>
      <c r="D3064" s="23"/>
      <c r="E3064" s="23"/>
      <c r="F3064" s="23"/>
      <c r="G3064" s="23"/>
      <c r="H3064" s="29">
        <v>649000</v>
      </c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26.25">
      <c r="A3065" s="23"/>
      <c r="B3065" s="23"/>
      <c r="C3065" s="23"/>
      <c r="D3065" s="23"/>
      <c r="E3065" s="23"/>
      <c r="F3065" s="23"/>
      <c r="G3065" s="23"/>
      <c r="H3065" s="23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26.25">
      <c r="A3066" s="23"/>
      <c r="B3066" s="23"/>
      <c r="C3066" s="23"/>
      <c r="D3066" s="23"/>
      <c r="E3066" s="23"/>
      <c r="F3066" s="23"/>
      <c r="G3066" s="23"/>
      <c r="H3066" s="23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26.25">
      <c r="A3067" s="23"/>
      <c r="B3067" s="23"/>
      <c r="C3067" s="23"/>
      <c r="D3067" s="23"/>
      <c r="E3067" s="23"/>
      <c r="F3067" s="23"/>
      <c r="G3067" s="23"/>
      <c r="H3067" s="23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26.25">
      <c r="A3068" s="23"/>
      <c r="B3068" s="23"/>
      <c r="C3068" s="23"/>
      <c r="D3068" s="23"/>
      <c r="E3068" s="23"/>
      <c r="F3068" s="23"/>
      <c r="G3068" s="23"/>
      <c r="H3068" s="23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26.25">
      <c r="A3069" s="23"/>
      <c r="B3069" s="23"/>
      <c r="C3069" s="23"/>
      <c r="D3069" s="23"/>
      <c r="E3069" s="23"/>
      <c r="F3069" s="23"/>
      <c r="G3069" s="23"/>
      <c r="H3069" s="2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26.25">
      <c r="A3070" s="23"/>
      <c r="B3070" s="23"/>
      <c r="C3070" s="23"/>
      <c r="D3070" s="23"/>
      <c r="E3070" s="23"/>
      <c r="F3070" s="23"/>
      <c r="G3070" s="23"/>
      <c r="H3070" s="23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26.25">
      <c r="A3071" s="23" t="s">
        <v>0</v>
      </c>
      <c r="B3071" s="23"/>
      <c r="C3071" s="23"/>
      <c r="D3071" s="23"/>
      <c r="E3071" s="23"/>
      <c r="F3071" s="23"/>
      <c r="G3071" s="23"/>
      <c r="H3071" s="23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26.25">
      <c r="A3072" s="23" t="s">
        <v>714</v>
      </c>
      <c r="B3072" s="23"/>
      <c r="C3072" s="23"/>
      <c r="D3072" s="23"/>
      <c r="E3072" s="23"/>
      <c r="F3072" s="23"/>
      <c r="G3072" s="23"/>
      <c r="H3072" s="23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26.25">
      <c r="A3073" s="23" t="s">
        <v>2</v>
      </c>
      <c r="B3073" s="23" t="s">
        <v>3</v>
      </c>
      <c r="C3073" s="23" t="s">
        <v>4</v>
      </c>
      <c r="D3073" s="23" t="s">
        <v>5</v>
      </c>
      <c r="E3073" s="23" t="s">
        <v>6</v>
      </c>
      <c r="F3073" s="23" t="s">
        <v>7</v>
      </c>
      <c r="G3073" s="23" t="s">
        <v>8</v>
      </c>
      <c r="H3073" s="23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26.25">
      <c r="A3074" s="23">
        <v>1</v>
      </c>
      <c r="B3074" s="23" t="s">
        <v>46</v>
      </c>
      <c r="C3074" s="23" t="s">
        <v>715</v>
      </c>
      <c r="D3074" s="23" t="s">
        <v>127</v>
      </c>
      <c r="E3074" s="23">
        <v>2</v>
      </c>
      <c r="F3074" s="29">
        <v>293000</v>
      </c>
      <c r="G3074" s="29">
        <v>586000</v>
      </c>
      <c r="H3074" s="23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26.25">
      <c r="A3075" s="23">
        <v>2</v>
      </c>
      <c r="B3075" s="23" t="s">
        <v>182</v>
      </c>
      <c r="C3075" s="23" t="s">
        <v>716</v>
      </c>
      <c r="D3075" s="23" t="s">
        <v>12</v>
      </c>
      <c r="E3075" s="23">
        <v>1.35</v>
      </c>
      <c r="F3075" s="29">
        <v>435000</v>
      </c>
      <c r="G3075" s="29">
        <v>587250</v>
      </c>
      <c r="H3075" s="23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26.25">
      <c r="A3076" s="23">
        <v>3</v>
      </c>
      <c r="B3076" s="23" t="s">
        <v>14</v>
      </c>
      <c r="C3076" s="23"/>
      <c r="D3076" s="23"/>
      <c r="E3076" s="23"/>
      <c r="F3076" s="23"/>
      <c r="G3076" s="23">
        <v>0</v>
      </c>
      <c r="H3076" s="23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26.25">
      <c r="A3077" s="23" t="s">
        <v>15</v>
      </c>
      <c r="B3077" s="23"/>
      <c r="C3077" s="23"/>
      <c r="D3077" s="23"/>
      <c r="E3077" s="23"/>
      <c r="F3077" s="23"/>
      <c r="G3077" s="23"/>
      <c r="H3077" s="29">
        <v>1173250</v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5.75" customHeight="1">
      <c r="A3078" t="s">
        <v>16</v>
      </c>
      <c r="H3078" s="30">
        <v>525250</v>
      </c>
    </row>
    <row r="3079" spans="1:26" ht="15.75" customHeight="1">
      <c r="A3079" t="s">
        <v>17</v>
      </c>
      <c r="H3079" s="30">
        <v>649000</v>
      </c>
    </row>
    <row r="3086" spans="1:26" ht="15.75" customHeight="1">
      <c r="A3086" t="s">
        <v>0</v>
      </c>
    </row>
    <row r="3087" spans="1:26" ht="15.75" customHeight="1">
      <c r="A3087" t="s">
        <v>717</v>
      </c>
    </row>
    <row r="3088" spans="1:26" ht="15.75" customHeight="1">
      <c r="A3088" t="s">
        <v>2</v>
      </c>
      <c r="B3088" t="s">
        <v>3</v>
      </c>
      <c r="C3088" t="s">
        <v>4</v>
      </c>
      <c r="D3088" t="s">
        <v>5</v>
      </c>
      <c r="E3088" t="s">
        <v>6</v>
      </c>
      <c r="F3088" t="s">
        <v>7</v>
      </c>
      <c r="G3088" t="s">
        <v>8</v>
      </c>
    </row>
    <row r="3089" spans="1:8" ht="15.75" customHeight="1">
      <c r="A3089">
        <v>1</v>
      </c>
      <c r="B3089" t="s">
        <v>718</v>
      </c>
      <c r="C3089" t="s">
        <v>349</v>
      </c>
      <c r="D3089" t="s">
        <v>127</v>
      </c>
      <c r="E3089">
        <v>1.35</v>
      </c>
      <c r="F3089" s="30">
        <v>293000</v>
      </c>
      <c r="G3089" s="30">
        <v>395550</v>
      </c>
    </row>
    <row r="3090" spans="1:8" ht="15.75" customHeight="1">
      <c r="A3090">
        <v>2</v>
      </c>
      <c r="B3090" t="s">
        <v>719</v>
      </c>
      <c r="C3090" t="s">
        <v>720</v>
      </c>
      <c r="D3090" t="s">
        <v>12</v>
      </c>
      <c r="E3090">
        <v>2.2999999999999998</v>
      </c>
      <c r="F3090" s="30">
        <v>435000</v>
      </c>
      <c r="G3090" s="30">
        <v>1000500</v>
      </c>
    </row>
    <row r="3091" spans="1:8" ht="15.75" customHeight="1">
      <c r="A3091">
        <v>3</v>
      </c>
      <c r="B3091" t="s">
        <v>14</v>
      </c>
      <c r="G3091">
        <v>0</v>
      </c>
    </row>
    <row r="3092" spans="1:8" ht="15.75" customHeight="1">
      <c r="A3092" t="s">
        <v>15</v>
      </c>
      <c r="H3092" s="30">
        <v>1396050</v>
      </c>
    </row>
    <row r="3093" spans="1:8" ht="15.75" customHeight="1">
      <c r="A3093" t="s">
        <v>16</v>
      </c>
      <c r="H3093" s="30">
        <v>748050</v>
      </c>
    </row>
    <row r="3094" spans="1:8" ht="15.75" customHeight="1">
      <c r="A3094" t="s">
        <v>17</v>
      </c>
      <c r="H3094" s="30">
        <v>649000</v>
      </c>
    </row>
    <row r="3100" spans="1:8" ht="15.75" customHeight="1">
      <c r="A3100" t="s">
        <v>0</v>
      </c>
    </row>
    <row r="3101" spans="1:8" ht="15.75" customHeight="1">
      <c r="A3101" t="s">
        <v>721</v>
      </c>
    </row>
    <row r="3102" spans="1:8" ht="15.75" customHeight="1">
      <c r="A3102" t="s">
        <v>2</v>
      </c>
      <c r="B3102" t="s">
        <v>3</v>
      </c>
      <c r="C3102" t="s">
        <v>4</v>
      </c>
      <c r="D3102" t="s">
        <v>5</v>
      </c>
      <c r="E3102" t="s">
        <v>6</v>
      </c>
      <c r="F3102" t="s">
        <v>7</v>
      </c>
      <c r="G3102" t="s">
        <v>8</v>
      </c>
    </row>
    <row r="3103" spans="1:8" ht="15.75" customHeight="1">
      <c r="A3103">
        <v>1</v>
      </c>
      <c r="B3103" t="s">
        <v>168</v>
      </c>
      <c r="C3103" t="s">
        <v>722</v>
      </c>
      <c r="D3103" t="s">
        <v>127</v>
      </c>
      <c r="E3103">
        <v>2</v>
      </c>
      <c r="F3103" s="30">
        <v>293000</v>
      </c>
      <c r="G3103" s="30">
        <v>586000</v>
      </c>
    </row>
    <row r="3104" spans="1:8" ht="15.75" customHeight="1">
      <c r="A3104">
        <v>2</v>
      </c>
      <c r="B3104" t="s">
        <v>194</v>
      </c>
      <c r="C3104" t="s">
        <v>374</v>
      </c>
      <c r="D3104" t="s">
        <v>12</v>
      </c>
      <c r="E3104">
        <v>1.45</v>
      </c>
      <c r="F3104" s="30">
        <v>435000</v>
      </c>
      <c r="G3104" s="30">
        <v>630750</v>
      </c>
    </row>
    <row r="3105" spans="1:8" ht="15.75" customHeight="1">
      <c r="A3105">
        <v>3</v>
      </c>
      <c r="B3105" t="s">
        <v>14</v>
      </c>
      <c r="G3105">
        <v>0</v>
      </c>
    </row>
    <row r="3106" spans="1:8" ht="15.75" customHeight="1">
      <c r="A3106" t="s">
        <v>15</v>
      </c>
      <c r="H3106" s="30">
        <v>1216750</v>
      </c>
    </row>
    <row r="3107" spans="1:8" ht="15.75" customHeight="1">
      <c r="A3107" t="s">
        <v>16</v>
      </c>
      <c r="H3107" s="30">
        <v>568750</v>
      </c>
    </row>
    <row r="3108" spans="1:8" ht="15.75" customHeight="1">
      <c r="A3108" t="s">
        <v>17</v>
      </c>
      <c r="H3108" s="30">
        <v>649000</v>
      </c>
    </row>
    <row r="3115" spans="1:8" ht="15.75" customHeight="1">
      <c r="A3115" t="s">
        <v>0</v>
      </c>
    </row>
    <row r="3116" spans="1:8" ht="15.75" customHeight="1">
      <c r="A3116" t="s">
        <v>723</v>
      </c>
    </row>
    <row r="3117" spans="1:8" ht="15.75" customHeight="1">
      <c r="A3117" t="s">
        <v>2</v>
      </c>
      <c r="B3117" t="s">
        <v>3</v>
      </c>
      <c r="C3117" t="s">
        <v>4</v>
      </c>
      <c r="D3117" t="s">
        <v>5</v>
      </c>
      <c r="E3117" t="s">
        <v>6</v>
      </c>
      <c r="F3117" t="s">
        <v>7</v>
      </c>
      <c r="G3117" t="s">
        <v>8</v>
      </c>
    </row>
    <row r="3118" spans="1:8" ht="15.75" customHeight="1">
      <c r="A3118">
        <v>1</v>
      </c>
      <c r="B3118" t="s">
        <v>724</v>
      </c>
      <c r="C3118" t="s">
        <v>447</v>
      </c>
      <c r="D3118" t="s">
        <v>127</v>
      </c>
      <c r="E3118">
        <v>2</v>
      </c>
      <c r="F3118" s="30">
        <v>293000</v>
      </c>
      <c r="G3118" s="30">
        <v>586000</v>
      </c>
    </row>
    <row r="3119" spans="1:8" ht="15.75" customHeight="1">
      <c r="A3119">
        <v>2</v>
      </c>
      <c r="B3119" t="s">
        <v>200</v>
      </c>
      <c r="C3119" t="s">
        <v>431</v>
      </c>
      <c r="D3119" t="s">
        <v>12</v>
      </c>
      <c r="E3119">
        <v>1.7</v>
      </c>
      <c r="F3119" s="30">
        <v>435000</v>
      </c>
      <c r="G3119" s="30">
        <v>739500</v>
      </c>
    </row>
    <row r="3120" spans="1:8" ht="15.75" customHeight="1">
      <c r="A3120">
        <v>3</v>
      </c>
      <c r="B3120" t="s">
        <v>14</v>
      </c>
      <c r="G3120">
        <v>0</v>
      </c>
    </row>
    <row r="3121" spans="1:8" ht="15.75" customHeight="1">
      <c r="A3121" t="s">
        <v>15</v>
      </c>
      <c r="H3121" s="30">
        <v>1325500</v>
      </c>
    </row>
    <row r="3122" spans="1:8" ht="15.75" customHeight="1">
      <c r="A3122" t="s">
        <v>16</v>
      </c>
      <c r="H3122" s="30">
        <v>677500</v>
      </c>
    </row>
    <row r="3123" spans="1:8" ht="15.75" customHeight="1">
      <c r="A3123" t="s">
        <v>17</v>
      </c>
      <c r="H3123" s="30">
        <v>649000</v>
      </c>
    </row>
    <row r="3130" spans="1:8" ht="15.75" customHeight="1">
      <c r="A3130" t="s">
        <v>0</v>
      </c>
    </row>
    <row r="3131" spans="1:8" ht="15.75" customHeight="1">
      <c r="A3131" t="s">
        <v>725</v>
      </c>
    </row>
    <row r="3132" spans="1:8" ht="15.75" customHeight="1">
      <c r="A3132" t="s">
        <v>2</v>
      </c>
      <c r="B3132" t="s">
        <v>3</v>
      </c>
      <c r="C3132" t="s">
        <v>4</v>
      </c>
      <c r="D3132" t="s">
        <v>5</v>
      </c>
      <c r="E3132" t="s">
        <v>6</v>
      </c>
      <c r="F3132" t="s">
        <v>7</v>
      </c>
      <c r="G3132" t="s">
        <v>8</v>
      </c>
    </row>
    <row r="3133" spans="1:8" ht="15.75" customHeight="1">
      <c r="A3133">
        <v>1</v>
      </c>
      <c r="B3133" t="s">
        <v>477</v>
      </c>
      <c r="C3133" t="s">
        <v>726</v>
      </c>
      <c r="D3133" t="s">
        <v>127</v>
      </c>
      <c r="E3133">
        <v>1.2</v>
      </c>
      <c r="F3133" s="30">
        <v>293000</v>
      </c>
      <c r="G3133" s="30">
        <v>351600</v>
      </c>
    </row>
    <row r="3134" spans="1:8" ht="15.75" customHeight="1">
      <c r="A3134">
        <v>2</v>
      </c>
      <c r="B3134" t="s">
        <v>53</v>
      </c>
      <c r="C3134" t="s">
        <v>727</v>
      </c>
      <c r="D3134" t="s">
        <v>12</v>
      </c>
      <c r="E3134">
        <v>2.1</v>
      </c>
      <c r="F3134" s="30">
        <v>435000</v>
      </c>
      <c r="G3134" s="30">
        <v>913500</v>
      </c>
    </row>
    <row r="3135" spans="1:8" ht="15.75" customHeight="1">
      <c r="A3135">
        <v>3</v>
      </c>
      <c r="B3135" t="s">
        <v>14</v>
      </c>
      <c r="G3135">
        <v>0</v>
      </c>
    </row>
    <row r="3136" spans="1:8" ht="15.75" customHeight="1">
      <c r="A3136" t="s">
        <v>15</v>
      </c>
      <c r="H3136" s="30">
        <v>1265100</v>
      </c>
    </row>
    <row r="3137" spans="1:8" ht="15.75" customHeight="1">
      <c r="A3137" t="s">
        <v>16</v>
      </c>
      <c r="H3137" s="30">
        <v>617100</v>
      </c>
    </row>
    <row r="3138" spans="1:8" ht="15.75" customHeight="1">
      <c r="A3138" t="s">
        <v>17</v>
      </c>
      <c r="H3138" s="30">
        <v>649000</v>
      </c>
    </row>
    <row r="3147" spans="1:8" ht="15.75" customHeight="1">
      <c r="A3147" t="s">
        <v>0</v>
      </c>
    </row>
    <row r="3148" spans="1:8" ht="15.75" customHeight="1">
      <c r="A3148" t="s">
        <v>728</v>
      </c>
    </row>
    <row r="3149" spans="1:8" ht="15.75" customHeight="1">
      <c r="A3149" t="s">
        <v>2</v>
      </c>
      <c r="B3149" t="s">
        <v>3</v>
      </c>
      <c r="C3149" t="s">
        <v>4</v>
      </c>
      <c r="D3149" t="s">
        <v>5</v>
      </c>
      <c r="E3149" t="s">
        <v>6</v>
      </c>
      <c r="F3149" t="s">
        <v>7</v>
      </c>
      <c r="G3149" t="s">
        <v>8</v>
      </c>
    </row>
    <row r="3150" spans="1:8" ht="15.75" customHeight="1">
      <c r="A3150">
        <v>1</v>
      </c>
      <c r="B3150" t="s">
        <v>421</v>
      </c>
      <c r="C3150" t="s">
        <v>729</v>
      </c>
      <c r="D3150" t="s">
        <v>127</v>
      </c>
      <c r="E3150">
        <v>3</v>
      </c>
      <c r="F3150" s="30">
        <v>293000</v>
      </c>
      <c r="G3150" s="30">
        <v>879000</v>
      </c>
    </row>
    <row r="3151" spans="1:8" ht="15.75" customHeight="1">
      <c r="A3151">
        <v>2</v>
      </c>
      <c r="B3151" t="s">
        <v>730</v>
      </c>
      <c r="C3151" t="s">
        <v>731</v>
      </c>
      <c r="D3151" t="s">
        <v>12</v>
      </c>
      <c r="E3151">
        <v>0.46</v>
      </c>
      <c r="F3151" s="30">
        <v>435000</v>
      </c>
      <c r="G3151" s="30">
        <v>200100</v>
      </c>
    </row>
    <row r="3152" spans="1:8" ht="15.75" customHeight="1">
      <c r="A3152">
        <v>3</v>
      </c>
      <c r="B3152" t="s">
        <v>14</v>
      </c>
      <c r="G3152">
        <v>0</v>
      </c>
    </row>
    <row r="3153" spans="1:8" ht="15.75" customHeight="1">
      <c r="A3153" t="s">
        <v>15</v>
      </c>
      <c r="H3153" s="30">
        <v>1079100</v>
      </c>
    </row>
    <row r="3154" spans="1:8" ht="15.75" customHeight="1">
      <c r="A3154" t="s">
        <v>16</v>
      </c>
      <c r="H3154" s="30">
        <v>431100</v>
      </c>
    </row>
    <row r="3155" spans="1:8" ht="15.75" customHeight="1">
      <c r="A3155" t="s">
        <v>17</v>
      </c>
      <c r="H3155" s="30">
        <v>649000</v>
      </c>
    </row>
    <row r="3161" spans="1:8" ht="15.75" customHeight="1">
      <c r="A3161" t="s">
        <v>0</v>
      </c>
    </row>
    <row r="3162" spans="1:8" ht="15.75" customHeight="1">
      <c r="A3162" t="s">
        <v>732</v>
      </c>
    </row>
    <row r="3163" spans="1:8" ht="15.75" customHeight="1">
      <c r="A3163" t="s">
        <v>2</v>
      </c>
      <c r="B3163" t="s">
        <v>3</v>
      </c>
      <c r="C3163" t="s">
        <v>4</v>
      </c>
      <c r="D3163" t="s">
        <v>5</v>
      </c>
      <c r="E3163" t="s">
        <v>6</v>
      </c>
      <c r="F3163" t="s">
        <v>7</v>
      </c>
      <c r="G3163" t="s">
        <v>8</v>
      </c>
    </row>
    <row r="3164" spans="1:8" ht="15.75" customHeight="1">
      <c r="A3164">
        <v>1</v>
      </c>
      <c r="B3164" t="s">
        <v>556</v>
      </c>
      <c r="C3164" t="s">
        <v>733</v>
      </c>
      <c r="D3164" t="s">
        <v>127</v>
      </c>
      <c r="E3164">
        <v>1.73</v>
      </c>
      <c r="F3164" s="30">
        <v>293000</v>
      </c>
      <c r="G3164" s="30">
        <v>506890</v>
      </c>
    </row>
    <row r="3165" spans="1:8" ht="15.75" customHeight="1">
      <c r="A3165">
        <v>2</v>
      </c>
      <c r="B3165" t="s">
        <v>734</v>
      </c>
      <c r="C3165" t="s">
        <v>735</v>
      </c>
      <c r="D3165" t="s">
        <v>12</v>
      </c>
      <c r="E3165">
        <v>1.66</v>
      </c>
      <c r="F3165" s="30">
        <v>435000</v>
      </c>
      <c r="G3165" s="30">
        <v>722100</v>
      </c>
    </row>
    <row r="3166" spans="1:8" ht="15.75" customHeight="1">
      <c r="A3166">
        <v>3</v>
      </c>
      <c r="B3166" t="s">
        <v>14</v>
      </c>
      <c r="G3166">
        <v>0</v>
      </c>
    </row>
    <row r="3167" spans="1:8" ht="15.75" customHeight="1">
      <c r="A3167" t="s">
        <v>15</v>
      </c>
      <c r="H3167" s="30">
        <v>1228990</v>
      </c>
    </row>
    <row r="3168" spans="1:8" ht="15.75" customHeight="1">
      <c r="A3168" t="s">
        <v>16</v>
      </c>
      <c r="H3168" s="30">
        <v>580990</v>
      </c>
    </row>
    <row r="3169" spans="1:8" ht="15.75" customHeight="1">
      <c r="A3169" t="s">
        <v>17</v>
      </c>
      <c r="H3169" s="30">
        <v>649000</v>
      </c>
    </row>
    <row r="3176" spans="1:8" ht="15.75" customHeight="1">
      <c r="A3176" t="s">
        <v>0</v>
      </c>
    </row>
    <row r="3177" spans="1:8" ht="15.75" customHeight="1">
      <c r="A3177" t="s">
        <v>736</v>
      </c>
    </row>
    <row r="3178" spans="1:8" ht="15.75" customHeight="1">
      <c r="A3178" t="s">
        <v>2</v>
      </c>
      <c r="B3178" t="s">
        <v>3</v>
      </c>
      <c r="C3178" t="s">
        <v>4</v>
      </c>
      <c r="D3178" t="s">
        <v>5</v>
      </c>
      <c r="E3178" t="s">
        <v>6</v>
      </c>
      <c r="F3178" t="s">
        <v>7</v>
      </c>
      <c r="G3178" t="s">
        <v>8</v>
      </c>
    </row>
    <row r="3179" spans="1:8" ht="15.75" customHeight="1">
      <c r="A3179">
        <v>1</v>
      </c>
      <c r="B3179" t="s">
        <v>41</v>
      </c>
      <c r="C3179" t="s">
        <v>737</v>
      </c>
      <c r="D3179" t="s">
        <v>127</v>
      </c>
      <c r="E3179">
        <v>1.8</v>
      </c>
      <c r="F3179" s="30">
        <v>293000</v>
      </c>
      <c r="G3179" s="30">
        <v>527400</v>
      </c>
    </row>
    <row r="3180" spans="1:8" ht="15.75" customHeight="1">
      <c r="A3180">
        <v>2</v>
      </c>
      <c r="B3180" t="s">
        <v>111</v>
      </c>
      <c r="C3180" t="s">
        <v>738</v>
      </c>
      <c r="D3180" t="s">
        <v>12</v>
      </c>
      <c r="E3180">
        <v>1.8</v>
      </c>
      <c r="F3180" s="30">
        <v>435000</v>
      </c>
      <c r="G3180" s="30">
        <v>783000</v>
      </c>
    </row>
    <row r="3181" spans="1:8" ht="15.75" customHeight="1">
      <c r="A3181">
        <v>3</v>
      </c>
      <c r="B3181" t="s">
        <v>14</v>
      </c>
      <c r="G3181">
        <v>0</v>
      </c>
    </row>
    <row r="3182" spans="1:8" ht="15.75" customHeight="1">
      <c r="A3182" t="s">
        <v>15</v>
      </c>
      <c r="H3182" s="30">
        <v>1310400</v>
      </c>
    </row>
    <row r="3183" spans="1:8" ht="15.75" customHeight="1">
      <c r="A3183" t="s">
        <v>16</v>
      </c>
      <c r="H3183" s="30">
        <v>662400</v>
      </c>
    </row>
    <row r="3184" spans="1:8" ht="15.75" customHeight="1">
      <c r="A3184" t="s">
        <v>17</v>
      </c>
      <c r="H3184" s="30">
        <v>649000</v>
      </c>
    </row>
    <row r="3191" spans="1:8" ht="15.75" customHeight="1">
      <c r="A3191" t="s">
        <v>0</v>
      </c>
    </row>
    <row r="3192" spans="1:8" ht="15.75" customHeight="1">
      <c r="A3192" t="s">
        <v>739</v>
      </c>
    </row>
    <row r="3193" spans="1:8" ht="15.75" customHeight="1">
      <c r="A3193" t="s">
        <v>2</v>
      </c>
      <c r="B3193" t="s">
        <v>3</v>
      </c>
      <c r="C3193" t="s">
        <v>4</v>
      </c>
      <c r="D3193" t="s">
        <v>5</v>
      </c>
      <c r="E3193" t="s">
        <v>6</v>
      </c>
      <c r="F3193" t="s">
        <v>7</v>
      </c>
      <c r="G3193" t="s">
        <v>8</v>
      </c>
    </row>
    <row r="3194" spans="1:8" ht="15.75" customHeight="1">
      <c r="A3194">
        <v>1</v>
      </c>
      <c r="B3194" t="s">
        <v>740</v>
      </c>
      <c r="C3194" t="s">
        <v>741</v>
      </c>
      <c r="D3194" t="s">
        <v>127</v>
      </c>
      <c r="E3194">
        <v>2.15</v>
      </c>
      <c r="F3194" s="30">
        <v>293000</v>
      </c>
      <c r="G3194" s="30">
        <v>629950</v>
      </c>
    </row>
    <row r="3195" spans="1:8" ht="15.75" customHeight="1">
      <c r="A3195">
        <v>2</v>
      </c>
      <c r="B3195" t="s">
        <v>53</v>
      </c>
      <c r="C3195" t="s">
        <v>742</v>
      </c>
      <c r="D3195" t="s">
        <v>12</v>
      </c>
      <c r="E3195">
        <v>1.26</v>
      </c>
      <c r="F3195" s="30">
        <v>435000</v>
      </c>
      <c r="G3195" s="30">
        <v>548100</v>
      </c>
    </row>
    <row r="3196" spans="1:8" ht="15.75" customHeight="1">
      <c r="A3196">
        <v>3</v>
      </c>
      <c r="B3196" t="s">
        <v>14</v>
      </c>
      <c r="G3196">
        <v>0</v>
      </c>
    </row>
    <row r="3197" spans="1:8" ht="15.75" customHeight="1">
      <c r="A3197" t="s">
        <v>15</v>
      </c>
      <c r="H3197" s="30">
        <v>1178050</v>
      </c>
    </row>
    <row r="3198" spans="1:8" ht="15.75" customHeight="1">
      <c r="A3198" t="s">
        <v>16</v>
      </c>
      <c r="H3198" s="30">
        <v>530050</v>
      </c>
    </row>
    <row r="3199" spans="1:8" ht="15.75" customHeight="1">
      <c r="A3199" t="s">
        <v>17</v>
      </c>
      <c r="H3199" s="30">
        <v>649000</v>
      </c>
    </row>
    <row r="3208" spans="1:8" ht="15.75" customHeight="1">
      <c r="A3208" t="s">
        <v>0</v>
      </c>
    </row>
    <row r="3209" spans="1:8" ht="15.75" customHeight="1">
      <c r="A3209" t="s">
        <v>743</v>
      </c>
    </row>
    <row r="3210" spans="1:8" ht="15.75" customHeight="1">
      <c r="A3210" t="s">
        <v>2</v>
      </c>
      <c r="B3210" t="s">
        <v>3</v>
      </c>
      <c r="C3210" t="s">
        <v>4</v>
      </c>
      <c r="D3210" t="s">
        <v>5</v>
      </c>
      <c r="E3210" t="s">
        <v>6</v>
      </c>
      <c r="F3210" t="s">
        <v>7</v>
      </c>
      <c r="G3210" t="s">
        <v>8</v>
      </c>
    </row>
    <row r="3211" spans="1:8" ht="15.75" customHeight="1">
      <c r="A3211">
        <v>1</v>
      </c>
      <c r="B3211" t="s">
        <v>25</v>
      </c>
      <c r="C3211" t="s">
        <v>744</v>
      </c>
      <c r="D3211" t="s">
        <v>127</v>
      </c>
      <c r="E3211">
        <v>0.55000000000000004</v>
      </c>
      <c r="F3211" s="30">
        <v>293000</v>
      </c>
      <c r="G3211" s="30">
        <v>161150</v>
      </c>
    </row>
    <row r="3212" spans="1:8" ht="15.75" customHeight="1">
      <c r="A3212">
        <v>2</v>
      </c>
      <c r="B3212" t="s">
        <v>53</v>
      </c>
      <c r="C3212" t="s">
        <v>745</v>
      </c>
      <c r="D3212" t="s">
        <v>12</v>
      </c>
      <c r="E3212">
        <v>2.8</v>
      </c>
      <c r="F3212" s="30">
        <v>435000</v>
      </c>
      <c r="G3212" s="30">
        <v>1218000</v>
      </c>
    </row>
    <row r="3213" spans="1:8" ht="15.75" customHeight="1">
      <c r="A3213">
        <v>3</v>
      </c>
      <c r="B3213" t="s">
        <v>14</v>
      </c>
      <c r="G3213">
        <v>0</v>
      </c>
    </row>
    <row r="3214" spans="1:8" ht="15.75" customHeight="1">
      <c r="A3214" t="s">
        <v>15</v>
      </c>
      <c r="H3214" s="30">
        <v>1379150</v>
      </c>
    </row>
    <row r="3215" spans="1:8" ht="15.75" customHeight="1">
      <c r="A3215" t="s">
        <v>16</v>
      </c>
      <c r="H3215" s="30">
        <v>731150</v>
      </c>
    </row>
    <row r="3216" spans="1:8" ht="15.75" customHeight="1">
      <c r="A3216" t="s">
        <v>17</v>
      </c>
      <c r="H3216" s="30">
        <v>649000</v>
      </c>
    </row>
    <row r="3222" spans="1:8" ht="15.75" customHeight="1">
      <c r="A3222" t="s">
        <v>0</v>
      </c>
    </row>
    <row r="3223" spans="1:8" ht="15.75" customHeight="1">
      <c r="A3223" t="s">
        <v>746</v>
      </c>
    </row>
    <row r="3224" spans="1:8" ht="15.75" customHeight="1">
      <c r="A3224" t="s">
        <v>2</v>
      </c>
      <c r="B3224" t="s">
        <v>3</v>
      </c>
      <c r="C3224" t="s">
        <v>4</v>
      </c>
      <c r="D3224" t="s">
        <v>5</v>
      </c>
      <c r="E3224" t="s">
        <v>6</v>
      </c>
      <c r="F3224" t="s">
        <v>7</v>
      </c>
      <c r="G3224" t="s">
        <v>8</v>
      </c>
    </row>
    <row r="3225" spans="1:8" ht="15.75" customHeight="1">
      <c r="A3225">
        <v>1</v>
      </c>
      <c r="B3225" t="s">
        <v>747</v>
      </c>
      <c r="C3225" t="s">
        <v>748</v>
      </c>
      <c r="D3225" t="s">
        <v>127</v>
      </c>
      <c r="E3225">
        <v>1.8</v>
      </c>
      <c r="F3225" s="30">
        <v>293000</v>
      </c>
      <c r="G3225" s="30">
        <v>527400</v>
      </c>
    </row>
    <row r="3226" spans="1:8" ht="15.75" customHeight="1">
      <c r="A3226">
        <v>2</v>
      </c>
      <c r="B3226" t="s">
        <v>68</v>
      </c>
      <c r="C3226" t="s">
        <v>749</v>
      </c>
      <c r="D3226" t="s">
        <v>12</v>
      </c>
      <c r="E3226">
        <v>1.6</v>
      </c>
      <c r="F3226" s="30">
        <v>435000</v>
      </c>
      <c r="G3226" s="30">
        <v>696000</v>
      </c>
    </row>
    <row r="3227" spans="1:8" ht="15.75" customHeight="1">
      <c r="A3227">
        <v>3</v>
      </c>
      <c r="B3227" t="s">
        <v>14</v>
      </c>
      <c r="G3227">
        <v>0</v>
      </c>
    </row>
    <row r="3228" spans="1:8" ht="15.75" customHeight="1">
      <c r="A3228" t="s">
        <v>15</v>
      </c>
      <c r="H3228" s="30">
        <v>1223400</v>
      </c>
    </row>
    <row r="3229" spans="1:8" ht="15.75" customHeight="1">
      <c r="A3229" t="s">
        <v>16</v>
      </c>
      <c r="H3229" s="30">
        <v>575400</v>
      </c>
    </row>
    <row r="3230" spans="1:8" ht="15.75" customHeight="1">
      <c r="A3230" t="s">
        <v>17</v>
      </c>
      <c r="H3230" s="30">
        <v>649000</v>
      </c>
    </row>
    <row r="3235" spans="1:8" ht="15.75" customHeight="1">
      <c r="A3235" t="s">
        <v>0</v>
      </c>
    </row>
    <row r="3236" spans="1:8" ht="15.75" customHeight="1">
      <c r="A3236" t="s">
        <v>750</v>
      </c>
    </row>
    <row r="3237" spans="1:8" ht="15.75" customHeight="1">
      <c r="A3237" t="s">
        <v>2</v>
      </c>
      <c r="B3237" t="s">
        <v>3</v>
      </c>
      <c r="C3237" t="s">
        <v>4</v>
      </c>
      <c r="D3237" t="s">
        <v>5</v>
      </c>
      <c r="E3237" t="s">
        <v>6</v>
      </c>
      <c r="F3237" t="s">
        <v>7</v>
      </c>
      <c r="G3237" t="s">
        <v>8</v>
      </c>
    </row>
    <row r="3238" spans="1:8" ht="15.75" customHeight="1">
      <c r="A3238">
        <v>1</v>
      </c>
      <c r="B3238" t="s">
        <v>82</v>
      </c>
      <c r="C3238" t="s">
        <v>751</v>
      </c>
      <c r="D3238" t="s">
        <v>127</v>
      </c>
      <c r="E3238">
        <v>1.5</v>
      </c>
      <c r="F3238" s="30">
        <v>293000</v>
      </c>
      <c r="G3238" s="30">
        <v>439500</v>
      </c>
    </row>
    <row r="3239" spans="1:8" ht="15.75" customHeight="1">
      <c r="A3239">
        <v>2</v>
      </c>
      <c r="B3239" t="s">
        <v>752</v>
      </c>
      <c r="C3239" t="s">
        <v>753</v>
      </c>
      <c r="D3239" t="s">
        <v>12</v>
      </c>
      <c r="E3239">
        <v>2</v>
      </c>
      <c r="F3239" s="30">
        <v>435000</v>
      </c>
      <c r="G3239" s="30">
        <v>870000</v>
      </c>
    </row>
    <row r="3240" spans="1:8" ht="15.75" customHeight="1">
      <c r="A3240">
        <v>3</v>
      </c>
      <c r="B3240" t="s">
        <v>14</v>
      </c>
      <c r="G3240">
        <v>0</v>
      </c>
    </row>
    <row r="3241" spans="1:8" ht="15.75" customHeight="1">
      <c r="A3241" t="s">
        <v>15</v>
      </c>
      <c r="H3241" s="30">
        <v>1309500</v>
      </c>
    </row>
    <row r="3242" spans="1:8" ht="15.75" customHeight="1">
      <c r="A3242" t="s">
        <v>16</v>
      </c>
      <c r="H3242" s="30">
        <v>661500</v>
      </c>
    </row>
    <row r="3243" spans="1:8" ht="15.75" customHeight="1">
      <c r="A3243" t="s">
        <v>17</v>
      </c>
      <c r="H3243" s="30">
        <v>649000</v>
      </c>
    </row>
    <row r="3249" spans="1:8" ht="15.75" customHeight="1">
      <c r="A3249" t="s">
        <v>0</v>
      </c>
    </row>
    <row r="3250" spans="1:8" ht="15.75" customHeight="1">
      <c r="A3250" t="s">
        <v>754</v>
      </c>
    </row>
    <row r="3251" spans="1:8" ht="15.75" customHeight="1">
      <c r="A3251" t="s">
        <v>2</v>
      </c>
      <c r="B3251" t="s">
        <v>3</v>
      </c>
      <c r="C3251" t="s">
        <v>4</v>
      </c>
      <c r="D3251" t="s">
        <v>5</v>
      </c>
      <c r="E3251" t="s">
        <v>6</v>
      </c>
      <c r="F3251" t="s">
        <v>7</v>
      </c>
      <c r="G3251" t="s">
        <v>8</v>
      </c>
    </row>
    <row r="3252" spans="1:8" ht="15.75" customHeight="1">
      <c r="A3252">
        <v>1</v>
      </c>
      <c r="B3252" t="s">
        <v>755</v>
      </c>
      <c r="C3252" t="s">
        <v>456</v>
      </c>
      <c r="D3252" t="s">
        <v>127</v>
      </c>
      <c r="E3252">
        <v>2</v>
      </c>
      <c r="F3252" s="30">
        <v>293000</v>
      </c>
      <c r="G3252" s="30">
        <v>586000</v>
      </c>
    </row>
    <row r="3253" spans="1:8" ht="15.75" customHeight="1">
      <c r="A3253">
        <v>2</v>
      </c>
      <c r="B3253" t="s">
        <v>91</v>
      </c>
      <c r="C3253" t="s">
        <v>756</v>
      </c>
      <c r="D3253" t="s">
        <v>12</v>
      </c>
      <c r="E3253">
        <v>2</v>
      </c>
      <c r="F3253" s="30">
        <v>435000</v>
      </c>
      <c r="G3253" s="30">
        <v>870000</v>
      </c>
    </row>
    <row r="3254" spans="1:8" ht="15.75" customHeight="1">
      <c r="A3254">
        <v>3</v>
      </c>
      <c r="B3254" t="s">
        <v>14</v>
      </c>
      <c r="G3254">
        <v>0</v>
      </c>
    </row>
    <row r="3255" spans="1:8" ht="15.75" customHeight="1">
      <c r="A3255" t="s">
        <v>15</v>
      </c>
      <c r="H3255" s="30">
        <v>1456000</v>
      </c>
    </row>
    <row r="3256" spans="1:8" ht="15.75" customHeight="1">
      <c r="A3256" t="s">
        <v>16</v>
      </c>
      <c r="H3256" s="30">
        <v>808000</v>
      </c>
    </row>
    <row r="3257" spans="1:8" ht="15.75" customHeight="1">
      <c r="A3257" t="s">
        <v>17</v>
      </c>
      <c r="H3257" s="30">
        <v>649000</v>
      </c>
    </row>
    <row r="3265" spans="1:8" ht="15.75" customHeight="1">
      <c r="A3265" t="s">
        <v>0</v>
      </c>
    </row>
    <row r="3266" spans="1:8" ht="15.75" customHeight="1">
      <c r="A3266" t="s">
        <v>757</v>
      </c>
    </row>
    <row r="3267" spans="1:8" ht="15.75" customHeight="1">
      <c r="A3267" t="s">
        <v>2</v>
      </c>
      <c r="B3267" t="s">
        <v>3</v>
      </c>
      <c r="C3267" t="s">
        <v>4</v>
      </c>
      <c r="D3267" t="s">
        <v>5</v>
      </c>
      <c r="E3267" t="s">
        <v>6</v>
      </c>
      <c r="F3267" t="s">
        <v>7</v>
      </c>
      <c r="G3267" t="s">
        <v>8</v>
      </c>
    </row>
    <row r="3268" spans="1:8" ht="15.75" customHeight="1">
      <c r="A3268">
        <v>1</v>
      </c>
      <c r="B3268" t="s">
        <v>80</v>
      </c>
      <c r="C3268" t="s">
        <v>758</v>
      </c>
      <c r="D3268" t="s">
        <v>127</v>
      </c>
      <c r="E3268">
        <v>2</v>
      </c>
      <c r="F3268" s="30">
        <v>293000</v>
      </c>
      <c r="G3268" s="30">
        <v>586000</v>
      </c>
    </row>
    <row r="3269" spans="1:8" ht="15.75" customHeight="1">
      <c r="A3269">
        <v>2</v>
      </c>
      <c r="B3269" t="s">
        <v>182</v>
      </c>
      <c r="C3269" t="s">
        <v>759</v>
      </c>
      <c r="D3269" t="s">
        <v>12</v>
      </c>
      <c r="E3269">
        <v>1.45</v>
      </c>
      <c r="F3269" s="30">
        <v>435000</v>
      </c>
      <c r="G3269" s="30">
        <v>630750</v>
      </c>
    </row>
    <row r="3270" spans="1:8" ht="15.75" customHeight="1">
      <c r="A3270">
        <v>3</v>
      </c>
      <c r="B3270" t="s">
        <v>14</v>
      </c>
      <c r="G3270">
        <v>0</v>
      </c>
    </row>
    <row r="3271" spans="1:8" ht="15.75" customHeight="1">
      <c r="A3271" t="s">
        <v>15</v>
      </c>
      <c r="H3271" s="30">
        <v>1216750</v>
      </c>
    </row>
    <row r="3272" spans="1:8" ht="15.75" customHeight="1">
      <c r="A3272" t="s">
        <v>16</v>
      </c>
      <c r="H3272" s="30">
        <v>568750</v>
      </c>
    </row>
    <row r="3273" spans="1:8" ht="15.75" customHeight="1">
      <c r="A3273" t="s">
        <v>17</v>
      </c>
      <c r="H3273" s="30">
        <v>649000</v>
      </c>
    </row>
    <row r="3280" spans="1:8" ht="15.75" customHeight="1">
      <c r="A3280" t="s">
        <v>0</v>
      </c>
    </row>
    <row r="3281" spans="1:8" ht="15.75" customHeight="1">
      <c r="A3281" t="s">
        <v>760</v>
      </c>
    </row>
    <row r="3282" spans="1:8" ht="15.75" customHeight="1">
      <c r="A3282" t="s">
        <v>2</v>
      </c>
      <c r="B3282" t="s">
        <v>3</v>
      </c>
      <c r="C3282" t="s">
        <v>4</v>
      </c>
      <c r="D3282" t="s">
        <v>5</v>
      </c>
      <c r="E3282" t="s">
        <v>6</v>
      </c>
      <c r="F3282" t="s">
        <v>7</v>
      </c>
      <c r="G3282" t="s">
        <v>8</v>
      </c>
    </row>
    <row r="3283" spans="1:8" ht="15.75" customHeight="1">
      <c r="A3283">
        <v>1</v>
      </c>
      <c r="B3283" t="s">
        <v>740</v>
      </c>
      <c r="C3283" t="s">
        <v>761</v>
      </c>
      <c r="D3283" t="s">
        <v>127</v>
      </c>
      <c r="E3283">
        <v>1.96</v>
      </c>
      <c r="F3283" s="30">
        <v>293000</v>
      </c>
      <c r="G3283" s="30">
        <v>574280</v>
      </c>
    </row>
    <row r="3284" spans="1:8" ht="15.75" customHeight="1">
      <c r="A3284">
        <v>2</v>
      </c>
      <c r="B3284" t="s">
        <v>762</v>
      </c>
      <c r="C3284">
        <v>2099</v>
      </c>
      <c r="D3284" t="s">
        <v>12</v>
      </c>
      <c r="E3284">
        <v>1.5</v>
      </c>
      <c r="F3284" s="30">
        <v>435000</v>
      </c>
      <c r="G3284" s="30">
        <v>652500</v>
      </c>
    </row>
    <row r="3285" spans="1:8" ht="15.75" customHeight="1">
      <c r="A3285">
        <v>3</v>
      </c>
      <c r="B3285" t="s">
        <v>14</v>
      </c>
      <c r="G3285">
        <v>0</v>
      </c>
    </row>
    <row r="3286" spans="1:8" ht="15.75" customHeight="1">
      <c r="A3286" t="s">
        <v>15</v>
      </c>
      <c r="H3286" s="30">
        <v>1226780</v>
      </c>
    </row>
    <row r="3287" spans="1:8" ht="15.75" customHeight="1">
      <c r="A3287" t="s">
        <v>16</v>
      </c>
      <c r="H3287" s="30">
        <v>578780</v>
      </c>
    </row>
    <row r="3288" spans="1:8" ht="15.75" customHeight="1">
      <c r="A3288" t="s">
        <v>17</v>
      </c>
      <c r="H3288" s="30">
        <v>649000</v>
      </c>
    </row>
    <row r="3296" spans="1:8" ht="15.75" customHeight="1">
      <c r="A3296" t="s">
        <v>0</v>
      </c>
    </row>
    <row r="3297" spans="1:8" ht="15.75" customHeight="1">
      <c r="A3297" t="s">
        <v>763</v>
      </c>
    </row>
    <row r="3298" spans="1:8" ht="15.75" customHeight="1">
      <c r="A3298" t="s">
        <v>2</v>
      </c>
      <c r="B3298" t="s">
        <v>3</v>
      </c>
      <c r="C3298" t="s">
        <v>4</v>
      </c>
      <c r="D3298" t="s">
        <v>5</v>
      </c>
      <c r="E3298" t="s">
        <v>6</v>
      </c>
      <c r="F3298" t="s">
        <v>7</v>
      </c>
      <c r="G3298" t="s">
        <v>8</v>
      </c>
    </row>
    <row r="3299" spans="1:8" ht="15.75" customHeight="1">
      <c r="A3299">
        <v>1</v>
      </c>
      <c r="B3299" t="s">
        <v>80</v>
      </c>
      <c r="C3299" t="s">
        <v>764</v>
      </c>
      <c r="D3299" t="s">
        <v>127</v>
      </c>
      <c r="E3299">
        <v>2.19</v>
      </c>
      <c r="F3299" s="30">
        <v>293000</v>
      </c>
      <c r="G3299" s="30">
        <v>641670</v>
      </c>
    </row>
    <row r="3300" spans="1:8" ht="15.75" customHeight="1">
      <c r="A3300">
        <v>2</v>
      </c>
      <c r="B3300" t="s">
        <v>765</v>
      </c>
      <c r="C3300" t="s">
        <v>766</v>
      </c>
      <c r="D3300" t="s">
        <v>12</v>
      </c>
      <c r="E3300">
        <v>1.39</v>
      </c>
      <c r="F3300" s="30">
        <v>435000</v>
      </c>
      <c r="G3300" s="30">
        <v>604650</v>
      </c>
    </row>
    <row r="3301" spans="1:8" ht="15.75" customHeight="1">
      <c r="A3301">
        <v>3</v>
      </c>
      <c r="B3301" t="s">
        <v>14</v>
      </c>
      <c r="G3301">
        <v>0</v>
      </c>
    </row>
    <row r="3302" spans="1:8" ht="15.75" customHeight="1">
      <c r="A3302" t="s">
        <v>15</v>
      </c>
      <c r="H3302" s="30">
        <v>1246320</v>
      </c>
    </row>
    <row r="3303" spans="1:8" ht="15.75" customHeight="1">
      <c r="A3303" t="s">
        <v>16</v>
      </c>
      <c r="H3303" s="30">
        <v>598320</v>
      </c>
    </row>
    <row r="3304" spans="1:8" ht="15.75" customHeight="1">
      <c r="A3304" t="s">
        <v>17</v>
      </c>
      <c r="H3304" s="30">
        <v>649000</v>
      </c>
    </row>
    <row r="3311" spans="1:8" ht="15.75" customHeight="1">
      <c r="A3311" t="s">
        <v>0</v>
      </c>
    </row>
    <row r="3312" spans="1:8" ht="15.75" customHeight="1">
      <c r="A3312" t="s">
        <v>767</v>
      </c>
    </row>
    <row r="3313" spans="1:8" ht="15.75" customHeight="1">
      <c r="A3313" t="s">
        <v>2</v>
      </c>
      <c r="B3313" t="s">
        <v>3</v>
      </c>
      <c r="C3313" t="s">
        <v>4</v>
      </c>
      <c r="D3313" t="s">
        <v>5</v>
      </c>
      <c r="E3313" t="s">
        <v>6</v>
      </c>
      <c r="F3313" t="s">
        <v>7</v>
      </c>
      <c r="G3313" t="s">
        <v>8</v>
      </c>
    </row>
    <row r="3314" spans="1:8" ht="15.75" customHeight="1">
      <c r="A3314">
        <v>1</v>
      </c>
      <c r="B3314" t="s">
        <v>106</v>
      </c>
      <c r="C3314">
        <v>7509</v>
      </c>
      <c r="D3314" t="s">
        <v>127</v>
      </c>
      <c r="E3314">
        <v>1.68</v>
      </c>
      <c r="F3314" s="30">
        <v>293000</v>
      </c>
      <c r="G3314" s="30">
        <v>492240</v>
      </c>
    </row>
    <row r="3315" spans="1:8" ht="15.75" customHeight="1">
      <c r="A3315">
        <v>2</v>
      </c>
      <c r="B3315" t="s">
        <v>521</v>
      </c>
      <c r="C3315">
        <v>1111</v>
      </c>
      <c r="D3315" t="s">
        <v>12</v>
      </c>
      <c r="E3315">
        <v>1.66</v>
      </c>
      <c r="F3315" s="30">
        <v>435000</v>
      </c>
      <c r="G3315" s="30">
        <v>722100</v>
      </c>
    </row>
    <row r="3316" spans="1:8" ht="15.75" customHeight="1">
      <c r="A3316">
        <v>3</v>
      </c>
      <c r="B3316" t="s">
        <v>14</v>
      </c>
      <c r="G3316">
        <v>0</v>
      </c>
    </row>
    <row r="3317" spans="1:8" ht="15.75" customHeight="1">
      <c r="A3317" t="s">
        <v>15</v>
      </c>
      <c r="H3317" s="30">
        <v>1214340</v>
      </c>
    </row>
    <row r="3318" spans="1:8" ht="15.75" customHeight="1">
      <c r="A3318" t="s">
        <v>16</v>
      </c>
      <c r="H3318" s="30">
        <v>566340</v>
      </c>
    </row>
    <row r="3319" spans="1:8" ht="15.75" customHeight="1">
      <c r="A3319" t="s">
        <v>17</v>
      </c>
      <c r="H3319" s="30">
        <v>649000</v>
      </c>
    </row>
    <row r="3326" spans="1:8" ht="15.75" customHeight="1">
      <c r="A3326" t="s">
        <v>0</v>
      </c>
    </row>
    <row r="3327" spans="1:8" ht="15.75" customHeight="1">
      <c r="A3327" t="s">
        <v>768</v>
      </c>
    </row>
    <row r="3328" spans="1:8" ht="15.75" customHeight="1">
      <c r="A3328" t="s">
        <v>2</v>
      </c>
      <c r="B3328" t="s">
        <v>3</v>
      </c>
      <c r="C3328" t="s">
        <v>4</v>
      </c>
      <c r="D3328" t="s">
        <v>5</v>
      </c>
      <c r="E3328" t="s">
        <v>6</v>
      </c>
      <c r="F3328" t="s">
        <v>7</v>
      </c>
      <c r="G3328" t="s">
        <v>8</v>
      </c>
    </row>
    <row r="3329" spans="1:8" ht="15.75" customHeight="1">
      <c r="A3329">
        <v>1</v>
      </c>
      <c r="B3329" t="s">
        <v>80</v>
      </c>
      <c r="C3329" t="s">
        <v>447</v>
      </c>
      <c r="D3329" t="s">
        <v>127</v>
      </c>
      <c r="E3329">
        <v>2</v>
      </c>
      <c r="F3329" s="30">
        <v>293000</v>
      </c>
      <c r="G3329" s="30">
        <v>586000</v>
      </c>
    </row>
    <row r="3330" spans="1:8" ht="15.75" customHeight="1">
      <c r="A3330">
        <v>2</v>
      </c>
      <c r="B3330" t="s">
        <v>523</v>
      </c>
      <c r="C3330" t="s">
        <v>769</v>
      </c>
      <c r="D3330" t="s">
        <v>12</v>
      </c>
      <c r="E3330">
        <v>1.5</v>
      </c>
      <c r="F3330" s="30">
        <v>435000</v>
      </c>
      <c r="G3330" s="30">
        <v>652500</v>
      </c>
    </row>
    <row r="3331" spans="1:8" ht="15.75" customHeight="1">
      <c r="A3331">
        <v>3</v>
      </c>
      <c r="B3331" t="s">
        <v>14</v>
      </c>
      <c r="G3331">
        <v>0</v>
      </c>
    </row>
    <row r="3332" spans="1:8" ht="15.75" customHeight="1">
      <c r="A3332" t="s">
        <v>15</v>
      </c>
      <c r="H3332" s="30">
        <v>1238500</v>
      </c>
    </row>
    <row r="3333" spans="1:8" ht="15.75" customHeight="1">
      <c r="A3333" t="s">
        <v>16</v>
      </c>
      <c r="H3333" s="30">
        <v>590500</v>
      </c>
    </row>
    <row r="3334" spans="1:8" ht="15.75" customHeight="1">
      <c r="A3334" t="s">
        <v>17</v>
      </c>
      <c r="H3334" s="30">
        <v>649000</v>
      </c>
    </row>
    <row r="3342" spans="1:8" ht="15.75" customHeight="1">
      <c r="A3342" t="s">
        <v>0</v>
      </c>
    </row>
    <row r="3343" spans="1:8" ht="15.75" customHeight="1">
      <c r="A3343" t="s">
        <v>770</v>
      </c>
    </row>
    <row r="3344" spans="1:8" ht="15.75" customHeight="1">
      <c r="A3344" t="s">
        <v>2</v>
      </c>
      <c r="B3344" t="s">
        <v>3</v>
      </c>
      <c r="C3344" t="s">
        <v>4</v>
      </c>
      <c r="D3344" t="s">
        <v>5</v>
      </c>
      <c r="E3344" t="s">
        <v>6</v>
      </c>
      <c r="F3344" t="s">
        <v>7</v>
      </c>
      <c r="G3344" t="s">
        <v>8</v>
      </c>
    </row>
    <row r="3345" spans="1:8" ht="15.75" customHeight="1">
      <c r="A3345">
        <v>1</v>
      </c>
      <c r="B3345" t="s">
        <v>53</v>
      </c>
      <c r="C3345" t="s">
        <v>771</v>
      </c>
      <c r="D3345" t="s">
        <v>127</v>
      </c>
      <c r="E3345">
        <v>2</v>
      </c>
      <c r="F3345" s="30">
        <v>293000</v>
      </c>
      <c r="G3345" s="30">
        <v>586000</v>
      </c>
    </row>
    <row r="3346" spans="1:8" ht="15.75" customHeight="1">
      <c r="A3346">
        <v>2</v>
      </c>
      <c r="B3346" t="s">
        <v>772</v>
      </c>
      <c r="C3346" t="s">
        <v>773</v>
      </c>
      <c r="D3346" t="s">
        <v>12</v>
      </c>
      <c r="E3346">
        <v>1.48</v>
      </c>
      <c r="F3346" s="30">
        <v>435000</v>
      </c>
      <c r="G3346" s="30">
        <v>643800</v>
      </c>
    </row>
    <row r="3347" spans="1:8" ht="15.75" customHeight="1">
      <c r="A3347">
        <v>3</v>
      </c>
      <c r="B3347" t="s">
        <v>14</v>
      </c>
      <c r="G3347">
        <v>0</v>
      </c>
    </row>
    <row r="3348" spans="1:8" ht="15.75" customHeight="1">
      <c r="A3348" t="s">
        <v>15</v>
      </c>
      <c r="H3348" s="30">
        <v>1229800</v>
      </c>
    </row>
    <row r="3349" spans="1:8" ht="15.75" customHeight="1">
      <c r="A3349" t="s">
        <v>16</v>
      </c>
      <c r="H3349" s="30">
        <v>581800</v>
      </c>
    </row>
    <row r="3350" spans="1:8" ht="15.75" customHeight="1">
      <c r="A3350" t="s">
        <v>17</v>
      </c>
      <c r="H3350" s="30">
        <v>649000</v>
      </c>
    </row>
    <row r="3359" spans="1:8" ht="15.75" customHeight="1">
      <c r="A3359" t="s">
        <v>0</v>
      </c>
    </row>
    <row r="3360" spans="1:8" ht="15.75" customHeight="1">
      <c r="A3360" t="s">
        <v>774</v>
      </c>
    </row>
    <row r="3361" spans="1:8" ht="15.75" customHeight="1">
      <c r="A3361" t="s">
        <v>2</v>
      </c>
      <c r="B3361" t="s">
        <v>3</v>
      </c>
      <c r="C3361" t="s">
        <v>4</v>
      </c>
      <c r="D3361" t="s">
        <v>5</v>
      </c>
      <c r="E3361" t="s">
        <v>6</v>
      </c>
      <c r="F3361" t="s">
        <v>7</v>
      </c>
      <c r="G3361" t="s">
        <v>8</v>
      </c>
    </row>
    <row r="3362" spans="1:8" ht="15.75" customHeight="1">
      <c r="A3362">
        <v>1</v>
      </c>
      <c r="B3362" t="s">
        <v>775</v>
      </c>
      <c r="C3362" t="s">
        <v>776</v>
      </c>
      <c r="D3362" t="s">
        <v>127</v>
      </c>
      <c r="E3362">
        <v>2</v>
      </c>
      <c r="F3362" s="30">
        <v>293000</v>
      </c>
      <c r="G3362" s="30">
        <v>586000</v>
      </c>
    </row>
    <row r="3363" spans="1:8" ht="15.75" customHeight="1">
      <c r="A3363">
        <v>2</v>
      </c>
      <c r="B3363" t="s">
        <v>175</v>
      </c>
      <c r="C3363" t="s">
        <v>777</v>
      </c>
      <c r="D3363" t="s">
        <v>12</v>
      </c>
      <c r="E3363">
        <v>1.45</v>
      </c>
      <c r="F3363" s="30">
        <v>435000</v>
      </c>
      <c r="G3363" s="30">
        <v>630750</v>
      </c>
    </row>
    <row r="3364" spans="1:8" ht="15.75" customHeight="1">
      <c r="A3364">
        <v>3</v>
      </c>
      <c r="B3364" t="s">
        <v>14</v>
      </c>
      <c r="G3364">
        <v>0</v>
      </c>
    </row>
    <row r="3365" spans="1:8" ht="15.75" customHeight="1">
      <c r="A3365" t="s">
        <v>15</v>
      </c>
      <c r="H3365" s="30">
        <v>1216750</v>
      </c>
    </row>
    <row r="3366" spans="1:8" ht="15.75" customHeight="1">
      <c r="A3366" t="s">
        <v>16</v>
      </c>
      <c r="H3366" s="30">
        <v>568750</v>
      </c>
    </row>
    <row r="3367" spans="1:8" ht="15.75" customHeight="1">
      <c r="A3367" t="s">
        <v>17</v>
      </c>
      <c r="H3367" s="30">
        <v>649000</v>
      </c>
    </row>
    <row r="3374" spans="1:8" ht="15.75" customHeight="1">
      <c r="A3374" t="s">
        <v>0</v>
      </c>
    </row>
    <row r="3375" spans="1:8" ht="15.75" customHeight="1">
      <c r="A3375" t="s">
        <v>778</v>
      </c>
    </row>
    <row r="3376" spans="1:8" ht="15.75" customHeight="1">
      <c r="A3376" t="s">
        <v>2</v>
      </c>
      <c r="B3376" t="s">
        <v>3</v>
      </c>
      <c r="C3376" t="s">
        <v>4</v>
      </c>
      <c r="D3376" t="s">
        <v>5</v>
      </c>
      <c r="E3376" t="s">
        <v>6</v>
      </c>
      <c r="F3376" t="s">
        <v>7</v>
      </c>
      <c r="G3376" t="s">
        <v>8</v>
      </c>
    </row>
    <row r="3377" spans="1:8" ht="15.75" customHeight="1">
      <c r="A3377">
        <v>1</v>
      </c>
      <c r="B3377" t="s">
        <v>93</v>
      </c>
      <c r="C3377" t="s">
        <v>779</v>
      </c>
      <c r="D3377" t="s">
        <v>127</v>
      </c>
      <c r="E3377">
        <v>2</v>
      </c>
      <c r="F3377" s="30">
        <v>293000</v>
      </c>
      <c r="G3377" s="30">
        <v>586000</v>
      </c>
    </row>
    <row r="3378" spans="1:8" ht="15.75" customHeight="1">
      <c r="A3378">
        <v>2</v>
      </c>
      <c r="B3378" t="s">
        <v>85</v>
      </c>
      <c r="C3378">
        <v>1735</v>
      </c>
      <c r="D3378" t="s">
        <v>12</v>
      </c>
      <c r="E3378">
        <v>1.5</v>
      </c>
      <c r="F3378" s="30">
        <v>435000</v>
      </c>
      <c r="G3378" s="30">
        <v>652500</v>
      </c>
    </row>
    <row r="3379" spans="1:8" ht="15.75" customHeight="1">
      <c r="A3379">
        <v>3</v>
      </c>
      <c r="B3379" t="s">
        <v>14</v>
      </c>
      <c r="G3379">
        <v>0</v>
      </c>
    </row>
    <row r="3380" spans="1:8" ht="15.75" customHeight="1">
      <c r="A3380" t="s">
        <v>15</v>
      </c>
      <c r="H3380" s="30">
        <v>1238500</v>
      </c>
    </row>
    <row r="3381" spans="1:8" ht="15.75" customHeight="1">
      <c r="A3381" t="s">
        <v>16</v>
      </c>
      <c r="H3381" s="30">
        <v>590500</v>
      </c>
    </row>
    <row r="3382" spans="1:8" ht="15.75" customHeight="1">
      <c r="A3382" t="s">
        <v>17</v>
      </c>
      <c r="H3382" s="30">
        <v>649000</v>
      </c>
    </row>
    <row r="3391" spans="1:8" ht="15.75" customHeight="1">
      <c r="A3391" t="s">
        <v>0</v>
      </c>
    </row>
    <row r="3392" spans="1:8" ht="15.75" customHeight="1">
      <c r="A3392" t="s">
        <v>780</v>
      </c>
    </row>
    <row r="3393" spans="1:8" ht="15.75" customHeight="1">
      <c r="A3393" t="s">
        <v>2</v>
      </c>
      <c r="B3393" t="s">
        <v>3</v>
      </c>
      <c r="C3393" t="s">
        <v>4</v>
      </c>
      <c r="D3393" t="s">
        <v>5</v>
      </c>
      <c r="E3393" t="s">
        <v>6</v>
      </c>
      <c r="F3393" t="s">
        <v>7</v>
      </c>
      <c r="G3393" t="s">
        <v>8</v>
      </c>
    </row>
    <row r="3394" spans="1:8" ht="15.75" customHeight="1">
      <c r="A3394">
        <v>1</v>
      </c>
      <c r="B3394" t="s">
        <v>329</v>
      </c>
      <c r="C3394" t="s">
        <v>676</v>
      </c>
      <c r="D3394" t="s">
        <v>127</v>
      </c>
      <c r="E3394">
        <v>2.33</v>
      </c>
      <c r="F3394" s="30">
        <v>293000</v>
      </c>
      <c r="G3394" s="30">
        <v>682690</v>
      </c>
    </row>
    <row r="3395" spans="1:8" ht="15.75" customHeight="1">
      <c r="A3395">
        <v>2</v>
      </c>
      <c r="B3395" t="s">
        <v>167</v>
      </c>
      <c r="C3395" t="s">
        <v>781</v>
      </c>
      <c r="D3395" t="s">
        <v>12</v>
      </c>
      <c r="E3395">
        <v>1.27</v>
      </c>
      <c r="F3395" s="30">
        <v>435000</v>
      </c>
      <c r="G3395" s="30">
        <v>552450</v>
      </c>
    </row>
    <row r="3396" spans="1:8" ht="15.75" customHeight="1">
      <c r="A3396">
        <v>3</v>
      </c>
      <c r="B3396" t="s">
        <v>14</v>
      </c>
      <c r="G3396">
        <v>0</v>
      </c>
    </row>
    <row r="3397" spans="1:8" ht="15.75" customHeight="1">
      <c r="A3397" t="s">
        <v>15</v>
      </c>
      <c r="H3397" s="30">
        <v>1235140</v>
      </c>
    </row>
    <row r="3398" spans="1:8" ht="15.75" customHeight="1">
      <c r="A3398" t="s">
        <v>16</v>
      </c>
      <c r="H3398" s="30">
        <v>587140</v>
      </c>
    </row>
    <row r="3399" spans="1:8" ht="15.75" customHeight="1">
      <c r="A3399" t="s">
        <v>17</v>
      </c>
      <c r="H3399" s="30">
        <v>649000</v>
      </c>
    </row>
    <row r="3407" spans="1:8" ht="15.75" customHeight="1">
      <c r="A3407" t="s">
        <v>0</v>
      </c>
    </row>
    <row r="3408" spans="1:8" ht="15.75" customHeight="1">
      <c r="A3408" t="s">
        <v>782</v>
      </c>
    </row>
    <row r="3409" spans="1:8" ht="15.75" customHeight="1">
      <c r="A3409" t="s">
        <v>2</v>
      </c>
      <c r="B3409" t="s">
        <v>3</v>
      </c>
      <c r="C3409" t="s">
        <v>4</v>
      </c>
      <c r="D3409" t="s">
        <v>5</v>
      </c>
      <c r="E3409" t="s">
        <v>6</v>
      </c>
      <c r="F3409" t="s">
        <v>7</v>
      </c>
      <c r="G3409" t="s">
        <v>8</v>
      </c>
    </row>
    <row r="3410" spans="1:8" ht="15.75" customHeight="1">
      <c r="A3410">
        <v>1</v>
      </c>
      <c r="B3410" t="s">
        <v>75</v>
      </c>
      <c r="C3410" t="s">
        <v>656</v>
      </c>
      <c r="D3410" t="s">
        <v>127</v>
      </c>
      <c r="E3410">
        <v>2</v>
      </c>
      <c r="F3410" s="30">
        <v>293000</v>
      </c>
      <c r="G3410" s="30">
        <v>586000</v>
      </c>
    </row>
    <row r="3411" spans="1:8" ht="15.75" customHeight="1">
      <c r="A3411">
        <v>2</v>
      </c>
      <c r="B3411" t="s">
        <v>497</v>
      </c>
      <c r="C3411" t="s">
        <v>783</v>
      </c>
      <c r="D3411" t="s">
        <v>12</v>
      </c>
      <c r="E3411">
        <v>1.44</v>
      </c>
      <c r="F3411" s="30">
        <v>435000</v>
      </c>
      <c r="G3411" s="30">
        <v>626400</v>
      </c>
    </row>
    <row r="3412" spans="1:8" ht="15.75" customHeight="1">
      <c r="A3412">
        <v>3</v>
      </c>
      <c r="B3412" t="s">
        <v>14</v>
      </c>
      <c r="G3412">
        <v>0</v>
      </c>
    </row>
    <row r="3413" spans="1:8" ht="15.75" customHeight="1">
      <c r="A3413" t="s">
        <v>15</v>
      </c>
      <c r="H3413" s="30">
        <v>1212400</v>
      </c>
    </row>
    <row r="3414" spans="1:8" ht="15.75" customHeight="1">
      <c r="A3414" t="s">
        <v>16</v>
      </c>
      <c r="H3414" s="30">
        <v>564400</v>
      </c>
    </row>
    <row r="3415" spans="1:8" ht="15.75" customHeight="1">
      <c r="A3415" t="s">
        <v>17</v>
      </c>
      <c r="H3415" s="30">
        <v>649000</v>
      </c>
    </row>
    <row r="3423" spans="1:8" ht="15.75" customHeight="1">
      <c r="A3423" t="s">
        <v>0</v>
      </c>
    </row>
    <row r="3424" spans="1:8" ht="15.75" customHeight="1">
      <c r="A3424" t="s">
        <v>784</v>
      </c>
    </row>
    <row r="3425" spans="1:8" ht="15.75" customHeight="1">
      <c r="A3425" t="s">
        <v>2</v>
      </c>
      <c r="B3425" t="s">
        <v>3</v>
      </c>
      <c r="C3425" t="s">
        <v>4</v>
      </c>
      <c r="D3425" t="s">
        <v>5</v>
      </c>
      <c r="E3425" t="s">
        <v>6</v>
      </c>
      <c r="F3425" t="s">
        <v>7</v>
      </c>
      <c r="G3425" t="s">
        <v>8</v>
      </c>
    </row>
    <row r="3426" spans="1:8" ht="15.75" customHeight="1">
      <c r="A3426">
        <v>1</v>
      </c>
      <c r="B3426" t="s">
        <v>329</v>
      </c>
      <c r="C3426" t="s">
        <v>785</v>
      </c>
      <c r="D3426" t="s">
        <v>127</v>
      </c>
      <c r="E3426">
        <v>1.6</v>
      </c>
      <c r="F3426" s="30">
        <v>293000</v>
      </c>
      <c r="G3426" s="30">
        <v>468800</v>
      </c>
    </row>
    <row r="3427" spans="1:8" ht="15.75" customHeight="1">
      <c r="A3427">
        <v>2</v>
      </c>
      <c r="B3427" t="s">
        <v>491</v>
      </c>
      <c r="C3427" t="s">
        <v>786</v>
      </c>
      <c r="D3427" t="s">
        <v>12</v>
      </c>
      <c r="E3427">
        <v>1.93</v>
      </c>
      <c r="F3427" s="30">
        <v>435000</v>
      </c>
      <c r="G3427" s="30">
        <v>839550</v>
      </c>
    </row>
    <row r="3428" spans="1:8" ht="15.75" customHeight="1">
      <c r="A3428">
        <v>3</v>
      </c>
      <c r="B3428" t="s">
        <v>14</v>
      </c>
      <c r="G3428">
        <v>0</v>
      </c>
    </row>
    <row r="3429" spans="1:8" ht="15.75" customHeight="1">
      <c r="A3429" t="s">
        <v>15</v>
      </c>
      <c r="H3429" s="30">
        <v>1308350</v>
      </c>
    </row>
    <row r="3430" spans="1:8" ht="15.75" customHeight="1">
      <c r="A3430" t="s">
        <v>16</v>
      </c>
      <c r="H3430" s="30">
        <v>660350</v>
      </c>
    </row>
    <row r="3431" spans="1:8" ht="15.75" customHeight="1">
      <c r="A3431" t="s">
        <v>17</v>
      </c>
      <c r="H3431" s="30">
        <v>649000</v>
      </c>
    </row>
    <row r="3438" spans="1:8" ht="15.75" customHeight="1">
      <c r="A3438" t="s">
        <v>0</v>
      </c>
    </row>
    <row r="3439" spans="1:8" ht="15.75" customHeight="1">
      <c r="A3439" t="s">
        <v>787</v>
      </c>
    </row>
    <row r="3440" spans="1:8" ht="15.75" customHeight="1">
      <c r="A3440" t="s">
        <v>2</v>
      </c>
      <c r="B3440" t="s">
        <v>3</v>
      </c>
      <c r="C3440" t="s">
        <v>4</v>
      </c>
      <c r="D3440" t="s">
        <v>5</v>
      </c>
      <c r="E3440" t="s">
        <v>6</v>
      </c>
      <c r="F3440" t="s">
        <v>7</v>
      </c>
      <c r="G3440" t="s">
        <v>8</v>
      </c>
    </row>
    <row r="3441" spans="1:8" ht="15.75" customHeight="1">
      <c r="A3441">
        <v>1</v>
      </c>
      <c r="B3441" t="s">
        <v>159</v>
      </c>
      <c r="C3441" t="s">
        <v>788</v>
      </c>
      <c r="D3441" t="s">
        <v>127</v>
      </c>
      <c r="E3441">
        <v>2.23</v>
      </c>
      <c r="F3441" s="30">
        <v>293000</v>
      </c>
      <c r="G3441" s="30">
        <v>653390</v>
      </c>
    </row>
    <row r="3442" spans="1:8" ht="15.75" customHeight="1">
      <c r="A3442">
        <v>2</v>
      </c>
      <c r="B3442" t="s">
        <v>146</v>
      </c>
      <c r="C3442" t="s">
        <v>789</v>
      </c>
      <c r="D3442" t="s">
        <v>12</v>
      </c>
      <c r="E3442">
        <v>1.29</v>
      </c>
      <c r="F3442" s="30">
        <v>435000</v>
      </c>
      <c r="G3442" s="30">
        <v>561150</v>
      </c>
    </row>
    <row r="3443" spans="1:8" ht="15.75" customHeight="1">
      <c r="A3443">
        <v>3</v>
      </c>
      <c r="B3443" t="s">
        <v>14</v>
      </c>
      <c r="G3443">
        <v>0</v>
      </c>
    </row>
    <row r="3444" spans="1:8" ht="15.75" customHeight="1">
      <c r="A3444" t="s">
        <v>15</v>
      </c>
      <c r="H3444" s="30">
        <v>1214540</v>
      </c>
    </row>
    <row r="3445" spans="1:8" ht="15.75" customHeight="1">
      <c r="A3445" t="s">
        <v>16</v>
      </c>
      <c r="H3445" s="30">
        <v>566540</v>
      </c>
    </row>
    <row r="3446" spans="1:8" ht="15.75" customHeight="1">
      <c r="A3446" t="s">
        <v>17</v>
      </c>
      <c r="H3446" s="30">
        <v>649000</v>
      </c>
    </row>
    <row r="3454" spans="1:8" ht="15.75" customHeight="1">
      <c r="A3454" t="s">
        <v>0</v>
      </c>
    </row>
    <row r="3455" spans="1:8" ht="15.75" customHeight="1">
      <c r="A3455" t="s">
        <v>790</v>
      </c>
    </row>
    <row r="3456" spans="1:8" ht="15.75" customHeight="1">
      <c r="A3456" t="s">
        <v>2</v>
      </c>
      <c r="B3456" t="s">
        <v>3</v>
      </c>
      <c r="C3456" t="s">
        <v>4</v>
      </c>
      <c r="D3456" t="s">
        <v>5</v>
      </c>
      <c r="E3456" t="s">
        <v>6</v>
      </c>
      <c r="F3456" t="s">
        <v>7</v>
      </c>
      <c r="G3456" t="s">
        <v>8</v>
      </c>
    </row>
    <row r="3457" spans="1:8" ht="15.75" customHeight="1">
      <c r="A3457">
        <v>1</v>
      </c>
      <c r="B3457" t="s">
        <v>200</v>
      </c>
      <c r="C3457" t="s">
        <v>791</v>
      </c>
      <c r="D3457" t="s">
        <v>127</v>
      </c>
      <c r="E3457">
        <v>1.5</v>
      </c>
      <c r="F3457" s="30">
        <v>293000</v>
      </c>
      <c r="G3457" s="30">
        <v>439500</v>
      </c>
    </row>
    <row r="3458" spans="1:8" ht="15.75" customHeight="1">
      <c r="A3458">
        <v>2</v>
      </c>
      <c r="B3458" t="s">
        <v>175</v>
      </c>
      <c r="C3458" t="s">
        <v>677</v>
      </c>
      <c r="D3458" t="s">
        <v>12</v>
      </c>
      <c r="E3458">
        <v>2</v>
      </c>
      <c r="F3458" s="30">
        <v>435000</v>
      </c>
      <c r="G3458" s="30">
        <v>870000</v>
      </c>
    </row>
    <row r="3459" spans="1:8" ht="15.75" customHeight="1">
      <c r="A3459">
        <v>3</v>
      </c>
      <c r="B3459" t="s">
        <v>14</v>
      </c>
      <c r="G3459">
        <v>0</v>
      </c>
    </row>
    <row r="3460" spans="1:8" ht="15.75" customHeight="1">
      <c r="A3460" t="s">
        <v>15</v>
      </c>
      <c r="H3460" s="30">
        <v>1309500</v>
      </c>
    </row>
    <row r="3461" spans="1:8" ht="15.75" customHeight="1">
      <c r="A3461" t="s">
        <v>16</v>
      </c>
      <c r="H3461" s="30">
        <v>661500</v>
      </c>
    </row>
    <row r="3462" spans="1:8" ht="15.75" customHeight="1">
      <c r="A3462" t="s">
        <v>17</v>
      </c>
      <c r="H3462" s="30">
        <v>649000</v>
      </c>
    </row>
    <row r="3471" spans="1:8" ht="15.75" customHeight="1">
      <c r="A3471" t="s">
        <v>0</v>
      </c>
    </row>
    <row r="3472" spans="1:8" ht="15.75" customHeight="1">
      <c r="A3472" t="s">
        <v>792</v>
      </c>
    </row>
    <row r="3473" spans="1:8" ht="15.75" customHeight="1">
      <c r="A3473" t="s">
        <v>2</v>
      </c>
      <c r="B3473" t="s">
        <v>3</v>
      </c>
      <c r="C3473" t="s">
        <v>4</v>
      </c>
      <c r="D3473" t="s">
        <v>5</v>
      </c>
      <c r="E3473" t="s">
        <v>6</v>
      </c>
      <c r="F3473" t="s">
        <v>7</v>
      </c>
      <c r="G3473" t="s">
        <v>8</v>
      </c>
    </row>
    <row r="3474" spans="1:8" ht="15.75" customHeight="1">
      <c r="A3474">
        <v>1</v>
      </c>
      <c r="B3474" t="s">
        <v>175</v>
      </c>
      <c r="C3474" t="s">
        <v>793</v>
      </c>
      <c r="D3474" t="s">
        <v>127</v>
      </c>
      <c r="E3474">
        <v>1.5</v>
      </c>
      <c r="F3474" s="30">
        <v>293000</v>
      </c>
      <c r="G3474" s="30">
        <v>439500</v>
      </c>
    </row>
    <row r="3475" spans="1:8" ht="15.75" customHeight="1">
      <c r="A3475">
        <v>2</v>
      </c>
      <c r="B3475" t="s">
        <v>85</v>
      </c>
      <c r="C3475" t="s">
        <v>794</v>
      </c>
      <c r="D3475" t="s">
        <v>12</v>
      </c>
      <c r="E3475">
        <v>1.7</v>
      </c>
      <c r="F3475" s="30">
        <v>435000</v>
      </c>
      <c r="G3475" s="30">
        <v>739500</v>
      </c>
    </row>
    <row r="3476" spans="1:8" ht="15.75" customHeight="1">
      <c r="A3476">
        <v>3</v>
      </c>
      <c r="B3476" t="s">
        <v>14</v>
      </c>
      <c r="G3476">
        <v>0</v>
      </c>
    </row>
    <row r="3477" spans="1:8" ht="15.75" customHeight="1">
      <c r="A3477" t="s">
        <v>15</v>
      </c>
      <c r="H3477" s="30">
        <v>1179000</v>
      </c>
    </row>
    <row r="3478" spans="1:8" ht="15.75" customHeight="1">
      <c r="A3478" t="s">
        <v>16</v>
      </c>
      <c r="H3478" s="30">
        <v>531000</v>
      </c>
    </row>
    <row r="3479" spans="1:8" ht="15.75" customHeight="1">
      <c r="A3479" t="s">
        <v>17</v>
      </c>
      <c r="H3479" s="30">
        <v>649000</v>
      </c>
    </row>
    <row r="3489" spans="1:8" ht="15.75" customHeight="1">
      <c r="A3489" t="s">
        <v>0</v>
      </c>
    </row>
    <row r="3490" spans="1:8" ht="15.75" customHeight="1">
      <c r="A3490" t="s">
        <v>795</v>
      </c>
    </row>
    <row r="3491" spans="1:8" ht="15.75" customHeight="1">
      <c r="A3491" t="s">
        <v>2</v>
      </c>
      <c r="B3491" t="s">
        <v>3</v>
      </c>
      <c r="C3491" t="s">
        <v>4</v>
      </c>
      <c r="D3491" t="s">
        <v>5</v>
      </c>
      <c r="E3491" t="s">
        <v>6</v>
      </c>
      <c r="F3491" t="s">
        <v>7</v>
      </c>
      <c r="G3491" t="s">
        <v>8</v>
      </c>
    </row>
    <row r="3492" spans="1:8" ht="15.75" customHeight="1">
      <c r="A3492">
        <v>1</v>
      </c>
      <c r="B3492" t="s">
        <v>213</v>
      </c>
      <c r="C3492" t="s">
        <v>796</v>
      </c>
      <c r="D3492" t="s">
        <v>127</v>
      </c>
      <c r="E3492">
        <v>1.7</v>
      </c>
      <c r="F3492" s="30">
        <v>293000</v>
      </c>
      <c r="G3492" s="30">
        <v>498100</v>
      </c>
    </row>
    <row r="3493" spans="1:8" ht="15.75" customHeight="1">
      <c r="A3493">
        <v>2</v>
      </c>
      <c r="B3493" t="s">
        <v>797</v>
      </c>
      <c r="C3493" t="s">
        <v>798</v>
      </c>
      <c r="D3493" t="s">
        <v>12</v>
      </c>
      <c r="E3493">
        <v>1.84</v>
      </c>
      <c r="F3493" s="30">
        <v>435000</v>
      </c>
      <c r="G3493" s="30">
        <v>800400</v>
      </c>
    </row>
    <row r="3494" spans="1:8" ht="15.75" customHeight="1">
      <c r="A3494">
        <v>3</v>
      </c>
      <c r="B3494" t="s">
        <v>14</v>
      </c>
      <c r="G3494">
        <v>0</v>
      </c>
    </row>
    <row r="3495" spans="1:8" ht="15.75" customHeight="1">
      <c r="A3495" t="s">
        <v>15</v>
      </c>
      <c r="H3495" s="30">
        <v>1298500</v>
      </c>
    </row>
    <row r="3496" spans="1:8" ht="15.75" customHeight="1">
      <c r="A3496" t="s">
        <v>16</v>
      </c>
      <c r="H3496" s="30">
        <v>650500</v>
      </c>
    </row>
    <row r="3497" spans="1:8" ht="15.75" customHeight="1">
      <c r="A3497" t="s">
        <v>17</v>
      </c>
      <c r="H3497" s="30">
        <v>649000</v>
      </c>
    </row>
    <row r="3503" spans="1:8" ht="15.75" customHeight="1">
      <c r="A3503" t="s">
        <v>0</v>
      </c>
    </row>
    <row r="3504" spans="1:8" ht="15.75" customHeight="1">
      <c r="A3504" t="s">
        <v>799</v>
      </c>
    </row>
    <row r="3505" spans="1:8" ht="15.75" customHeight="1">
      <c r="A3505" t="s">
        <v>2</v>
      </c>
      <c r="B3505" t="s">
        <v>3</v>
      </c>
      <c r="C3505" t="s">
        <v>4</v>
      </c>
      <c r="D3505" t="s">
        <v>5</v>
      </c>
      <c r="E3505" t="s">
        <v>6</v>
      </c>
      <c r="F3505" t="s">
        <v>7</v>
      </c>
      <c r="G3505" t="s">
        <v>8</v>
      </c>
    </row>
    <row r="3506" spans="1:8" ht="15.75" customHeight="1">
      <c r="A3506">
        <v>1</v>
      </c>
      <c r="B3506" t="s">
        <v>97</v>
      </c>
      <c r="C3506" t="s">
        <v>800</v>
      </c>
      <c r="D3506" t="s">
        <v>127</v>
      </c>
      <c r="E3506">
        <v>1.65</v>
      </c>
      <c r="F3506" s="30">
        <v>293000</v>
      </c>
      <c r="G3506" s="30">
        <v>483450</v>
      </c>
    </row>
    <row r="3507" spans="1:8" ht="15.75" customHeight="1">
      <c r="A3507">
        <v>2</v>
      </c>
      <c r="B3507" t="s">
        <v>797</v>
      </c>
      <c r="C3507" t="s">
        <v>801</v>
      </c>
      <c r="D3507" t="s">
        <v>12</v>
      </c>
      <c r="E3507">
        <v>1.64</v>
      </c>
      <c r="F3507" s="30">
        <v>435000</v>
      </c>
      <c r="G3507" s="30">
        <v>713400</v>
      </c>
    </row>
    <row r="3508" spans="1:8" ht="15.75" customHeight="1">
      <c r="A3508">
        <v>3</v>
      </c>
      <c r="B3508" t="s">
        <v>14</v>
      </c>
      <c r="G3508">
        <v>0</v>
      </c>
    </row>
    <row r="3509" spans="1:8" ht="15.75" customHeight="1">
      <c r="A3509" t="s">
        <v>15</v>
      </c>
      <c r="H3509" s="30">
        <v>1196850</v>
      </c>
    </row>
    <row r="3510" spans="1:8" ht="15.75" customHeight="1">
      <c r="A3510" t="s">
        <v>16</v>
      </c>
      <c r="H3510" s="30">
        <v>548850</v>
      </c>
    </row>
    <row r="3511" spans="1:8" ht="15.75" customHeight="1">
      <c r="A3511" t="s">
        <v>17</v>
      </c>
      <c r="H3511" s="30">
        <v>649000</v>
      </c>
    </row>
    <row r="3519" spans="1:8" ht="15.75" customHeight="1">
      <c r="A3519" t="s">
        <v>0</v>
      </c>
    </row>
    <row r="3520" spans="1:8" ht="15.75" customHeight="1">
      <c r="A3520" t="s">
        <v>802</v>
      </c>
    </row>
    <row r="3521" spans="1:8" ht="15.75" customHeight="1">
      <c r="A3521" t="s">
        <v>2</v>
      </c>
      <c r="B3521" t="s">
        <v>3</v>
      </c>
      <c r="C3521" t="s">
        <v>4</v>
      </c>
      <c r="D3521" t="s">
        <v>5</v>
      </c>
      <c r="E3521" t="s">
        <v>6</v>
      </c>
      <c r="F3521" t="s">
        <v>7</v>
      </c>
      <c r="G3521" t="s">
        <v>8</v>
      </c>
    </row>
    <row r="3522" spans="1:8" ht="15.75" customHeight="1">
      <c r="A3522">
        <v>1</v>
      </c>
      <c r="B3522" t="s">
        <v>80</v>
      </c>
      <c r="C3522" t="s">
        <v>758</v>
      </c>
      <c r="D3522" t="s">
        <v>127</v>
      </c>
      <c r="E3522">
        <v>2</v>
      </c>
      <c r="F3522" s="30">
        <v>293000</v>
      </c>
      <c r="G3522" s="30">
        <v>586000</v>
      </c>
    </row>
    <row r="3523" spans="1:8" ht="15.75" customHeight="1">
      <c r="A3523">
        <v>2</v>
      </c>
      <c r="B3523" t="s">
        <v>803</v>
      </c>
      <c r="C3523" t="s">
        <v>804</v>
      </c>
      <c r="D3523" t="s">
        <v>12</v>
      </c>
      <c r="E3523">
        <v>1.55</v>
      </c>
      <c r="F3523" s="30">
        <v>435000</v>
      </c>
      <c r="G3523" s="30">
        <v>674250</v>
      </c>
    </row>
    <row r="3524" spans="1:8" ht="15.75" customHeight="1">
      <c r="A3524">
        <v>3</v>
      </c>
      <c r="B3524" t="s">
        <v>14</v>
      </c>
      <c r="G3524">
        <v>0</v>
      </c>
    </row>
    <row r="3525" spans="1:8" ht="15.75" customHeight="1">
      <c r="A3525" t="s">
        <v>15</v>
      </c>
      <c r="H3525" s="30">
        <v>1260250</v>
      </c>
    </row>
    <row r="3526" spans="1:8" ht="15.75" customHeight="1">
      <c r="A3526" t="s">
        <v>16</v>
      </c>
      <c r="H3526" s="30">
        <v>612250</v>
      </c>
    </row>
    <row r="3527" spans="1:8" ht="15.75" customHeight="1">
      <c r="A3527" t="s">
        <v>17</v>
      </c>
      <c r="H3527" s="30">
        <v>649000</v>
      </c>
    </row>
    <row r="3535" spans="1:8" ht="15.75" customHeight="1">
      <c r="A3535" t="s">
        <v>0</v>
      </c>
    </row>
    <row r="3536" spans="1:8" ht="15.75" customHeight="1">
      <c r="A3536" t="s">
        <v>805</v>
      </c>
    </row>
    <row r="3537" spans="1:8" ht="15.75" customHeight="1">
      <c r="A3537" t="s">
        <v>2</v>
      </c>
      <c r="B3537" t="s">
        <v>3</v>
      </c>
      <c r="C3537" t="s">
        <v>4</v>
      </c>
      <c r="D3537" t="s">
        <v>5</v>
      </c>
      <c r="E3537" t="s">
        <v>6</v>
      </c>
      <c r="F3537" t="s">
        <v>7</v>
      </c>
      <c r="G3537" t="s">
        <v>8</v>
      </c>
    </row>
    <row r="3538" spans="1:8" ht="15.75" customHeight="1">
      <c r="A3538">
        <v>1</v>
      </c>
      <c r="B3538" t="s">
        <v>182</v>
      </c>
      <c r="C3538" t="s">
        <v>806</v>
      </c>
      <c r="D3538" t="s">
        <v>127</v>
      </c>
      <c r="E3538">
        <v>1.5</v>
      </c>
      <c r="F3538" s="30">
        <v>293000</v>
      </c>
      <c r="G3538" s="30">
        <v>439500</v>
      </c>
    </row>
    <row r="3539" spans="1:8" ht="15.75" customHeight="1">
      <c r="A3539">
        <v>2</v>
      </c>
      <c r="B3539" t="s">
        <v>175</v>
      </c>
      <c r="C3539" t="s">
        <v>677</v>
      </c>
      <c r="D3539" t="s">
        <v>12</v>
      </c>
      <c r="E3539">
        <v>2</v>
      </c>
      <c r="F3539" s="30">
        <v>435000</v>
      </c>
      <c r="G3539" s="30">
        <v>870000</v>
      </c>
    </row>
    <row r="3540" spans="1:8" ht="15.75" customHeight="1">
      <c r="A3540">
        <v>3</v>
      </c>
      <c r="B3540" t="s">
        <v>14</v>
      </c>
      <c r="G3540">
        <v>0</v>
      </c>
    </row>
    <row r="3541" spans="1:8" ht="15.75" customHeight="1">
      <c r="A3541" t="s">
        <v>15</v>
      </c>
      <c r="H3541" s="30">
        <v>1309500</v>
      </c>
    </row>
    <row r="3542" spans="1:8" ht="15.75" customHeight="1">
      <c r="A3542" t="s">
        <v>16</v>
      </c>
      <c r="H3542" s="30">
        <v>661500</v>
      </c>
    </row>
    <row r="3543" spans="1:8" ht="15.75" customHeight="1">
      <c r="A3543" t="s">
        <v>17</v>
      </c>
      <c r="H3543" s="30">
        <v>649000</v>
      </c>
    </row>
    <row r="3549" spans="1:8" ht="15.75" customHeight="1">
      <c r="A3549" t="s">
        <v>0</v>
      </c>
    </row>
    <row r="3550" spans="1:8" ht="15.75" customHeight="1">
      <c r="A3550" t="s">
        <v>807</v>
      </c>
    </row>
    <row r="3551" spans="1:8" ht="15.75" customHeight="1">
      <c r="A3551" t="s">
        <v>2</v>
      </c>
      <c r="B3551" t="s">
        <v>3</v>
      </c>
      <c r="C3551" t="s">
        <v>4</v>
      </c>
      <c r="D3551" t="s">
        <v>5</v>
      </c>
      <c r="E3551" t="s">
        <v>6</v>
      </c>
      <c r="F3551" t="s">
        <v>7</v>
      </c>
      <c r="G3551" t="s">
        <v>8</v>
      </c>
    </row>
    <row r="3552" spans="1:8" ht="15.75" customHeight="1">
      <c r="A3552">
        <v>1</v>
      </c>
      <c r="B3552" t="s">
        <v>53</v>
      </c>
      <c r="C3552" t="s">
        <v>808</v>
      </c>
      <c r="D3552" t="s">
        <v>127</v>
      </c>
      <c r="E3552">
        <v>1.8</v>
      </c>
      <c r="F3552" s="30">
        <v>293000</v>
      </c>
      <c r="G3552" s="30">
        <v>527400</v>
      </c>
    </row>
    <row r="3553" spans="1:8" ht="15.75" customHeight="1">
      <c r="A3553">
        <v>2</v>
      </c>
      <c r="B3553" t="s">
        <v>809</v>
      </c>
      <c r="C3553" t="s">
        <v>810</v>
      </c>
      <c r="D3553" t="s">
        <v>12</v>
      </c>
      <c r="E3553">
        <v>1.6</v>
      </c>
      <c r="F3553" s="30">
        <v>435000</v>
      </c>
      <c r="G3553" s="30">
        <v>696000</v>
      </c>
    </row>
    <row r="3554" spans="1:8" ht="15.75" customHeight="1">
      <c r="A3554">
        <v>3</v>
      </c>
      <c r="B3554" t="s">
        <v>14</v>
      </c>
      <c r="G3554">
        <v>0</v>
      </c>
    </row>
    <row r="3555" spans="1:8" ht="15.75" customHeight="1">
      <c r="A3555" t="s">
        <v>15</v>
      </c>
      <c r="H3555" s="30">
        <v>1223400</v>
      </c>
    </row>
    <row r="3556" spans="1:8" ht="15.75" customHeight="1">
      <c r="A3556" t="s">
        <v>16</v>
      </c>
      <c r="H3556" s="30">
        <v>575400</v>
      </c>
    </row>
    <row r="3557" spans="1:8" ht="15.75" customHeight="1">
      <c r="A3557" t="s">
        <v>17</v>
      </c>
      <c r="H3557" s="30">
        <v>649000</v>
      </c>
    </row>
    <row r="3575" spans="1:8" ht="15.75" customHeight="1">
      <c r="A3575" t="s">
        <v>0</v>
      </c>
    </row>
    <row r="3576" spans="1:8" ht="15.75" customHeight="1">
      <c r="A3576" t="s">
        <v>811</v>
      </c>
    </row>
    <row r="3578" spans="1:8" ht="15.75" customHeight="1">
      <c r="A3578" t="s">
        <v>2</v>
      </c>
      <c r="B3578" t="s">
        <v>3</v>
      </c>
      <c r="C3578" t="s">
        <v>4</v>
      </c>
      <c r="D3578" t="s">
        <v>5</v>
      </c>
      <c r="E3578" t="s">
        <v>6</v>
      </c>
      <c r="F3578" t="s">
        <v>7</v>
      </c>
      <c r="G3578" t="s">
        <v>8</v>
      </c>
    </row>
    <row r="3579" spans="1:8" ht="15.75" customHeight="1">
      <c r="A3579">
        <v>1</v>
      </c>
      <c r="B3579" t="s">
        <v>812</v>
      </c>
      <c r="C3579" t="s">
        <v>456</v>
      </c>
      <c r="D3579" t="s">
        <v>127</v>
      </c>
      <c r="E3579">
        <v>2</v>
      </c>
      <c r="F3579" s="30">
        <v>293000</v>
      </c>
      <c r="G3579" s="30">
        <v>586000</v>
      </c>
    </row>
    <row r="3580" spans="1:8" ht="15.75" customHeight="1">
      <c r="A3580">
        <v>2</v>
      </c>
      <c r="B3580" t="s">
        <v>167</v>
      </c>
      <c r="C3580" t="s">
        <v>813</v>
      </c>
      <c r="D3580" t="s">
        <v>12</v>
      </c>
      <c r="E3580">
        <v>1.6</v>
      </c>
      <c r="F3580" s="30">
        <v>435000</v>
      </c>
      <c r="G3580" s="30">
        <v>696000</v>
      </c>
    </row>
    <row r="3581" spans="1:8" ht="15.75" customHeight="1">
      <c r="A3581">
        <v>3</v>
      </c>
      <c r="B3581" t="s">
        <v>14</v>
      </c>
      <c r="G3581">
        <v>0</v>
      </c>
    </row>
    <row r="3582" spans="1:8" ht="15.75" customHeight="1">
      <c r="A3582" t="s">
        <v>15</v>
      </c>
      <c r="H3582" s="30">
        <v>1282000</v>
      </c>
    </row>
    <row r="3583" spans="1:8" ht="15.75" customHeight="1">
      <c r="A3583" t="s">
        <v>16</v>
      </c>
      <c r="H3583" s="30">
        <v>634000</v>
      </c>
    </row>
    <row r="3584" spans="1:8" ht="15.75" customHeight="1">
      <c r="A3584" t="s">
        <v>17</v>
      </c>
      <c r="H3584" s="30">
        <v>649000</v>
      </c>
    </row>
    <row r="3590" spans="1:8" ht="15.75" customHeight="1">
      <c r="A3590" t="s">
        <v>0</v>
      </c>
    </row>
    <row r="3591" spans="1:8" ht="15.75" customHeight="1">
      <c r="A3591" t="s">
        <v>814</v>
      </c>
    </row>
    <row r="3592" spans="1:8" ht="15.75" customHeight="1">
      <c r="A3592" t="s">
        <v>2</v>
      </c>
      <c r="B3592" t="s">
        <v>3</v>
      </c>
      <c r="C3592" t="s">
        <v>4</v>
      </c>
      <c r="D3592" t="s">
        <v>5</v>
      </c>
      <c r="E3592" t="s">
        <v>6</v>
      </c>
      <c r="F3592" t="s">
        <v>7</v>
      </c>
      <c r="G3592" t="s">
        <v>8</v>
      </c>
    </row>
    <row r="3593" spans="1:8" ht="15.75" customHeight="1">
      <c r="A3593">
        <v>1</v>
      </c>
      <c r="B3593" t="s">
        <v>815</v>
      </c>
      <c r="C3593" t="s">
        <v>816</v>
      </c>
      <c r="D3593" t="s">
        <v>127</v>
      </c>
      <c r="E3593">
        <v>2.65</v>
      </c>
      <c r="F3593" s="30">
        <v>293000</v>
      </c>
      <c r="G3593" s="30">
        <v>776450</v>
      </c>
    </row>
    <row r="3594" spans="1:8" ht="15.75" customHeight="1">
      <c r="A3594">
        <v>2</v>
      </c>
      <c r="B3594" t="s">
        <v>150</v>
      </c>
      <c r="C3594" t="s">
        <v>817</v>
      </c>
      <c r="D3594" t="s">
        <v>12</v>
      </c>
      <c r="E3594">
        <v>1.05</v>
      </c>
      <c r="F3594" s="30">
        <v>435000</v>
      </c>
      <c r="G3594" s="30">
        <v>456750</v>
      </c>
    </row>
    <row r="3595" spans="1:8" ht="15.75" customHeight="1">
      <c r="A3595">
        <v>3</v>
      </c>
      <c r="B3595" t="s">
        <v>14</v>
      </c>
      <c r="G3595">
        <v>0</v>
      </c>
    </row>
    <row r="3596" spans="1:8" ht="15.75" customHeight="1">
      <c r="A3596" t="s">
        <v>15</v>
      </c>
      <c r="H3596" s="30">
        <v>1233200</v>
      </c>
    </row>
    <row r="3597" spans="1:8" ht="15.75" customHeight="1">
      <c r="A3597" t="s">
        <v>16</v>
      </c>
      <c r="H3597" s="30">
        <v>585200</v>
      </c>
    </row>
    <row r="3598" spans="1:8" ht="15.75" customHeight="1">
      <c r="A3598" t="s">
        <v>17</v>
      </c>
      <c r="H3598" s="30">
        <v>649000</v>
      </c>
    </row>
    <row r="3609" spans="1:8" ht="15.75" customHeight="1">
      <c r="A3609" t="s">
        <v>0</v>
      </c>
    </row>
    <row r="3610" spans="1:8" ht="15.75" customHeight="1">
      <c r="A3610" t="s">
        <v>818</v>
      </c>
    </row>
    <row r="3611" spans="1:8" ht="15.75" customHeight="1">
      <c r="A3611" t="s">
        <v>2</v>
      </c>
      <c r="B3611" t="s">
        <v>3</v>
      </c>
      <c r="C3611" t="s">
        <v>4</v>
      </c>
      <c r="D3611" t="s">
        <v>5</v>
      </c>
      <c r="E3611" t="s">
        <v>6</v>
      </c>
      <c r="F3611" t="s">
        <v>7</v>
      </c>
      <c r="G3611" t="s">
        <v>8</v>
      </c>
    </row>
    <row r="3612" spans="1:8" ht="15.75" customHeight="1">
      <c r="A3612">
        <v>1</v>
      </c>
      <c r="B3612" t="s">
        <v>68</v>
      </c>
      <c r="C3612" t="s">
        <v>581</v>
      </c>
      <c r="D3612" t="s">
        <v>127</v>
      </c>
      <c r="E3612">
        <v>1.68</v>
      </c>
      <c r="F3612" s="30">
        <v>293000</v>
      </c>
      <c r="G3612" s="30">
        <v>492240</v>
      </c>
    </row>
    <row r="3613" spans="1:8" ht="15.75" customHeight="1">
      <c r="A3613">
        <v>2</v>
      </c>
      <c r="B3613" t="s">
        <v>803</v>
      </c>
      <c r="C3613" t="s">
        <v>819</v>
      </c>
      <c r="D3613" t="s">
        <v>12</v>
      </c>
      <c r="E3613">
        <v>1.77</v>
      </c>
      <c r="F3613" s="30">
        <v>435000</v>
      </c>
      <c r="G3613" s="30">
        <v>769950</v>
      </c>
    </row>
    <row r="3614" spans="1:8" ht="15.75" customHeight="1">
      <c r="A3614">
        <v>3</v>
      </c>
      <c r="B3614" t="s">
        <v>14</v>
      </c>
      <c r="G3614">
        <v>0</v>
      </c>
    </row>
    <row r="3615" spans="1:8" ht="15.75" customHeight="1">
      <c r="A3615" t="s">
        <v>15</v>
      </c>
      <c r="H3615" s="30">
        <v>1262190</v>
      </c>
    </row>
    <row r="3616" spans="1:8" ht="15.75" customHeight="1">
      <c r="A3616" t="s">
        <v>16</v>
      </c>
      <c r="H3616" s="30">
        <v>614190</v>
      </c>
    </row>
    <row r="3617" spans="1:8" ht="15.75" customHeight="1">
      <c r="A3617" t="s">
        <v>17</v>
      </c>
      <c r="H3617" s="30">
        <v>649000</v>
      </c>
    </row>
    <row r="3623" spans="1:8" ht="15.75" customHeight="1">
      <c r="A3623" t="s">
        <v>0</v>
      </c>
    </row>
    <row r="3624" spans="1:8" ht="15.75" customHeight="1">
      <c r="A3624" t="s">
        <v>820</v>
      </c>
    </row>
    <row r="3625" spans="1:8" ht="15.75" customHeight="1">
      <c r="A3625" t="s">
        <v>2</v>
      </c>
      <c r="B3625" t="s">
        <v>3</v>
      </c>
      <c r="C3625" t="s">
        <v>4</v>
      </c>
      <c r="D3625" t="s">
        <v>5</v>
      </c>
      <c r="E3625" t="s">
        <v>6</v>
      </c>
      <c r="F3625" t="s">
        <v>7</v>
      </c>
      <c r="G3625" t="s">
        <v>8</v>
      </c>
    </row>
    <row r="3626" spans="1:8" ht="15.75" customHeight="1">
      <c r="A3626">
        <v>1</v>
      </c>
      <c r="B3626" t="s">
        <v>298</v>
      </c>
      <c r="C3626" t="s">
        <v>821</v>
      </c>
      <c r="D3626" t="s">
        <v>127</v>
      </c>
      <c r="E3626">
        <v>1.5</v>
      </c>
      <c r="F3626" s="30">
        <v>293000</v>
      </c>
      <c r="G3626" s="30">
        <v>439500</v>
      </c>
    </row>
    <row r="3627" spans="1:8" ht="15.75" customHeight="1">
      <c r="A3627">
        <v>2</v>
      </c>
      <c r="B3627" t="s">
        <v>175</v>
      </c>
      <c r="C3627" t="s">
        <v>822</v>
      </c>
      <c r="D3627" t="s">
        <v>12</v>
      </c>
      <c r="E3627">
        <v>1.96</v>
      </c>
      <c r="F3627" s="30">
        <v>435000</v>
      </c>
      <c r="G3627" s="30">
        <v>852600</v>
      </c>
    </row>
    <row r="3628" spans="1:8" ht="15.75" customHeight="1">
      <c r="A3628">
        <v>3</v>
      </c>
      <c r="B3628" t="s">
        <v>14</v>
      </c>
      <c r="G3628">
        <v>0</v>
      </c>
    </row>
    <row r="3629" spans="1:8" ht="15.75" customHeight="1">
      <c r="A3629" t="s">
        <v>15</v>
      </c>
      <c r="H3629" s="30">
        <v>1292100</v>
      </c>
    </row>
    <row r="3630" spans="1:8" ht="15.75" customHeight="1">
      <c r="A3630" t="s">
        <v>16</v>
      </c>
      <c r="H3630" s="30">
        <v>644100</v>
      </c>
    </row>
    <row r="3631" spans="1:8" ht="15.75" customHeight="1">
      <c r="A3631" t="s">
        <v>17</v>
      </c>
      <c r="H3631" s="30">
        <v>649000</v>
      </c>
    </row>
    <row r="3639" spans="1:8" ht="15.75" customHeight="1">
      <c r="A3639" t="s">
        <v>0</v>
      </c>
    </row>
    <row r="3640" spans="1:8" ht="15.75" customHeight="1">
      <c r="A3640" t="s">
        <v>823</v>
      </c>
    </row>
    <row r="3641" spans="1:8" ht="15.75" customHeight="1">
      <c r="A3641" t="s">
        <v>2</v>
      </c>
      <c r="B3641" t="s">
        <v>3</v>
      </c>
      <c r="C3641" t="s">
        <v>4</v>
      </c>
      <c r="D3641" t="s">
        <v>5</v>
      </c>
      <c r="E3641" t="s">
        <v>6</v>
      </c>
      <c r="F3641" t="s">
        <v>7</v>
      </c>
      <c r="G3641" t="s">
        <v>8</v>
      </c>
    </row>
    <row r="3642" spans="1:8" ht="15.75" customHeight="1">
      <c r="A3642">
        <v>1</v>
      </c>
      <c r="B3642" t="s">
        <v>159</v>
      </c>
      <c r="C3642" t="s">
        <v>679</v>
      </c>
      <c r="D3642" t="s">
        <v>127</v>
      </c>
      <c r="E3642">
        <v>2</v>
      </c>
      <c r="F3642" s="30">
        <v>293000</v>
      </c>
      <c r="G3642" s="30">
        <v>586000</v>
      </c>
    </row>
    <row r="3643" spans="1:8" ht="15.75" customHeight="1">
      <c r="A3643">
        <v>2</v>
      </c>
      <c r="B3643" t="s">
        <v>803</v>
      </c>
      <c r="C3643" t="s">
        <v>824</v>
      </c>
      <c r="D3643" t="s">
        <v>12</v>
      </c>
      <c r="E3643">
        <v>1.4</v>
      </c>
      <c r="F3643" s="30">
        <v>435000</v>
      </c>
      <c r="G3643" s="30">
        <v>609000</v>
      </c>
    </row>
    <row r="3644" spans="1:8" ht="15.75" customHeight="1">
      <c r="A3644">
        <v>3</v>
      </c>
      <c r="B3644" t="s">
        <v>14</v>
      </c>
      <c r="G3644">
        <v>0</v>
      </c>
    </row>
    <row r="3645" spans="1:8" ht="15.75" customHeight="1">
      <c r="A3645" t="s">
        <v>15</v>
      </c>
      <c r="H3645" s="30">
        <v>1195000</v>
      </c>
    </row>
    <row r="3646" spans="1:8" ht="15.75" customHeight="1">
      <c r="A3646" t="s">
        <v>16</v>
      </c>
      <c r="H3646" s="30">
        <v>547000</v>
      </c>
    </row>
    <row r="3647" spans="1:8" ht="15.75" customHeight="1">
      <c r="A3647" t="s">
        <v>17</v>
      </c>
      <c r="H3647" s="30">
        <v>649000</v>
      </c>
    </row>
    <row r="3656" spans="1:8" ht="15.75" customHeight="1">
      <c r="A3656" t="s">
        <v>0</v>
      </c>
    </row>
    <row r="3657" spans="1:8" ht="15.75" customHeight="1">
      <c r="A3657" t="s">
        <v>825</v>
      </c>
    </row>
    <row r="3658" spans="1:8" ht="15.75" customHeight="1">
      <c r="A3658" t="s">
        <v>2</v>
      </c>
      <c r="B3658" t="s">
        <v>3</v>
      </c>
      <c r="C3658" t="s">
        <v>4</v>
      </c>
      <c r="D3658" t="s">
        <v>5</v>
      </c>
      <c r="E3658" t="s">
        <v>6</v>
      </c>
      <c r="F3658" t="s">
        <v>7</v>
      </c>
      <c r="G3658" t="s">
        <v>8</v>
      </c>
    </row>
    <row r="3659" spans="1:8" ht="15.75" customHeight="1">
      <c r="A3659">
        <v>1</v>
      </c>
      <c r="B3659" t="s">
        <v>393</v>
      </c>
      <c r="C3659" t="s">
        <v>673</v>
      </c>
      <c r="D3659" t="s">
        <v>127</v>
      </c>
      <c r="E3659">
        <v>1.55</v>
      </c>
      <c r="F3659" s="30">
        <v>293000</v>
      </c>
      <c r="G3659" s="30">
        <v>454150</v>
      </c>
    </row>
    <row r="3660" spans="1:8" ht="15.75" customHeight="1">
      <c r="A3660">
        <v>2</v>
      </c>
      <c r="B3660" t="s">
        <v>411</v>
      </c>
      <c r="C3660">
        <v>2705</v>
      </c>
      <c r="D3660" t="s">
        <v>12</v>
      </c>
      <c r="E3660">
        <v>2</v>
      </c>
      <c r="F3660" s="30">
        <v>435000</v>
      </c>
      <c r="G3660" s="30">
        <v>870000</v>
      </c>
    </row>
    <row r="3661" spans="1:8" ht="15.75" customHeight="1">
      <c r="A3661">
        <v>3</v>
      </c>
      <c r="B3661" t="s">
        <v>14</v>
      </c>
      <c r="G3661">
        <v>0</v>
      </c>
    </row>
    <row r="3662" spans="1:8" ht="15.75" customHeight="1">
      <c r="A3662" t="s">
        <v>15</v>
      </c>
      <c r="H3662" s="30">
        <v>1324150</v>
      </c>
    </row>
    <row r="3663" spans="1:8" ht="15.75" customHeight="1">
      <c r="A3663" t="s">
        <v>16</v>
      </c>
      <c r="H3663" s="30">
        <v>676150</v>
      </c>
    </row>
    <row r="3664" spans="1:8" ht="15.75" customHeight="1">
      <c r="A3664" t="s">
        <v>17</v>
      </c>
      <c r="H3664" s="30">
        <v>649000</v>
      </c>
    </row>
    <row r="3674" spans="1:8" ht="15.75" customHeight="1">
      <c r="A3674" t="s">
        <v>0</v>
      </c>
    </row>
    <row r="3675" spans="1:8" ht="15.75" customHeight="1">
      <c r="A3675" t="s">
        <v>826</v>
      </c>
    </row>
    <row r="3676" spans="1:8" ht="15.75" customHeight="1">
      <c r="A3676" t="s">
        <v>2</v>
      </c>
      <c r="B3676" t="s">
        <v>3</v>
      </c>
      <c r="C3676" t="s">
        <v>4</v>
      </c>
      <c r="D3676" t="s">
        <v>5</v>
      </c>
      <c r="E3676" t="s">
        <v>6</v>
      </c>
      <c r="F3676" t="s">
        <v>7</v>
      </c>
      <c r="G3676" t="s">
        <v>8</v>
      </c>
    </row>
    <row r="3677" spans="1:8" ht="15.75" customHeight="1">
      <c r="A3677">
        <v>1</v>
      </c>
      <c r="B3677" t="s">
        <v>145</v>
      </c>
      <c r="C3677" t="s">
        <v>827</v>
      </c>
      <c r="D3677" t="s">
        <v>127</v>
      </c>
      <c r="E3677">
        <v>1.47</v>
      </c>
      <c r="F3677" s="30">
        <v>293000</v>
      </c>
      <c r="G3677" s="30">
        <v>430710</v>
      </c>
    </row>
    <row r="3678" spans="1:8" ht="15.75" customHeight="1">
      <c r="A3678">
        <v>2</v>
      </c>
      <c r="B3678" t="s">
        <v>411</v>
      </c>
      <c r="C3678" t="s">
        <v>828</v>
      </c>
      <c r="D3678" t="s">
        <v>12</v>
      </c>
      <c r="E3678">
        <v>1.94</v>
      </c>
      <c r="F3678" s="30">
        <v>435000</v>
      </c>
      <c r="G3678" s="30">
        <v>843900</v>
      </c>
    </row>
    <row r="3679" spans="1:8" ht="15.75" customHeight="1">
      <c r="A3679">
        <v>3</v>
      </c>
      <c r="B3679" t="s">
        <v>14</v>
      </c>
      <c r="G3679">
        <v>0</v>
      </c>
    </row>
    <row r="3680" spans="1:8" ht="15.75" customHeight="1">
      <c r="A3680" t="s">
        <v>15</v>
      </c>
      <c r="H3680" s="30">
        <v>1274610</v>
      </c>
    </row>
    <row r="3681" spans="1:8" ht="15.75" customHeight="1">
      <c r="A3681" t="s">
        <v>16</v>
      </c>
      <c r="H3681" s="30">
        <v>626610</v>
      </c>
    </row>
    <row r="3682" spans="1:8" ht="15.75" customHeight="1">
      <c r="A3682" t="s">
        <v>17</v>
      </c>
      <c r="H3682" s="30">
        <v>649000</v>
      </c>
    </row>
    <row r="3691" spans="1:8" ht="15.75" customHeight="1">
      <c r="A3691" t="s">
        <v>0</v>
      </c>
    </row>
    <row r="3692" spans="1:8" ht="15.75" customHeight="1">
      <c r="A3692" t="s">
        <v>829</v>
      </c>
    </row>
    <row r="3693" spans="1:8" ht="15.75" customHeight="1">
      <c r="A3693" t="s">
        <v>2</v>
      </c>
      <c r="B3693" t="s">
        <v>3</v>
      </c>
      <c r="C3693" t="s">
        <v>4</v>
      </c>
      <c r="D3693" t="s">
        <v>5</v>
      </c>
      <c r="E3693" t="s">
        <v>6</v>
      </c>
      <c r="F3693" t="s">
        <v>7</v>
      </c>
      <c r="G3693" t="s">
        <v>8</v>
      </c>
    </row>
    <row r="3694" spans="1:8" ht="15.75" customHeight="1">
      <c r="A3694">
        <v>1</v>
      </c>
      <c r="B3694" t="s">
        <v>159</v>
      </c>
      <c r="C3694" t="s">
        <v>682</v>
      </c>
      <c r="D3694" t="s">
        <v>127</v>
      </c>
      <c r="E3694">
        <v>1</v>
      </c>
      <c r="F3694" s="30">
        <v>293000</v>
      </c>
      <c r="G3694" s="30">
        <v>293000</v>
      </c>
    </row>
    <row r="3695" spans="1:8" ht="15.75" customHeight="1">
      <c r="A3695">
        <v>2</v>
      </c>
      <c r="B3695" t="s">
        <v>730</v>
      </c>
      <c r="C3695" t="s">
        <v>830</v>
      </c>
      <c r="D3695" t="s">
        <v>12</v>
      </c>
      <c r="E3695">
        <v>2.46</v>
      </c>
      <c r="F3695" s="30">
        <v>435000</v>
      </c>
      <c r="G3695" s="30">
        <v>1070100</v>
      </c>
    </row>
    <row r="3696" spans="1:8" ht="15.75" customHeight="1">
      <c r="A3696">
        <v>3</v>
      </c>
      <c r="B3696" t="s">
        <v>14</v>
      </c>
      <c r="G3696">
        <v>0</v>
      </c>
    </row>
    <row r="3697" spans="1:8" ht="15.75" customHeight="1">
      <c r="A3697" t="s">
        <v>15</v>
      </c>
      <c r="H3697" s="30">
        <v>1363100</v>
      </c>
    </row>
    <row r="3698" spans="1:8" ht="15.75" customHeight="1">
      <c r="A3698" t="s">
        <v>16</v>
      </c>
      <c r="H3698" s="30">
        <v>715100</v>
      </c>
    </row>
    <row r="3699" spans="1:8" ht="15.75" customHeight="1">
      <c r="A3699" t="s">
        <v>17</v>
      </c>
      <c r="H3699" s="30">
        <v>649000</v>
      </c>
    </row>
    <row r="3706" spans="1:8" ht="15.75" customHeight="1">
      <c r="A3706" t="s">
        <v>0</v>
      </c>
    </row>
    <row r="3707" spans="1:8" ht="15.75" customHeight="1">
      <c r="A3707" t="s">
        <v>831</v>
      </c>
    </row>
    <row r="3708" spans="1:8" ht="15.75" customHeight="1">
      <c r="A3708" t="s">
        <v>2</v>
      </c>
      <c r="B3708" t="s">
        <v>3</v>
      </c>
      <c r="C3708" t="s">
        <v>4</v>
      </c>
      <c r="D3708" t="s">
        <v>5</v>
      </c>
      <c r="E3708" t="s">
        <v>6</v>
      </c>
      <c r="F3708" t="s">
        <v>7</v>
      </c>
      <c r="G3708" t="s">
        <v>8</v>
      </c>
    </row>
    <row r="3709" spans="1:8" ht="15.75" customHeight="1">
      <c r="A3709">
        <v>1</v>
      </c>
      <c r="B3709" t="s">
        <v>175</v>
      </c>
      <c r="C3709" t="s">
        <v>832</v>
      </c>
      <c r="D3709" t="s">
        <v>127</v>
      </c>
      <c r="E3709">
        <v>2</v>
      </c>
      <c r="F3709" s="30">
        <v>293000</v>
      </c>
      <c r="G3709" s="30">
        <v>586000</v>
      </c>
    </row>
    <row r="3710" spans="1:8" ht="15.75" customHeight="1">
      <c r="A3710">
        <v>2</v>
      </c>
      <c r="B3710" t="s">
        <v>833</v>
      </c>
      <c r="C3710" t="s">
        <v>834</v>
      </c>
      <c r="D3710" t="s">
        <v>12</v>
      </c>
      <c r="E3710">
        <v>1.55</v>
      </c>
      <c r="F3710" s="30">
        <v>435000</v>
      </c>
      <c r="G3710" s="30">
        <v>674250</v>
      </c>
    </row>
    <row r="3711" spans="1:8" ht="15.75" customHeight="1">
      <c r="A3711">
        <v>3</v>
      </c>
      <c r="B3711" t="s">
        <v>14</v>
      </c>
      <c r="G3711">
        <v>0</v>
      </c>
    </row>
    <row r="3712" spans="1:8" ht="15.75" customHeight="1">
      <c r="A3712" t="s">
        <v>15</v>
      </c>
      <c r="H3712" s="30">
        <v>1260250</v>
      </c>
    </row>
    <row r="3713" spans="1:8" ht="15.75" customHeight="1">
      <c r="A3713" t="s">
        <v>16</v>
      </c>
      <c r="H3713" s="30">
        <v>612250</v>
      </c>
    </row>
    <row r="3714" spans="1:8" ht="15.75" customHeight="1">
      <c r="A3714" t="s">
        <v>17</v>
      </c>
      <c r="H3714" s="30">
        <v>649000</v>
      </c>
    </row>
    <row r="3720" spans="1:8" ht="15.75" customHeight="1">
      <c r="A3720" t="s">
        <v>0</v>
      </c>
    </row>
    <row r="3721" spans="1:8" ht="15.75" customHeight="1">
      <c r="A3721" t="s">
        <v>835</v>
      </c>
    </row>
    <row r="3722" spans="1:8" ht="15.75" customHeight="1">
      <c r="A3722" t="s">
        <v>2</v>
      </c>
      <c r="B3722" t="s">
        <v>3</v>
      </c>
      <c r="C3722" t="s">
        <v>4</v>
      </c>
      <c r="D3722" t="s">
        <v>5</v>
      </c>
      <c r="E3722" t="s">
        <v>6</v>
      </c>
      <c r="F3722" t="s">
        <v>7</v>
      </c>
      <c r="G3722" t="s">
        <v>8</v>
      </c>
    </row>
    <row r="3723" spans="1:8" ht="15.75" customHeight="1">
      <c r="A3723">
        <v>1</v>
      </c>
      <c r="B3723" t="s">
        <v>836</v>
      </c>
      <c r="C3723" t="s">
        <v>837</v>
      </c>
      <c r="D3723" t="s">
        <v>127</v>
      </c>
      <c r="E3723">
        <v>2</v>
      </c>
      <c r="F3723" s="30">
        <v>293000</v>
      </c>
      <c r="G3723" s="30">
        <v>586000</v>
      </c>
    </row>
    <row r="3724" spans="1:8" ht="15.75" customHeight="1">
      <c r="A3724">
        <v>2</v>
      </c>
      <c r="B3724" t="s">
        <v>838</v>
      </c>
      <c r="C3724" t="s">
        <v>431</v>
      </c>
      <c r="D3724" t="s">
        <v>12</v>
      </c>
      <c r="E3724">
        <v>1.25</v>
      </c>
      <c r="F3724" s="30">
        <v>435000</v>
      </c>
      <c r="G3724" s="30">
        <v>543750</v>
      </c>
    </row>
    <row r="3725" spans="1:8" ht="15.75" customHeight="1">
      <c r="A3725">
        <v>3</v>
      </c>
      <c r="B3725" t="s">
        <v>14</v>
      </c>
      <c r="G3725">
        <v>0</v>
      </c>
    </row>
    <row r="3726" spans="1:8" ht="15.75" customHeight="1">
      <c r="A3726" t="s">
        <v>15</v>
      </c>
      <c r="H3726" s="30">
        <v>1129750</v>
      </c>
    </row>
    <row r="3727" spans="1:8" ht="15.75" customHeight="1">
      <c r="A3727" t="s">
        <v>16</v>
      </c>
      <c r="H3727" s="30">
        <v>481750</v>
      </c>
    </row>
    <row r="3728" spans="1:8" ht="15.75" customHeight="1">
      <c r="A3728" t="s">
        <v>17</v>
      </c>
      <c r="H3728" s="30">
        <v>649000</v>
      </c>
    </row>
    <row r="3735" spans="1:8" ht="15.75" customHeight="1">
      <c r="A3735" t="s">
        <v>0</v>
      </c>
    </row>
    <row r="3736" spans="1:8" ht="15.75" customHeight="1">
      <c r="A3736" t="s">
        <v>839</v>
      </c>
    </row>
    <row r="3737" spans="1:8" ht="15.75" customHeight="1">
      <c r="A3737" t="s">
        <v>2</v>
      </c>
      <c r="B3737" t="s">
        <v>3</v>
      </c>
      <c r="C3737" t="s">
        <v>4</v>
      </c>
      <c r="D3737" t="s">
        <v>5</v>
      </c>
      <c r="E3737" t="s">
        <v>6</v>
      </c>
      <c r="F3737" t="s">
        <v>7</v>
      </c>
      <c r="G3737" t="s">
        <v>8</v>
      </c>
    </row>
    <row r="3738" spans="1:8" ht="15.75" customHeight="1">
      <c r="A3738">
        <v>1</v>
      </c>
      <c r="B3738" t="s">
        <v>188</v>
      </c>
      <c r="C3738" t="s">
        <v>840</v>
      </c>
      <c r="D3738" t="s">
        <v>127</v>
      </c>
      <c r="E3738">
        <v>1.7</v>
      </c>
      <c r="F3738" s="30">
        <v>293000</v>
      </c>
      <c r="G3738" s="30">
        <v>498100</v>
      </c>
    </row>
    <row r="3739" spans="1:8" ht="15.75" customHeight="1">
      <c r="A3739">
        <v>2</v>
      </c>
      <c r="B3739" t="s">
        <v>730</v>
      </c>
      <c r="C3739" t="s">
        <v>841</v>
      </c>
      <c r="D3739" t="s">
        <v>12</v>
      </c>
      <c r="E3739">
        <v>1.35</v>
      </c>
      <c r="F3739" s="30">
        <v>435000</v>
      </c>
      <c r="G3739" s="30">
        <v>587250</v>
      </c>
    </row>
    <row r="3740" spans="1:8" ht="15.75" customHeight="1">
      <c r="A3740">
        <v>3</v>
      </c>
      <c r="B3740" t="s">
        <v>14</v>
      </c>
      <c r="G3740">
        <v>0</v>
      </c>
    </row>
    <row r="3741" spans="1:8" ht="15.75" customHeight="1">
      <c r="A3741" t="s">
        <v>15</v>
      </c>
      <c r="H3741" s="30">
        <v>1085350</v>
      </c>
    </row>
    <row r="3742" spans="1:8" ht="15.75" customHeight="1">
      <c r="A3742" t="s">
        <v>16</v>
      </c>
      <c r="H3742" s="30">
        <v>437350</v>
      </c>
    </row>
    <row r="3743" spans="1:8" ht="15.75" customHeight="1">
      <c r="A3743" t="s">
        <v>17</v>
      </c>
      <c r="H3743" s="30">
        <v>649000</v>
      </c>
    </row>
    <row r="3754" spans="1:8" ht="15.75" customHeight="1">
      <c r="A3754" t="s">
        <v>0</v>
      </c>
    </row>
    <row r="3755" spans="1:8" ht="15.75" customHeight="1">
      <c r="A3755" t="s">
        <v>842</v>
      </c>
    </row>
    <row r="3756" spans="1:8" ht="15.75" customHeight="1">
      <c r="A3756" t="s">
        <v>2</v>
      </c>
      <c r="B3756" t="s">
        <v>3</v>
      </c>
      <c r="C3756" t="s">
        <v>4</v>
      </c>
      <c r="D3756" t="s">
        <v>5</v>
      </c>
      <c r="E3756" t="s">
        <v>6</v>
      </c>
      <c r="F3756" t="s">
        <v>7</v>
      </c>
      <c r="G3756" t="s">
        <v>8</v>
      </c>
    </row>
    <row r="3757" spans="1:8" ht="15.75" customHeight="1">
      <c r="A3757">
        <v>1</v>
      </c>
      <c r="B3757" t="s">
        <v>25</v>
      </c>
      <c r="C3757" t="s">
        <v>843</v>
      </c>
      <c r="D3757" t="s">
        <v>127</v>
      </c>
      <c r="E3757">
        <v>2.4</v>
      </c>
      <c r="F3757" s="30">
        <v>293000</v>
      </c>
      <c r="G3757" s="30">
        <v>703200</v>
      </c>
    </row>
    <row r="3758" spans="1:8" ht="15.75" customHeight="1">
      <c r="A3758">
        <v>2</v>
      </c>
      <c r="B3758" t="s">
        <v>53</v>
      </c>
      <c r="C3758" t="s">
        <v>844</v>
      </c>
      <c r="D3758" t="s">
        <v>12</v>
      </c>
      <c r="E3758">
        <v>1.1000000000000001</v>
      </c>
      <c r="F3758" s="30">
        <v>435000</v>
      </c>
      <c r="G3758" s="30">
        <v>478500</v>
      </c>
    </row>
    <row r="3759" spans="1:8" ht="15.75" customHeight="1">
      <c r="A3759">
        <v>3</v>
      </c>
      <c r="B3759" t="s">
        <v>14</v>
      </c>
      <c r="G3759">
        <v>0</v>
      </c>
    </row>
    <row r="3760" spans="1:8" ht="15.75" customHeight="1">
      <c r="A3760" t="s">
        <v>15</v>
      </c>
      <c r="H3760" s="30">
        <v>1181700</v>
      </c>
    </row>
    <row r="3761" spans="1:8" ht="15.75" customHeight="1">
      <c r="A3761" t="s">
        <v>16</v>
      </c>
      <c r="H3761" s="30">
        <v>533700</v>
      </c>
    </row>
    <row r="3762" spans="1:8" ht="15.75" customHeight="1">
      <c r="A3762" t="s">
        <v>17</v>
      </c>
      <c r="H3762" s="30">
        <v>649000</v>
      </c>
    </row>
    <row r="3771" spans="1:8" ht="15.75" customHeight="1">
      <c r="A3771" t="s">
        <v>0</v>
      </c>
    </row>
    <row r="3772" spans="1:8" ht="15.75" customHeight="1">
      <c r="A3772" t="s">
        <v>845</v>
      </c>
    </row>
    <row r="3773" spans="1:8" ht="15.75" customHeight="1">
      <c r="A3773" t="s">
        <v>2</v>
      </c>
      <c r="B3773" t="s">
        <v>3</v>
      </c>
      <c r="C3773" t="s">
        <v>4</v>
      </c>
      <c r="D3773" t="s">
        <v>5</v>
      </c>
      <c r="E3773" t="s">
        <v>6</v>
      </c>
      <c r="F3773" t="s">
        <v>7</v>
      </c>
      <c r="G3773" t="s">
        <v>8</v>
      </c>
    </row>
    <row r="3774" spans="1:8" ht="15.75" customHeight="1">
      <c r="A3774">
        <v>1</v>
      </c>
      <c r="B3774" t="s">
        <v>41</v>
      </c>
      <c r="C3774" t="s">
        <v>846</v>
      </c>
      <c r="D3774" t="s">
        <v>127</v>
      </c>
      <c r="E3774">
        <v>2</v>
      </c>
      <c r="F3774" s="30">
        <v>293000</v>
      </c>
      <c r="G3774" s="30">
        <v>586000</v>
      </c>
    </row>
    <row r="3775" spans="1:8" ht="15.75" customHeight="1">
      <c r="A3775">
        <v>2</v>
      </c>
      <c r="B3775" t="s">
        <v>206</v>
      </c>
      <c r="C3775" t="s">
        <v>224</v>
      </c>
      <c r="D3775" t="s">
        <v>12</v>
      </c>
      <c r="E3775">
        <v>1.5</v>
      </c>
      <c r="F3775" s="30">
        <v>435000</v>
      </c>
      <c r="G3775" s="30">
        <v>652500</v>
      </c>
    </row>
    <row r="3776" spans="1:8" ht="15.75" customHeight="1">
      <c r="A3776">
        <v>3</v>
      </c>
      <c r="B3776" t="s">
        <v>14</v>
      </c>
      <c r="G3776">
        <v>0</v>
      </c>
    </row>
    <row r="3777" spans="1:8" ht="15.75" customHeight="1">
      <c r="A3777" t="s">
        <v>15</v>
      </c>
      <c r="H3777" s="30">
        <v>1238500</v>
      </c>
    </row>
    <row r="3778" spans="1:8" ht="15.75" customHeight="1">
      <c r="A3778" t="s">
        <v>16</v>
      </c>
      <c r="H3778" s="30">
        <v>590500</v>
      </c>
    </row>
    <row r="3779" spans="1:8" ht="15.75" customHeight="1">
      <c r="A3779" t="s">
        <v>17</v>
      </c>
      <c r="H3779" s="30">
        <v>649000</v>
      </c>
    </row>
    <row r="3788" spans="1:8" ht="15.75" customHeight="1">
      <c r="A3788" t="s">
        <v>0</v>
      </c>
    </row>
    <row r="3789" spans="1:8" ht="15.75" customHeight="1">
      <c r="A3789" t="s">
        <v>847</v>
      </c>
    </row>
    <row r="3790" spans="1:8" ht="15.75" customHeight="1">
      <c r="A3790" t="s">
        <v>2</v>
      </c>
      <c r="B3790" t="s">
        <v>3</v>
      </c>
      <c r="C3790" t="s">
        <v>4</v>
      </c>
      <c r="D3790" t="s">
        <v>5</v>
      </c>
      <c r="E3790" t="s">
        <v>6</v>
      </c>
      <c r="F3790" t="s">
        <v>7</v>
      </c>
      <c r="G3790" t="s">
        <v>8</v>
      </c>
    </row>
    <row r="3791" spans="1:8" ht="15.75" customHeight="1">
      <c r="A3791">
        <v>1</v>
      </c>
      <c r="B3791" t="s">
        <v>44</v>
      </c>
      <c r="C3791" t="s">
        <v>848</v>
      </c>
      <c r="D3791" t="s">
        <v>127</v>
      </c>
      <c r="E3791">
        <v>1.5</v>
      </c>
      <c r="F3791" s="30">
        <v>293000</v>
      </c>
      <c r="G3791" s="30">
        <v>439500</v>
      </c>
    </row>
    <row r="3792" spans="1:8" ht="15.75" customHeight="1">
      <c r="A3792">
        <v>2</v>
      </c>
      <c r="B3792" t="s">
        <v>39</v>
      </c>
      <c r="C3792" t="s">
        <v>849</v>
      </c>
      <c r="D3792" t="s">
        <v>12</v>
      </c>
      <c r="E3792">
        <v>1.9</v>
      </c>
      <c r="F3792" s="30">
        <v>435000</v>
      </c>
      <c r="G3792" s="30">
        <v>826500</v>
      </c>
    </row>
    <row r="3793" spans="1:8" ht="15.75" customHeight="1">
      <c r="A3793">
        <v>3</v>
      </c>
      <c r="B3793" t="s">
        <v>14</v>
      </c>
      <c r="G3793">
        <v>0</v>
      </c>
    </row>
    <row r="3794" spans="1:8" ht="15.75" customHeight="1">
      <c r="A3794" t="s">
        <v>15</v>
      </c>
      <c r="H3794" s="30">
        <v>1266000</v>
      </c>
    </row>
    <row r="3795" spans="1:8" ht="15.75" customHeight="1">
      <c r="A3795" t="s">
        <v>16</v>
      </c>
      <c r="H3795" s="30">
        <v>618000</v>
      </c>
    </row>
    <row r="3796" spans="1:8" ht="15.75" customHeight="1">
      <c r="A3796" t="s">
        <v>17</v>
      </c>
      <c r="H3796" s="30">
        <v>649000</v>
      </c>
    </row>
  </sheetData>
  <mergeCells count="750">
    <mergeCell ref="A55:H55"/>
    <mergeCell ref="A132:H132"/>
    <mergeCell ref="A133:H133"/>
    <mergeCell ref="A139:G139"/>
    <mergeCell ref="A140:G140"/>
    <mergeCell ref="A141:G141"/>
    <mergeCell ref="A142:H142"/>
    <mergeCell ref="A157:H157"/>
    <mergeCell ref="A158:H158"/>
    <mergeCell ref="A27:G27"/>
    <mergeCell ref="A28:G28"/>
    <mergeCell ref="A29:H29"/>
    <mergeCell ref="A37:H37"/>
    <mergeCell ref="A38:H38"/>
    <mergeCell ref="A44:G44"/>
    <mergeCell ref="A45:G45"/>
    <mergeCell ref="A46:G46"/>
    <mergeCell ref="A47:H47"/>
    <mergeCell ref="A1:H1"/>
    <mergeCell ref="A2:H2"/>
    <mergeCell ref="A8:G8"/>
    <mergeCell ref="A9:G9"/>
    <mergeCell ref="A10:G10"/>
    <mergeCell ref="A11:H11"/>
    <mergeCell ref="A19:H19"/>
    <mergeCell ref="A20:H20"/>
    <mergeCell ref="A26:G26"/>
    <mergeCell ref="A56:H56"/>
    <mergeCell ref="A62:G62"/>
    <mergeCell ref="A63:G63"/>
    <mergeCell ref="A64:G64"/>
    <mergeCell ref="A65:H65"/>
    <mergeCell ref="A73:H73"/>
    <mergeCell ref="A74:H74"/>
    <mergeCell ref="A80:G80"/>
    <mergeCell ref="A81:G81"/>
    <mergeCell ref="A82:G82"/>
    <mergeCell ref="A83:H83"/>
    <mergeCell ref="A92:H92"/>
    <mergeCell ref="A93:H93"/>
    <mergeCell ref="A99:G99"/>
    <mergeCell ref="A100:G100"/>
    <mergeCell ref="A101:G101"/>
    <mergeCell ref="A102:H102"/>
    <mergeCell ref="A111:H111"/>
    <mergeCell ref="A112:H112"/>
    <mergeCell ref="A118:G118"/>
    <mergeCell ref="A119:G119"/>
    <mergeCell ref="A120:G120"/>
    <mergeCell ref="A121:H121"/>
    <mergeCell ref="A185:G185"/>
    <mergeCell ref="A186:G186"/>
    <mergeCell ref="A187:G187"/>
    <mergeCell ref="A188:H188"/>
    <mergeCell ref="A165:G165"/>
    <mergeCell ref="A166:G166"/>
    <mergeCell ref="A167:H167"/>
    <mergeCell ref="A178:H178"/>
    <mergeCell ref="A179:H179"/>
    <mergeCell ref="A164:G164"/>
    <mergeCell ref="A199:H199"/>
    <mergeCell ref="A200:H200"/>
    <mergeCell ref="A206:G206"/>
    <mergeCell ref="A207:G207"/>
    <mergeCell ref="A208:G208"/>
    <mergeCell ref="A209:H209"/>
    <mergeCell ref="A220:H220"/>
    <mergeCell ref="A221:H221"/>
    <mergeCell ref="A227:G227"/>
    <mergeCell ref="A228:G228"/>
    <mergeCell ref="A229:G229"/>
    <mergeCell ref="A230:H230"/>
    <mergeCell ref="A240:H240"/>
    <mergeCell ref="A241:H241"/>
    <mergeCell ref="A247:G247"/>
    <mergeCell ref="A248:G248"/>
    <mergeCell ref="A249:G249"/>
    <mergeCell ref="A250:H250"/>
    <mergeCell ref="A261:H261"/>
    <mergeCell ref="A262:H262"/>
    <mergeCell ref="A268:G268"/>
    <mergeCell ref="A269:G269"/>
    <mergeCell ref="A270:G270"/>
    <mergeCell ref="A271:H271"/>
    <mergeCell ref="A278:H278"/>
    <mergeCell ref="A279:H279"/>
    <mergeCell ref="A285:G285"/>
    <mergeCell ref="A286:G286"/>
    <mergeCell ref="A287:G287"/>
    <mergeCell ref="A288:H288"/>
    <mergeCell ref="A295:H295"/>
    <mergeCell ref="A296:H296"/>
    <mergeCell ref="A302:G302"/>
    <mergeCell ref="A303:G303"/>
    <mergeCell ref="A304:G304"/>
    <mergeCell ref="A305:H305"/>
    <mergeCell ref="A316:H316"/>
    <mergeCell ref="A317:H317"/>
    <mergeCell ref="A323:G323"/>
    <mergeCell ref="A324:G324"/>
    <mergeCell ref="A325:G325"/>
    <mergeCell ref="A326:H326"/>
    <mergeCell ref="A338:H338"/>
    <mergeCell ref="A339:H339"/>
    <mergeCell ref="A345:G345"/>
    <mergeCell ref="A346:G346"/>
    <mergeCell ref="A347:G347"/>
    <mergeCell ref="A348:H348"/>
    <mergeCell ref="A357:H357"/>
    <mergeCell ref="A358:H358"/>
    <mergeCell ref="A364:G364"/>
    <mergeCell ref="A365:G365"/>
    <mergeCell ref="A505:G505"/>
    <mergeCell ref="A506:H506"/>
    <mergeCell ref="A426:G426"/>
    <mergeCell ref="A427:G427"/>
    <mergeCell ref="A428:G428"/>
    <mergeCell ref="A429:H429"/>
    <mergeCell ref="A438:H438"/>
    <mergeCell ref="A439:H439"/>
    <mergeCell ref="A445:G445"/>
    <mergeCell ref="A446:G446"/>
    <mergeCell ref="A447:G447"/>
    <mergeCell ref="A448:H448"/>
    <mergeCell ref="A459:H459"/>
    <mergeCell ref="A460:H460"/>
    <mergeCell ref="A466:G466"/>
    <mergeCell ref="A467:G467"/>
    <mergeCell ref="A468:G468"/>
    <mergeCell ref="A397:H397"/>
    <mergeCell ref="A403:G403"/>
    <mergeCell ref="A404:G404"/>
    <mergeCell ref="A405:G405"/>
    <mergeCell ref="A406:H406"/>
    <mergeCell ref="A419:H419"/>
    <mergeCell ref="A420:H420"/>
    <mergeCell ref="A543:G543"/>
    <mergeCell ref="A544:G544"/>
    <mergeCell ref="A516:H516"/>
    <mergeCell ref="A517:H517"/>
    <mergeCell ref="A523:G523"/>
    <mergeCell ref="A524:G524"/>
    <mergeCell ref="A525:G525"/>
    <mergeCell ref="A526:H526"/>
    <mergeCell ref="A535:H535"/>
    <mergeCell ref="A536:H536"/>
    <mergeCell ref="A542:G542"/>
    <mergeCell ref="A366:G366"/>
    <mergeCell ref="A367:H367"/>
    <mergeCell ref="A374:H374"/>
    <mergeCell ref="A375:H375"/>
    <mergeCell ref="A381:G381"/>
    <mergeCell ref="A382:G382"/>
    <mergeCell ref="A383:G383"/>
    <mergeCell ref="A384:H384"/>
    <mergeCell ref="A396:H396"/>
    <mergeCell ref="A469:H469"/>
    <mergeCell ref="A479:H479"/>
    <mergeCell ref="A480:H480"/>
    <mergeCell ref="A486:G486"/>
    <mergeCell ref="A487:G487"/>
    <mergeCell ref="A488:G488"/>
    <mergeCell ref="A489:H489"/>
    <mergeCell ref="A496:H496"/>
    <mergeCell ref="A497:H497"/>
    <mergeCell ref="A503:G503"/>
    <mergeCell ref="A504:G504"/>
    <mergeCell ref="A595:G595"/>
    <mergeCell ref="A596:G596"/>
    <mergeCell ref="A597:G597"/>
    <mergeCell ref="A598:H598"/>
    <mergeCell ref="A605:H605"/>
    <mergeCell ref="A606:H606"/>
    <mergeCell ref="A612:G612"/>
    <mergeCell ref="A571:H571"/>
    <mergeCell ref="A572:H572"/>
    <mergeCell ref="A578:G578"/>
    <mergeCell ref="A579:G579"/>
    <mergeCell ref="A580:G580"/>
    <mergeCell ref="A581:H581"/>
    <mergeCell ref="A588:H588"/>
    <mergeCell ref="A589:H589"/>
    <mergeCell ref="A545:H545"/>
    <mergeCell ref="A554:H554"/>
    <mergeCell ref="A555:H555"/>
    <mergeCell ref="A561:G561"/>
    <mergeCell ref="A562:G562"/>
    <mergeCell ref="A563:G563"/>
    <mergeCell ref="A564:H564"/>
    <mergeCell ref="A613:G613"/>
    <mergeCell ref="A614:G614"/>
    <mergeCell ref="A615:H615"/>
    <mergeCell ref="A623:H623"/>
    <mergeCell ref="A624:H624"/>
    <mergeCell ref="A630:G630"/>
    <mergeCell ref="A631:G631"/>
    <mergeCell ref="A632:G632"/>
    <mergeCell ref="A633:H633"/>
    <mergeCell ref="A644:H644"/>
    <mergeCell ref="A645:H645"/>
    <mergeCell ref="A651:G651"/>
    <mergeCell ref="A652:G652"/>
    <mergeCell ref="A653:G653"/>
    <mergeCell ref="A654:H654"/>
    <mergeCell ref="A661:H661"/>
    <mergeCell ref="A662:H662"/>
    <mergeCell ref="A668:G668"/>
    <mergeCell ref="A669:G669"/>
    <mergeCell ref="A670:G670"/>
    <mergeCell ref="A671:H671"/>
    <mergeCell ref="A681:H681"/>
    <mergeCell ref="A682:H682"/>
    <mergeCell ref="A688:G688"/>
    <mergeCell ref="A689:G689"/>
    <mergeCell ref="A690:G690"/>
    <mergeCell ref="A691:H691"/>
    <mergeCell ref="A699:H699"/>
    <mergeCell ref="A700:H700"/>
    <mergeCell ref="A706:G706"/>
    <mergeCell ref="A707:G707"/>
    <mergeCell ref="A708:G708"/>
    <mergeCell ref="A709:H709"/>
    <mergeCell ref="A716:H716"/>
    <mergeCell ref="A717:H717"/>
    <mergeCell ref="A723:G723"/>
    <mergeCell ref="A724:G724"/>
    <mergeCell ref="A725:G725"/>
    <mergeCell ref="A726:H726"/>
    <mergeCell ref="A733:H733"/>
    <mergeCell ref="A734:H734"/>
    <mergeCell ref="A740:G740"/>
    <mergeCell ref="A741:G741"/>
    <mergeCell ref="A742:G742"/>
    <mergeCell ref="A743:H743"/>
    <mergeCell ref="A749:H749"/>
    <mergeCell ref="A750:H750"/>
    <mergeCell ref="A756:G756"/>
    <mergeCell ref="A757:G757"/>
    <mergeCell ref="A890:G890"/>
    <mergeCell ref="A891:H891"/>
    <mergeCell ref="A900:H900"/>
    <mergeCell ref="A901:H901"/>
    <mergeCell ref="A907:G907"/>
    <mergeCell ref="A818:H818"/>
    <mergeCell ref="A828:H828"/>
    <mergeCell ref="A829:H829"/>
    <mergeCell ref="A835:G835"/>
    <mergeCell ref="A836:G836"/>
    <mergeCell ref="A837:G837"/>
    <mergeCell ref="A838:H838"/>
    <mergeCell ref="A844:H844"/>
    <mergeCell ref="A845:H845"/>
    <mergeCell ref="A851:G851"/>
    <mergeCell ref="A852:G852"/>
    <mergeCell ref="A853:G853"/>
    <mergeCell ref="A854:H854"/>
    <mergeCell ref="A863:H863"/>
    <mergeCell ref="A864:H864"/>
    <mergeCell ref="A817:G817"/>
    <mergeCell ref="A935:H935"/>
    <mergeCell ref="A936:H936"/>
    <mergeCell ref="A942:G942"/>
    <mergeCell ref="A943:G943"/>
    <mergeCell ref="A944:G944"/>
    <mergeCell ref="A945:H945"/>
    <mergeCell ref="A953:H953"/>
    <mergeCell ref="A954:H954"/>
    <mergeCell ref="A908:G908"/>
    <mergeCell ref="A909:G909"/>
    <mergeCell ref="A910:H910"/>
    <mergeCell ref="A916:H916"/>
    <mergeCell ref="A917:H917"/>
    <mergeCell ref="A923:G923"/>
    <mergeCell ref="A924:G924"/>
    <mergeCell ref="A925:G925"/>
    <mergeCell ref="A926:H926"/>
    <mergeCell ref="A792:H792"/>
    <mergeCell ref="A798:G798"/>
    <mergeCell ref="A799:G799"/>
    <mergeCell ref="A800:G800"/>
    <mergeCell ref="A801:H801"/>
    <mergeCell ref="A808:H808"/>
    <mergeCell ref="A809:H809"/>
    <mergeCell ref="A815:G815"/>
    <mergeCell ref="A816:G816"/>
    <mergeCell ref="A758:G758"/>
    <mergeCell ref="A759:H759"/>
    <mergeCell ref="A769:H769"/>
    <mergeCell ref="A770:H770"/>
    <mergeCell ref="A776:G776"/>
    <mergeCell ref="A777:G777"/>
    <mergeCell ref="A778:G778"/>
    <mergeCell ref="A779:H779"/>
    <mergeCell ref="A791:H791"/>
    <mergeCell ref="A870:G870"/>
    <mergeCell ref="A871:G871"/>
    <mergeCell ref="A872:G872"/>
    <mergeCell ref="A873:H873"/>
    <mergeCell ref="A881:H881"/>
    <mergeCell ref="A882:H882"/>
    <mergeCell ref="A888:G888"/>
    <mergeCell ref="A889:G889"/>
    <mergeCell ref="A978:G978"/>
    <mergeCell ref="A961:G961"/>
    <mergeCell ref="A962:G962"/>
    <mergeCell ref="A963:H963"/>
    <mergeCell ref="A971:H971"/>
    <mergeCell ref="A972:H972"/>
    <mergeCell ref="A960:G960"/>
    <mergeCell ref="A979:G979"/>
    <mergeCell ref="A980:G980"/>
    <mergeCell ref="A981:H981"/>
    <mergeCell ref="A991:H991"/>
    <mergeCell ref="A992:H992"/>
    <mergeCell ref="A998:G998"/>
    <mergeCell ref="A999:G999"/>
    <mergeCell ref="A1000:G1000"/>
    <mergeCell ref="A1001:H1001"/>
    <mergeCell ref="A1009:H1009"/>
    <mergeCell ref="A1010:H1010"/>
    <mergeCell ref="A1016:G1016"/>
    <mergeCell ref="A1017:G1017"/>
    <mergeCell ref="A1018:G1018"/>
    <mergeCell ref="A1019:H1019"/>
    <mergeCell ref="A1025:H1025"/>
    <mergeCell ref="A1026:H1026"/>
    <mergeCell ref="A1031:G1031"/>
    <mergeCell ref="A1032:G1032"/>
    <mergeCell ref="A1033:G1033"/>
    <mergeCell ref="A1034:H1034"/>
    <mergeCell ref="A1040:H1040"/>
    <mergeCell ref="A1041:H1041"/>
    <mergeCell ref="A1046:G1046"/>
    <mergeCell ref="A1047:G1047"/>
    <mergeCell ref="A1048:G1048"/>
    <mergeCell ref="A1049:H1049"/>
    <mergeCell ref="A1057:H1057"/>
    <mergeCell ref="A1058:H1058"/>
    <mergeCell ref="A1063:G1063"/>
    <mergeCell ref="A1064:G1064"/>
    <mergeCell ref="A1065:G1065"/>
    <mergeCell ref="A1066:H1066"/>
    <mergeCell ref="A1072:H1072"/>
    <mergeCell ref="A1073:H1073"/>
    <mergeCell ref="A1078:G1078"/>
    <mergeCell ref="A1079:G1079"/>
    <mergeCell ref="A1080:G1080"/>
    <mergeCell ref="A1081:H1081"/>
    <mergeCell ref="A1089:H1089"/>
    <mergeCell ref="A1090:H1090"/>
    <mergeCell ref="A1095:G1095"/>
    <mergeCell ref="A1096:G1096"/>
    <mergeCell ref="A1097:G1097"/>
    <mergeCell ref="A1098:H1098"/>
    <mergeCell ref="A1106:H1106"/>
    <mergeCell ref="A1107:H1107"/>
    <mergeCell ref="A1112:G1112"/>
    <mergeCell ref="A1113:G1113"/>
    <mergeCell ref="A1114:G1114"/>
    <mergeCell ref="A1115:H1115"/>
    <mergeCell ref="A1123:H1123"/>
    <mergeCell ref="A1124:H1124"/>
    <mergeCell ref="A1129:G1129"/>
    <mergeCell ref="A1130:G1130"/>
    <mergeCell ref="A1260:G1260"/>
    <mergeCell ref="A1261:H1261"/>
    <mergeCell ref="A1271:H1271"/>
    <mergeCell ref="A1272:H1272"/>
    <mergeCell ref="A1277:G1277"/>
    <mergeCell ref="A1278:G1278"/>
    <mergeCell ref="A1279:G1279"/>
    <mergeCell ref="A1280:H1280"/>
    <mergeCell ref="A1201:G1201"/>
    <mergeCell ref="A1202:G1202"/>
    <mergeCell ref="A1203:G1203"/>
    <mergeCell ref="A1204:H1204"/>
    <mergeCell ref="A1213:H1213"/>
    <mergeCell ref="A1214:H1214"/>
    <mergeCell ref="A1219:G1219"/>
    <mergeCell ref="A1220:G1220"/>
    <mergeCell ref="A1221:G1221"/>
    <mergeCell ref="A1222:H1222"/>
    <mergeCell ref="A1233:H1233"/>
    <mergeCell ref="A1234:H1234"/>
    <mergeCell ref="A1239:G1239"/>
    <mergeCell ref="A1240:G1240"/>
    <mergeCell ref="A1241:G1241"/>
    <mergeCell ref="A1186:G1186"/>
    <mergeCell ref="A1187:H1187"/>
    <mergeCell ref="A1195:H1195"/>
    <mergeCell ref="A1196:H1196"/>
    <mergeCell ref="A1318:G1318"/>
    <mergeCell ref="A1319:G1319"/>
    <mergeCell ref="A1320:H1320"/>
    <mergeCell ref="A1329:H1329"/>
    <mergeCell ref="A1330:H1330"/>
    <mergeCell ref="A1292:H1292"/>
    <mergeCell ref="A1293:H1293"/>
    <mergeCell ref="A1298:G1298"/>
    <mergeCell ref="A1299:G1299"/>
    <mergeCell ref="A1300:G1300"/>
    <mergeCell ref="A1301:H1301"/>
    <mergeCell ref="A1311:H1311"/>
    <mergeCell ref="A1312:H1312"/>
    <mergeCell ref="A1317:G1317"/>
    <mergeCell ref="A1161:H1161"/>
    <mergeCell ref="A1166:G1166"/>
    <mergeCell ref="A1167:G1167"/>
    <mergeCell ref="A1168:G1168"/>
    <mergeCell ref="A1169:H1169"/>
    <mergeCell ref="A1178:H1178"/>
    <mergeCell ref="A1179:H1179"/>
    <mergeCell ref="A1184:G1184"/>
    <mergeCell ref="A1185:G1185"/>
    <mergeCell ref="A1131:G1131"/>
    <mergeCell ref="A1132:H1132"/>
    <mergeCell ref="A1141:H1141"/>
    <mergeCell ref="A1142:H1142"/>
    <mergeCell ref="A1147:G1147"/>
    <mergeCell ref="A1148:G1148"/>
    <mergeCell ref="A1149:G1149"/>
    <mergeCell ref="A1150:H1150"/>
    <mergeCell ref="A1160:H1160"/>
    <mergeCell ref="A1242:H1242"/>
    <mergeCell ref="A1252:H1252"/>
    <mergeCell ref="A1253:H1253"/>
    <mergeCell ref="A1258:G1258"/>
    <mergeCell ref="A1259:G1259"/>
    <mergeCell ref="A1354:G1354"/>
    <mergeCell ref="A1355:G1355"/>
    <mergeCell ref="A1356:G1356"/>
    <mergeCell ref="A1357:H1357"/>
    <mergeCell ref="A1348:H1348"/>
    <mergeCell ref="A1349:H1349"/>
    <mergeCell ref="A1335:G1335"/>
    <mergeCell ref="A1336:G1336"/>
    <mergeCell ref="A1337:G1337"/>
    <mergeCell ref="A1338:H1338"/>
    <mergeCell ref="A1890:H1890"/>
    <mergeCell ref="A1897:H1897"/>
    <mergeCell ref="A1898:H1898"/>
    <mergeCell ref="A1372:H1372"/>
    <mergeCell ref="A1373:H1373"/>
    <mergeCell ref="A1378:G1378"/>
    <mergeCell ref="A2009:H2009"/>
    <mergeCell ref="A2010:H2010"/>
    <mergeCell ref="A2016:G2016"/>
    <mergeCell ref="A1903:G1903"/>
    <mergeCell ref="A1904:G1904"/>
    <mergeCell ref="A1905:G1905"/>
    <mergeCell ref="A1906:H1906"/>
    <mergeCell ref="A1913:H1913"/>
    <mergeCell ref="A1914:H1914"/>
    <mergeCell ref="A1919:G1919"/>
    <mergeCell ref="A1920:G1920"/>
    <mergeCell ref="A1921:G1921"/>
    <mergeCell ref="A1922:H1922"/>
    <mergeCell ref="A1928:H1928"/>
    <mergeCell ref="A1929:H1929"/>
    <mergeCell ref="A1934:G1934"/>
    <mergeCell ref="A1935:G1935"/>
    <mergeCell ref="A1936:G1936"/>
    <mergeCell ref="A1869:G1869"/>
    <mergeCell ref="A1870:G1870"/>
    <mergeCell ref="A1871:G1871"/>
    <mergeCell ref="A1872:H1872"/>
    <mergeCell ref="A1881:H1881"/>
    <mergeCell ref="A1882:H1882"/>
    <mergeCell ref="A1887:G1887"/>
    <mergeCell ref="A1888:G1888"/>
    <mergeCell ref="A1889:G1889"/>
    <mergeCell ref="A2052:G2052"/>
    <mergeCell ref="A2053:G2053"/>
    <mergeCell ref="A2054:G2054"/>
    <mergeCell ref="A2055:H2055"/>
    <mergeCell ref="A2060:H2060"/>
    <mergeCell ref="A2061:H2061"/>
    <mergeCell ref="A2067:G2067"/>
    <mergeCell ref="A1992:H1992"/>
    <mergeCell ref="A1993:H1993"/>
    <mergeCell ref="A1999:G1999"/>
    <mergeCell ref="A2000:G2000"/>
    <mergeCell ref="A2001:G2001"/>
    <mergeCell ref="A2002:H2002"/>
    <mergeCell ref="A2028:H2028"/>
    <mergeCell ref="A2029:H2029"/>
    <mergeCell ref="A2035:G2035"/>
    <mergeCell ref="A2036:G2036"/>
    <mergeCell ref="A2037:G2037"/>
    <mergeCell ref="A2038:H2038"/>
    <mergeCell ref="A2045:H2045"/>
    <mergeCell ref="A2046:H2046"/>
    <mergeCell ref="A2017:G2017"/>
    <mergeCell ref="A2018:G2018"/>
    <mergeCell ref="A2019:H2019"/>
    <mergeCell ref="A1379:G1379"/>
    <mergeCell ref="A1380:G1380"/>
    <mergeCell ref="A1381:H1381"/>
    <mergeCell ref="A1395:H1395"/>
    <mergeCell ref="A1396:H1396"/>
    <mergeCell ref="A1401:G1401"/>
    <mergeCell ref="A1402:G1402"/>
    <mergeCell ref="A1403:G1403"/>
    <mergeCell ref="A1404:H1404"/>
    <mergeCell ref="A1411:H1411"/>
    <mergeCell ref="A1412:H1412"/>
    <mergeCell ref="A1417:G1417"/>
    <mergeCell ref="A1418:G1418"/>
    <mergeCell ref="A1419:G1419"/>
    <mergeCell ref="A1420:H1420"/>
    <mergeCell ref="A1428:H1428"/>
    <mergeCell ref="A1429:H1429"/>
    <mergeCell ref="A1434:G1434"/>
    <mergeCell ref="A1435:G1435"/>
    <mergeCell ref="A1436:G1436"/>
    <mergeCell ref="A1437:H1437"/>
    <mergeCell ref="A1445:H1445"/>
    <mergeCell ref="A1446:H1446"/>
    <mergeCell ref="A1451:G1451"/>
    <mergeCell ref="A1452:G1452"/>
    <mergeCell ref="A1453:G1453"/>
    <mergeCell ref="A1454:H1454"/>
    <mergeCell ref="A1459:H1459"/>
    <mergeCell ref="A1460:H1460"/>
    <mergeCell ref="A1465:G1465"/>
    <mergeCell ref="A1466:G1466"/>
    <mergeCell ref="A1467:G1467"/>
    <mergeCell ref="A1468:H1468"/>
    <mergeCell ref="A1473:H1473"/>
    <mergeCell ref="A1474:H1474"/>
    <mergeCell ref="A1479:G1479"/>
    <mergeCell ref="A1480:G1480"/>
    <mergeCell ref="A1481:G1481"/>
    <mergeCell ref="A1482:H1482"/>
    <mergeCell ref="A1487:H1487"/>
    <mergeCell ref="A1488:H1488"/>
    <mergeCell ref="A1493:G1493"/>
    <mergeCell ref="A1494:G1494"/>
    <mergeCell ref="A1495:G1495"/>
    <mergeCell ref="A1496:H1496"/>
    <mergeCell ref="A1501:H1501"/>
    <mergeCell ref="A1502:H1502"/>
    <mergeCell ref="A1507:G1507"/>
    <mergeCell ref="A1508:G1508"/>
    <mergeCell ref="A1621:G1621"/>
    <mergeCell ref="A1622:H1622"/>
    <mergeCell ref="A1630:H1630"/>
    <mergeCell ref="A1631:H1631"/>
    <mergeCell ref="A1636:G1636"/>
    <mergeCell ref="A1554:H1554"/>
    <mergeCell ref="A1566:H1566"/>
    <mergeCell ref="A1567:H1567"/>
    <mergeCell ref="A1572:G1572"/>
    <mergeCell ref="A1573:G1573"/>
    <mergeCell ref="A1574:G1574"/>
    <mergeCell ref="A1575:H1575"/>
    <mergeCell ref="A1581:H1581"/>
    <mergeCell ref="A1582:H1582"/>
    <mergeCell ref="A1587:G1587"/>
    <mergeCell ref="A1588:G1588"/>
    <mergeCell ref="A1589:G1589"/>
    <mergeCell ref="A1590:H1590"/>
    <mergeCell ref="A1597:H1597"/>
    <mergeCell ref="A1598:H1598"/>
    <mergeCell ref="A1553:G1553"/>
    <mergeCell ref="A1661:H1661"/>
    <mergeCell ref="A1662:H1662"/>
    <mergeCell ref="A1667:G1667"/>
    <mergeCell ref="A1668:G1668"/>
    <mergeCell ref="A1669:G1669"/>
    <mergeCell ref="A1670:H1670"/>
    <mergeCell ref="A1675:H1675"/>
    <mergeCell ref="A1676:H1676"/>
    <mergeCell ref="A1637:G1637"/>
    <mergeCell ref="A1638:G1638"/>
    <mergeCell ref="A1639:H1639"/>
    <mergeCell ref="A1645:H1645"/>
    <mergeCell ref="A1646:H1646"/>
    <mergeCell ref="A1651:G1651"/>
    <mergeCell ref="A1652:G1652"/>
    <mergeCell ref="A1653:G1653"/>
    <mergeCell ref="A1654:H1654"/>
    <mergeCell ref="A1531:H1531"/>
    <mergeCell ref="A1536:G1536"/>
    <mergeCell ref="A1537:G1537"/>
    <mergeCell ref="A1538:G1538"/>
    <mergeCell ref="A1539:H1539"/>
    <mergeCell ref="A1545:H1545"/>
    <mergeCell ref="A1546:H1546"/>
    <mergeCell ref="A1551:G1551"/>
    <mergeCell ref="A1552:G1552"/>
    <mergeCell ref="A1509:G1509"/>
    <mergeCell ref="A1510:H1510"/>
    <mergeCell ref="A1516:H1516"/>
    <mergeCell ref="A1517:H1517"/>
    <mergeCell ref="A1522:G1522"/>
    <mergeCell ref="A1523:G1523"/>
    <mergeCell ref="A1524:G1524"/>
    <mergeCell ref="A1525:H1525"/>
    <mergeCell ref="A1530:H1530"/>
    <mergeCell ref="A1603:G1603"/>
    <mergeCell ref="A1604:G1604"/>
    <mergeCell ref="A1605:G1605"/>
    <mergeCell ref="A1606:H1606"/>
    <mergeCell ref="A1613:H1613"/>
    <mergeCell ref="A1614:H1614"/>
    <mergeCell ref="A1619:G1619"/>
    <mergeCell ref="A1620:G1620"/>
    <mergeCell ref="A1696:G1696"/>
    <mergeCell ref="A1682:G1682"/>
    <mergeCell ref="A1683:G1683"/>
    <mergeCell ref="A1684:H1684"/>
    <mergeCell ref="A1690:H1690"/>
    <mergeCell ref="A1691:H1691"/>
    <mergeCell ref="A1681:G1681"/>
    <mergeCell ref="A1697:G1697"/>
    <mergeCell ref="A1698:G1698"/>
    <mergeCell ref="A1699:H1699"/>
    <mergeCell ref="A1706:H1706"/>
    <mergeCell ref="A1707:H1707"/>
    <mergeCell ref="A1712:G1712"/>
    <mergeCell ref="A1713:G1713"/>
    <mergeCell ref="A1714:G1714"/>
    <mergeCell ref="A1715:H1715"/>
    <mergeCell ref="A1723:H1723"/>
    <mergeCell ref="A1724:H1724"/>
    <mergeCell ref="A1729:G1729"/>
    <mergeCell ref="A1730:G1730"/>
    <mergeCell ref="A1731:G1731"/>
    <mergeCell ref="A1732:H1732"/>
    <mergeCell ref="A1744:H1744"/>
    <mergeCell ref="A1745:H1745"/>
    <mergeCell ref="A1750:G1750"/>
    <mergeCell ref="A1751:G1751"/>
    <mergeCell ref="A1752:G1752"/>
    <mergeCell ref="A1753:H1753"/>
    <mergeCell ref="A1764:H1764"/>
    <mergeCell ref="A1765:H1765"/>
    <mergeCell ref="A1770:G1770"/>
    <mergeCell ref="A1771:G1771"/>
    <mergeCell ref="A1772:G1772"/>
    <mergeCell ref="A1773:H1773"/>
    <mergeCell ref="A1782:H1782"/>
    <mergeCell ref="A1783:H1783"/>
    <mergeCell ref="A1788:G1788"/>
    <mergeCell ref="A1789:G1789"/>
    <mergeCell ref="A1790:G1790"/>
    <mergeCell ref="A1791:H1791"/>
    <mergeCell ref="A1798:H1798"/>
    <mergeCell ref="A1799:H1799"/>
    <mergeCell ref="A1804:G1804"/>
    <mergeCell ref="A1805:G1805"/>
    <mergeCell ref="A1806:G1806"/>
    <mergeCell ref="A1807:H1807"/>
    <mergeCell ref="A1815:H1815"/>
    <mergeCell ref="A1816:H1816"/>
    <mergeCell ref="A1821:G1821"/>
    <mergeCell ref="A1822:G1822"/>
    <mergeCell ref="A1823:G1823"/>
    <mergeCell ref="A1824:H1824"/>
    <mergeCell ref="A1831:H1831"/>
    <mergeCell ref="A1832:H1832"/>
    <mergeCell ref="A1837:G1837"/>
    <mergeCell ref="A1838:G1838"/>
    <mergeCell ref="A1839:G1839"/>
    <mergeCell ref="A1840:H1840"/>
    <mergeCell ref="A1848:H1848"/>
    <mergeCell ref="A1849:H1849"/>
    <mergeCell ref="A1854:G1854"/>
    <mergeCell ref="A1855:G1855"/>
    <mergeCell ref="A1967:G1967"/>
    <mergeCell ref="A1968:H1968"/>
    <mergeCell ref="A1974:H1974"/>
    <mergeCell ref="A1975:H1975"/>
    <mergeCell ref="A1981:G1981"/>
    <mergeCell ref="A1982:G1982"/>
    <mergeCell ref="A1983:G1983"/>
    <mergeCell ref="A1984:H1984"/>
    <mergeCell ref="A1965:G1965"/>
    <mergeCell ref="A1966:G1966"/>
    <mergeCell ref="A1937:H1937"/>
    <mergeCell ref="A1943:H1943"/>
    <mergeCell ref="A1944:H1944"/>
    <mergeCell ref="A1949:G1949"/>
    <mergeCell ref="A1950:G1950"/>
    <mergeCell ref="A1951:G1951"/>
    <mergeCell ref="A1952:H1952"/>
    <mergeCell ref="A1958:H1958"/>
    <mergeCell ref="A1959:H1959"/>
    <mergeCell ref="A1856:G1856"/>
    <mergeCell ref="A1857:H1857"/>
    <mergeCell ref="A1863:H1863"/>
    <mergeCell ref="A1864:H1864"/>
    <mergeCell ref="A2068:G2068"/>
    <mergeCell ref="A2069:G2069"/>
    <mergeCell ref="A2070:H2070"/>
    <mergeCell ref="A2076:H2076"/>
    <mergeCell ref="A2077:H2077"/>
    <mergeCell ref="A2083:G2083"/>
    <mergeCell ref="A2084:G2084"/>
    <mergeCell ref="A2085:G2085"/>
    <mergeCell ref="A2086:H2086"/>
    <mergeCell ref="A2092:H2092"/>
    <mergeCell ref="A2093:H2093"/>
    <mergeCell ref="A2099:G2099"/>
    <mergeCell ref="A2100:G2100"/>
    <mergeCell ref="A2101:G2101"/>
    <mergeCell ref="A2102:H2102"/>
    <mergeCell ref="A2110:H2110"/>
    <mergeCell ref="A2111:H2111"/>
    <mergeCell ref="A2117:G2117"/>
    <mergeCell ref="A2118:G2118"/>
    <mergeCell ref="A2119:G2119"/>
    <mergeCell ref="A2120:H2120"/>
    <mergeCell ref="A2129:H2129"/>
    <mergeCell ref="A2130:H2130"/>
    <mergeCell ref="A2136:G2136"/>
    <mergeCell ref="A2137:G2137"/>
    <mergeCell ref="A2138:G2138"/>
    <mergeCell ref="A2139:H2139"/>
    <mergeCell ref="A2149:H2149"/>
    <mergeCell ref="A2150:H2150"/>
    <mergeCell ref="A2156:G2156"/>
    <mergeCell ref="A2157:G2157"/>
    <mergeCell ref="A2158:G2158"/>
    <mergeCell ref="A2159:H2159"/>
    <mergeCell ref="A2166:H2166"/>
    <mergeCell ref="A2167:H2167"/>
    <mergeCell ref="A2173:G2173"/>
    <mergeCell ref="A2174:G2174"/>
    <mergeCell ref="A2175:G2175"/>
    <mergeCell ref="A2176:H2176"/>
    <mergeCell ref="A2183:H2183"/>
    <mergeCell ref="A2184:H2184"/>
    <mergeCell ref="A2190:G2190"/>
    <mergeCell ref="A2208:G2208"/>
    <mergeCell ref="A2209:H2209"/>
    <mergeCell ref="A2217:H2217"/>
    <mergeCell ref="A2218:H2218"/>
    <mergeCell ref="A2223:G2223"/>
    <mergeCell ref="A2224:G2224"/>
    <mergeCell ref="A2225:G2225"/>
    <mergeCell ref="A2226:H2226"/>
    <mergeCell ref="A2191:G2191"/>
    <mergeCell ref="A2192:G2192"/>
    <mergeCell ref="A2193:H2193"/>
    <mergeCell ref="A2200:H2200"/>
    <mergeCell ref="A2201:H2201"/>
    <mergeCell ref="A2206:G2206"/>
    <mergeCell ref="A2207:G2207"/>
  </mergeCells>
  <pageMargins left="0.7" right="0.7" top="0.75" bottom="0.75" header="0.3" footer="0.3"/>
  <tableParts count="1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Base</cp:lastModifiedBy>
  <dcterms:modified xsi:type="dcterms:W3CDTF">2025-11-09T15:30:31Z</dcterms:modified>
</cp:coreProperties>
</file>