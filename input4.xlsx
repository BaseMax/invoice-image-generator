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38.xml"/>
  <Override ContentType="application/vnd.openxmlformats-officedocument.spreadsheetml.table+xml" PartName="/xl/tables/table249.xml"/>
  <Override ContentType="application/vnd.openxmlformats-officedocument.spreadsheetml.table+xml" PartName="/xl/tables/table354.xml"/>
  <Override ContentType="application/vnd.openxmlformats-officedocument.spreadsheetml.table+xml" PartName="/xl/tables/table168.xml"/>
  <Override ContentType="application/vnd.openxmlformats-officedocument.spreadsheetml.table+xml" PartName="/xl/tables/table257.xml"/>
  <Override ContentType="application/vnd.openxmlformats-officedocument.spreadsheetml.table+xml" PartName="/xl/tables/table346.xml"/>
  <Override ContentType="application/vnd.openxmlformats-officedocument.spreadsheetml.table+xml" PartName="/xl/tables/table93.xml"/>
  <Override ContentType="application/vnd.openxmlformats-officedocument.spreadsheetml.table+xml" PartName="/xl/tables/table192.xml"/>
  <Override ContentType="application/vnd.openxmlformats-officedocument.spreadsheetml.table+xml" PartName="/xl/tables/table14.xml"/>
  <Override ContentType="application/vnd.openxmlformats-officedocument.spreadsheetml.table+xml" PartName="/xl/tables/table161.xml"/>
  <Override ContentType="application/vnd.openxmlformats-officedocument.spreadsheetml.table+xml" PartName="/xl/tables/table22.xml"/>
  <Override ContentType="application/vnd.openxmlformats-officedocument.spreadsheetml.table+xml" PartName="/xl/tables/table145.xml"/>
  <Override ContentType="application/vnd.openxmlformats-officedocument.spreadsheetml.table+xml" PartName="/xl/tables/table242.xml"/>
  <Override ContentType="application/vnd.openxmlformats-officedocument.spreadsheetml.table+xml" PartName="/xl/tables/table6.xml"/>
  <Override ContentType="application/vnd.openxmlformats-officedocument.spreadsheetml.table+xml" PartName="/xl/tables/table370.xml"/>
  <Override ContentType="application/vnd.openxmlformats-officedocument.spreadsheetml.table+xml" PartName="/xl/tables/table129.xml"/>
  <Override ContentType="application/vnd.openxmlformats-officedocument.spreadsheetml.table+xml" PartName="/xl/tables/table273.xml"/>
  <Override ContentType="application/vnd.openxmlformats-officedocument.spreadsheetml.table+xml" PartName="/xl/tables/table323.xml"/>
  <Override ContentType="application/vnd.openxmlformats-officedocument.spreadsheetml.table+xml" PartName="/xl/tables/table176.xml"/>
  <Override ContentType="application/vnd.openxmlformats-officedocument.spreadsheetml.table+xml" PartName="/xl/tables/table226.xml"/>
  <Override ContentType="application/vnd.openxmlformats-officedocument.spreadsheetml.table+xml" PartName="/xl/tables/table77.xml"/>
  <Override ContentType="application/vnd.openxmlformats-officedocument.spreadsheetml.table+xml" PartName="/xl/tables/table29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296.xml"/>
  <Override ContentType="application/vnd.openxmlformats-officedocument.spreadsheetml.table+xml" PartName="/xl/tables/table307.xml"/>
  <Override ContentType="application/vnd.openxmlformats-officedocument.spreadsheetml.table+xml" PartName="/xl/tables/table121.xml"/>
  <Override ContentType="application/vnd.openxmlformats-officedocument.spreadsheetml.table+xml" PartName="/xl/tables/table369.xml"/>
  <Override ContentType="application/vnd.openxmlformats-officedocument.spreadsheetml.table+xml" PartName="/xl/tables/table394.xml"/>
  <Override ContentType="application/vnd.openxmlformats-officedocument.spreadsheetml.table+xml" PartName="/xl/tables/table61.xml"/>
  <Override ContentType="application/vnd.openxmlformats-officedocument.spreadsheetml.table+xml" PartName="/xl/tables/table288.xml"/>
  <Override ContentType="application/vnd.openxmlformats-officedocument.spreadsheetml.table+xml" PartName="/xl/tables/table300.xml"/>
  <Override ContentType="application/vnd.openxmlformats-officedocument.spreadsheetml.table+xml" PartName="/xl/tables/table53.xml"/>
  <Override ContentType="application/vnd.openxmlformats-officedocument.spreadsheetml.table+xml" PartName="/xl/tables/table202.xml"/>
  <Override ContentType="application/vnd.openxmlformats-officedocument.spreadsheetml.table+xml" PartName="/xl/tables/table377.xml"/>
  <Override ContentType="application/vnd.openxmlformats-officedocument.spreadsheetml.table+xml" PartName="/xl/tables/table386.xml"/>
  <Override ContentType="application/vnd.openxmlformats-officedocument.spreadsheetml.table+xml" PartName="/xl/tables/table153.xml"/>
  <Override ContentType="application/vnd.openxmlformats-officedocument.spreadsheetml.table+xml" PartName="/xl/tables/table106.xml"/>
  <Override ContentType="application/vnd.openxmlformats-officedocument.spreadsheetml.table+xml" PartName="/xl/tables/table281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85.xml"/>
  <Override ContentType="application/vnd.openxmlformats-officedocument.spreadsheetml.table+xml" PartName="/xl/tables/table31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362.xml"/>
  <Override ContentType="application/vnd.openxmlformats-officedocument.spreadsheetml.table+xml" PartName="/xl/tables/table177.xml"/>
  <Override ContentType="application/vnd.openxmlformats-officedocument.spreadsheetml.table+xml" PartName="/xl/tables/table363.xml"/>
  <Override ContentType="application/vnd.openxmlformats-officedocument.spreadsheetml.table+xml" PartName="/xl/tables/table185.xml"/>
  <Override ContentType="application/vnd.openxmlformats-officedocument.spreadsheetml.table+xml" PartName="/xl/tables/table84.xml"/>
  <Override ContentType="application/vnd.openxmlformats-officedocument.spreadsheetml.table+xml" PartName="/xl/tables/table274.xml"/>
  <Override ContentType="application/vnd.openxmlformats-officedocument.spreadsheetml.table+xml" PartName="/xl/tables/table329.xml"/>
  <Override ContentType="application/vnd.openxmlformats-officedocument.spreadsheetml.table+xml" PartName="/xl/tables/table29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39.xml"/>
  <Override ContentType="application/vnd.openxmlformats-officedocument.spreadsheetml.table+xml" PartName="/xl/tables/table152.xml"/>
  <Override ContentType="application/vnd.openxmlformats-officedocument.spreadsheetml.table+xml" PartName="/xl/tables/table330.xml"/>
  <Override ContentType="application/vnd.openxmlformats-officedocument.spreadsheetml.table+xml" PartName="/xl/tables/table23.xml"/>
  <Override ContentType="application/vnd.openxmlformats-officedocument.spreadsheetml.table+xml" PartName="/xl/tables/table347.xml"/>
  <Override ContentType="application/vnd.openxmlformats-officedocument.spreadsheetml.table+xml" PartName="/xl/tables/table241.xml"/>
  <Override ContentType="application/vnd.openxmlformats-officedocument.spreadsheetml.table+xml" PartName="/xl/tables/table280.xml"/>
  <Override ContentType="application/vnd.openxmlformats-officedocument.spreadsheetml.table+xml" PartName="/xl/tables/table128.xml"/>
  <Override ContentType="application/vnd.openxmlformats-officedocument.spreadsheetml.table+xml" PartName="/xl/tables/table225.xml"/>
  <Override ContentType="application/vnd.openxmlformats-officedocument.spreadsheetml.table+xml" PartName="/xl/tables/table114.xml"/>
  <Override ContentType="application/vnd.openxmlformats-officedocument.spreadsheetml.table+xml" PartName="/xl/tables/table378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146.xml"/>
  <Override ContentType="application/vnd.openxmlformats-officedocument.spreadsheetml.table+xml" PartName="/xl/tables/table353.xml"/>
  <Override ContentType="application/vnd.openxmlformats-officedocument.spreadsheetml.table+xml" PartName="/xl/tables/table94.xml"/>
  <Override ContentType="application/vnd.openxmlformats-officedocument.spreadsheetml.table+xml" PartName="/xl/tables/table256.xml"/>
  <Override ContentType="application/vnd.openxmlformats-officedocument.spreadsheetml.table+xml" PartName="/xl/tables/table308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368.xml"/>
  <Override ContentType="application/vnd.openxmlformats-officedocument.spreadsheetml.table+xml" PartName="/xl/tables/table385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30.xml"/>
  <Override ContentType="application/vnd.openxmlformats-officedocument.spreadsheetml.table+xml" PartName="/xl/tables/table289.xml"/>
  <Override ContentType="application/vnd.openxmlformats-officedocument.spreadsheetml.table+xml" PartName="/xl/tables/table113.xml"/>
  <Override ContentType="application/vnd.openxmlformats-officedocument.spreadsheetml.table+xml" PartName="/xl/tables/table13.xml"/>
  <Override ContentType="application/vnd.openxmlformats-officedocument.spreadsheetml.table+xml" PartName="/xl/tables/table99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314.xml"/>
  <Override ContentType="application/vnd.openxmlformats-officedocument.spreadsheetml.table+xml" PartName="/xl/tables/table203.xml"/>
  <Override ContentType="application/vnd.openxmlformats-officedocument.spreadsheetml.table+xml" PartName="/xl/tables/table331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218.xml"/>
  <Override ContentType="application/vnd.openxmlformats-officedocument.spreadsheetml.table+xml" PartName="/xl/tables/table167.xml"/>
  <Override ContentType="application/vnd.openxmlformats-officedocument.spreadsheetml.table+xml" PartName="/xl/tables/table235.xml"/>
  <Override ContentType="application/vnd.openxmlformats-officedocument.spreadsheetml.table+xml" PartName="/xl/tables/table107.xml"/>
  <Override ContentType="application/vnd.openxmlformats-officedocument.spreadsheetml.table+xml" PartName="/xl/tables/table295.xml"/>
  <Override ContentType="application/vnd.openxmlformats-officedocument.spreadsheetml.table+xml" PartName="/xl/tables/table4.xml"/>
  <Override ContentType="application/vnd.openxmlformats-officedocument.spreadsheetml.table+xml" PartName="/xl/tables/table194.xml"/>
  <Override ContentType="application/vnd.openxmlformats-officedocument.spreadsheetml.table+xml" PartName="/xl/tables/table380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372.xml"/>
  <Override ContentType="application/vnd.openxmlformats-officedocument.spreadsheetml.table+xml" PartName="/xl/tables/table135.xml"/>
  <Override ContentType="application/vnd.openxmlformats-officedocument.spreadsheetml.table+xml" PartName="/xl/tables/table321.xml"/>
  <Override ContentType="application/vnd.openxmlformats-officedocument.spreadsheetml.table+xml" PartName="/xl/tables/table267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364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352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395.xml"/>
  <Override ContentType="application/vnd.openxmlformats-officedocument.spreadsheetml.table+xml" PartName="/xl/tables/table20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336.xml"/>
  <Override ContentType="application/vnd.openxmlformats-officedocument.spreadsheetml.table+xml" PartName="/xl/tables/table16.xml"/>
  <Override ContentType="application/vnd.openxmlformats-officedocument.spreadsheetml.table+xml" PartName="/xl/tables/table379.xml"/>
  <Override ContentType="application/vnd.openxmlformats-officedocument.spreadsheetml.table+xml" PartName="/xl/tables/table239.xml"/>
  <Override ContentType="application/vnd.openxmlformats-officedocument.spreadsheetml.table+xml" PartName="/xl/tables/table291.xml"/>
  <Override ContentType="application/vnd.openxmlformats-officedocument.spreadsheetml.table+xml" PartName="/xl/tables/table279.xml"/>
  <Override ContentType="application/vnd.openxmlformats-officedocument.spreadsheetml.table+xml" PartName="/xl/tables/table236.xml"/>
  <Override ContentType="application/vnd.openxmlformats-officedocument.spreadsheetml.table+xml" PartName="/xl/tables/table138.xml"/>
  <Override ContentType="application/vnd.openxmlformats-officedocument.spreadsheetml.table+xml" PartName="/xl/tables/table324.xml"/>
  <Override ContentType="application/vnd.openxmlformats-officedocument.spreadsheetml.table+xml" PartName="/xl/tables/table63.xml"/>
  <Override ContentType="application/vnd.openxmlformats-officedocument.spreadsheetml.table+xml" PartName="/xl/tables/table309.xml"/>
  <Override ContentType="application/vnd.openxmlformats-officedocument.spreadsheetml.table+xml" PartName="/xl/tables/table79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44.xml"/>
  <Override ContentType="application/vnd.openxmlformats-officedocument.spreadsheetml.table+xml" PartName="/xl/tables/table317.xml"/>
  <Override ContentType="application/vnd.openxmlformats-officedocument.spreadsheetml.table+xml" PartName="/xl/tables/table170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264.xml"/>
  <Override ContentType="application/vnd.openxmlformats-officedocument.spreadsheetml.table+xml" PartName="/xl/tables/table251.xml"/>
  <Override ContentType="application/vnd.openxmlformats-officedocument.spreadsheetml.table+xml" PartName="/xl/tables/table294.xml"/>
  <Override ContentType="application/vnd.openxmlformats-officedocument.spreadsheetml.table+xml" PartName="/xl/tables/table345.xml"/>
  <Override ContentType="application/vnd.openxmlformats-officedocument.spreadsheetml.table+xml" PartName="/xl/tables/table302.xml"/>
  <Override ContentType="application/vnd.openxmlformats-officedocument.spreadsheetml.table+xml" PartName="/xl/tables/table72.xml"/>
  <Override ContentType="application/vnd.openxmlformats-officedocument.spreadsheetml.table+xml" PartName="/xl/tables/table392.xml"/>
  <Override ContentType="application/vnd.openxmlformats-officedocument.spreadsheetml.table+xml" PartName="/xl/tables/table221.xml"/>
  <Override ContentType="application/vnd.openxmlformats-officedocument.spreadsheetml.table+xml" PartName="/xl/tables/table388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58.xml"/>
  <Override ContentType="application/vnd.openxmlformats-officedocument.spreadsheetml.table+xml" PartName="/xl/tables/table15.xml"/>
  <Override ContentType="application/vnd.openxmlformats-officedocument.spreadsheetml.table+xml" PartName="/xl/tables/table266.xml"/>
  <Override ContentType="application/vnd.openxmlformats-officedocument.spreadsheetml.table+xml" PartName="/xl/tables/table337.xml"/>
  <Override ContentType="application/vnd.openxmlformats-officedocument.spreadsheetml.table+xml" PartName="/xl/tables/table292.xml"/>
  <Override ContentType="application/vnd.openxmlformats-officedocument.spreadsheetml.table+xml" PartName="/xl/tables/table258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215.xml"/>
  <Override ContentType="application/vnd.openxmlformats-officedocument.spreadsheetml.table+xml" PartName="/xl/tables/table238.xml"/>
  <Override ContentType="application/vnd.openxmlformats-officedocument.spreadsheetml.table+xml" PartName="/xl/tables/table365.xml"/>
  <Override ContentType="application/vnd.openxmlformats-officedocument.spreadsheetml.table+xml" PartName="/xl/tables/table272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322.xml"/>
  <Override ContentType="application/vnd.openxmlformats-officedocument.spreadsheetml.table+xml" PartName="/xl/tables/table159.xml"/>
  <Override ContentType="application/vnd.openxmlformats-officedocument.spreadsheetml.table+xml" PartName="/xl/tables/table243.xml"/>
  <Override ContentType="application/vnd.openxmlformats-officedocument.spreadsheetml.table+xml" PartName="/xl/tables/table286.xml"/>
  <Override ContentType="application/vnd.openxmlformats-officedocument.spreadsheetml.table+xml" PartName="/xl/tables/table116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371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244.xml"/>
  <Override ContentType="application/vnd.openxmlformats-officedocument.spreadsheetml.table+xml" PartName="/xl/tables/table287.xml"/>
  <Override ContentType="application/vnd.openxmlformats-officedocument.spreadsheetml.table+xml" PartName="/xl/tables/table316.xml"/>
  <Override ContentType="application/vnd.openxmlformats-officedocument.spreadsheetml.table+xml" PartName="/xl/tables/table350.xml"/>
  <Override ContentType="application/vnd.openxmlformats-officedocument.spreadsheetml.table+xml" PartName="/xl/tables/table393.xml"/>
  <Override ContentType="application/vnd.openxmlformats-officedocument.spreadsheetml.table+xml" PartName="/xl/tables/table359.xml"/>
  <Override ContentType="application/vnd.openxmlformats-officedocument.spreadsheetml.table+xml" PartName="/xl/tables/table201.xml"/>
  <Override ContentType="application/vnd.openxmlformats-officedocument.spreadsheetml.table+xml" PartName="/xl/tables/table237.xml"/>
  <Override ContentType="application/vnd.openxmlformats-officedocument.spreadsheetml.table+xml" PartName="/xl/tables/table165.xml"/>
  <Override ContentType="application/vnd.openxmlformats-officedocument.spreadsheetml.table+xml" PartName="/xl/tables/table71.xml"/>
  <Override ContentType="application/vnd.openxmlformats-officedocument.spreadsheetml.table+xml" PartName="/xl/tables/table271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250.xml"/>
  <Override ContentType="application/vnd.openxmlformats-officedocument.spreadsheetml.table+xml" PartName="/xl/tables/table344.xml"/>
  <Override ContentType="application/vnd.openxmlformats-officedocument.spreadsheetml.table+xml" PartName="/xl/tables/table301.xml"/>
  <Override ContentType="application/vnd.openxmlformats-officedocument.spreadsheetml.table+xml" PartName="/xl/tables/table259.xml"/>
  <Override ContentType="application/vnd.openxmlformats-officedocument.spreadsheetml.table+xml" PartName="/xl/tables/table216.xml"/>
  <Override ContentType="application/vnd.openxmlformats-officedocument.spreadsheetml.table+xml" PartName="/xl/tables/table387.xml"/>
  <Override ContentType="application/vnd.openxmlformats-officedocument.spreadsheetml.table+xml" PartName="/xl/tables/table171.xml"/>
  <Override ContentType="application/vnd.openxmlformats-officedocument.spreadsheetml.table+xml" PartName="/xl/tables/table3.xml"/>
  <Override ContentType="application/vnd.openxmlformats-officedocument.spreadsheetml.table+xml" PartName="/xl/tables/table222.xml"/>
  <Override ContentType="application/vnd.openxmlformats-officedocument.spreadsheetml.table+xml" PartName="/xl/tables/table265.xml"/>
  <Override ContentType="application/vnd.openxmlformats-officedocument.spreadsheetml.table+xml" PartName="/xl/tables/table137.xml"/>
  <Override ContentType="application/vnd.openxmlformats-officedocument.spreadsheetml.table+xml" PartName="/xl/tables/table303.xml"/>
  <Override ContentType="application/vnd.openxmlformats-officedocument.spreadsheetml.table+xml" PartName="/xl/tables/table206.xml"/>
  <Override ContentType="application/vnd.openxmlformats-officedocument.spreadsheetml.table+xml" PartName="/xl/tables/table117.xml"/>
  <Override ContentType="application/vnd.openxmlformats-officedocument.spreadsheetml.table+xml" PartName="/xl/tables/table125.xml"/>
  <Override ContentType="application/vnd.openxmlformats-officedocument.spreadsheetml.table+xml" PartName="/xl/tables/table311.xml"/>
  <Override ContentType="application/vnd.openxmlformats-officedocument.spreadsheetml.table+xml" PartName="/xl/tables/table214.xml"/>
  <Override ContentType="application/vnd.openxmlformats-officedocument.spreadsheetml.table+xml" PartName="/xl/tables/table389.xml"/>
  <Override ContentType="application/vnd.openxmlformats-officedocument.spreadsheetml.table+xml" PartName="/xl/tables/table400.xml"/>
  <Override ContentType="application/vnd.openxmlformats-officedocument.spreadsheetml.table+xml" PartName="/xl/tables/table50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109.xml"/>
  <Override ContentType="application/vnd.openxmlformats-officedocument.spreadsheetml.table+xml" PartName="/xl/tables/table293.xml"/>
  <Override ContentType="application/vnd.openxmlformats-officedocument.spreadsheetml.table+xml" PartName="/xl/tables/table18.xml"/>
  <Override ContentType="application/vnd.openxmlformats-officedocument.spreadsheetml.table+xml" PartName="/xl/tables/table382.xml"/>
  <Override ContentType="application/vnd.openxmlformats-officedocument.spreadsheetml.table+xml" PartName="/xl/tables/table81.xml"/>
  <Override ContentType="application/vnd.openxmlformats-officedocument.spreadsheetml.table+xml" PartName="/xl/tables/table285.xml"/>
  <Override ContentType="application/vnd.openxmlformats-officedocument.spreadsheetml.table+xml" PartName="/xl/tables/table390.xml"/>
  <Override ContentType="application/vnd.openxmlformats-officedocument.spreadsheetml.table+xml" PartName="/xl/tables/table102.xml"/>
  <Override ContentType="application/vnd.openxmlformats-officedocument.spreadsheetml.table+xml" PartName="/xl/tables/table318.xml"/>
  <Override ContentType="application/vnd.openxmlformats-officedocument.spreadsheetml.table+xml" PartName="/xl/tables/table188.xml"/>
  <Override ContentType="application/vnd.openxmlformats-officedocument.spreadsheetml.table+xml" PartName="/xl/tables/table65.xml"/>
  <Override ContentType="application/vnd.openxmlformats-officedocument.spreadsheetml.table+xml" PartName="/xl/tables/table34.xml"/>
  <Override ContentType="application/vnd.openxmlformats-officedocument.spreadsheetml.table+xml" PartName="/xl/tables/table397.xml"/>
  <Override ContentType="application/vnd.openxmlformats-officedocument.spreadsheetml.table+xml" PartName="/xl/tables/table366.xml"/>
  <Override ContentType="application/vnd.openxmlformats-officedocument.spreadsheetml.table+xml" PartName="/xl/tables/table133.xml"/>
  <Override ContentType="application/vnd.openxmlformats-officedocument.spreadsheetml.table+xml" PartName="/xl/tables/table230.xml"/>
  <Override ContentType="application/vnd.openxmlformats-officedocument.spreadsheetml.table+xml" PartName="/xl/tables/table269.xml"/>
  <Override ContentType="application/vnd.openxmlformats-officedocument.spreadsheetml.table+xml" PartName="/xl/tables/table172.xml"/>
  <Override ContentType="application/vnd.openxmlformats-officedocument.spreadsheetml.table+xml" PartName="/xl/tables/table180.xml"/>
  <Override ContentType="application/vnd.openxmlformats-officedocument.spreadsheetml.table+xml" PartName="/xl/tables/table253.xml"/>
  <Override ContentType="application/vnd.openxmlformats-officedocument.spreadsheetml.table+xml" PartName="/xl/tables/table89.xml"/>
  <Override ContentType="application/vnd.openxmlformats-officedocument.spreadsheetml.table+xml" PartName="/xl/tables/table270.xml"/>
  <Override ContentType="application/vnd.openxmlformats-officedocument.spreadsheetml.table+xml" PartName="/xl/tables/table164.xml"/>
  <Override ContentType="application/vnd.openxmlformats-officedocument.spreadsheetml.table+xml" PartName="/xl/tables/table262.xml"/>
  <Override ContentType="application/vnd.openxmlformats-officedocument.spreadsheetml.table+xml" PartName="/xl/tables/table326.xml"/>
  <Override ContentType="application/vnd.openxmlformats-officedocument.spreadsheetml.table+xml" PartName="/xl/tables/table35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343.xml"/>
  <Override ContentType="application/vnd.openxmlformats-officedocument.spreadsheetml.table+xml" PartName="/xl/tables/table245.xml"/>
  <Override ContentType="application/vnd.openxmlformats-officedocument.spreadsheetml.table+xml" PartName="/xl/tables/table9.xml"/>
  <Override ContentType="application/vnd.openxmlformats-officedocument.spreadsheetml.table+xml" PartName="/xl/tables/table334.xml"/>
  <Override ContentType="application/vnd.openxmlformats-officedocument.spreadsheetml.table+xml" PartName="/xl/tables/table196.xml"/>
  <Override ContentType="application/vnd.openxmlformats-officedocument.spreadsheetml.table+xml" PartName="/xl/tables/table2.xml"/>
  <Override ContentType="application/vnd.openxmlformats-officedocument.spreadsheetml.table+xml" PartName="/xl/tables/table277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358.xml"/>
  <Override ContentType="application/vnd.openxmlformats-officedocument.spreadsheetml.table+xml" PartName="/xl/tables/table42.xml"/>
  <Override ContentType="application/vnd.openxmlformats-officedocument.spreadsheetml.table+xml" PartName="/xl/tables/table25.xml"/>
  <Override ContentType="application/vnd.openxmlformats-officedocument.spreadsheetml.table+xml" PartName="/xl/tables/table231.xml"/>
  <Override ContentType="application/vnd.openxmlformats-officedocument.spreadsheetml.table+xml" PartName="/xl/tables/table142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34.xml"/>
  <Override ContentType="application/vnd.openxmlformats-officedocument.spreadsheetml.table+xml" PartName="/xl/tables/table320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304.xml"/>
  <Override ContentType="application/vnd.openxmlformats-officedocument.spreadsheetml.table+xml" PartName="/xl/tables/table118.xml"/>
  <Override ContentType="application/vnd.openxmlformats-officedocument.spreadsheetml.table+xml" PartName="/xl/tables/table381.xml"/>
  <Override ContentType="application/vnd.openxmlformats-officedocument.spreadsheetml.table+xml" PartName="/xl/tables/table195.xml"/>
  <Override ContentType="application/vnd.openxmlformats-officedocument.spreadsheetml.table+xml" PartName="/xl/tables/table284.xml"/>
  <Override ContentType="application/vnd.openxmlformats-officedocument.spreadsheetml.table+xml" PartName="/xl/tables/table66.xml"/>
  <Override ContentType="application/vnd.openxmlformats-officedocument.spreadsheetml.table+xml" PartName="/xl/tables/table373.xml"/>
  <Override ContentType="application/vnd.openxmlformats-officedocument.spreadsheetml.table+xml" PartName="/xl/tables/table319.xml"/>
  <Override ContentType="application/vnd.openxmlformats-officedocument.spreadsheetml.table+xml" PartName="/xl/tables/table396.xml"/>
  <Override ContentType="application/vnd.openxmlformats-officedocument.spreadsheetml.table+xml" PartName="/xl/tables/table35.xml"/>
  <Override ContentType="application/vnd.openxmlformats-officedocument.spreadsheetml.table+xml" PartName="/xl/tables/table268.xml"/>
  <Override ContentType="application/vnd.openxmlformats-officedocument.spreadsheetml.table+xml" PartName="/xl/tables/table335.xml"/>
  <Override ContentType="application/vnd.openxmlformats-officedocument.spreadsheetml.table+xml" PartName="/xl/tables/table213.xml"/>
  <Override ContentType="application/vnd.openxmlformats-officedocument.spreadsheetml.table+xml" PartName="/xl/tables/table310.xml"/>
  <Override ContentType="application/vnd.openxmlformats-officedocument.spreadsheetml.table+xml" PartName="/xl/tables/table103.xml"/>
  <Override ContentType="application/vnd.openxmlformats-officedocument.spreadsheetml.table+xml" PartName="/xl/tables/table299.xml"/>
  <Override ContentType="application/vnd.openxmlformats-officedocument.spreadsheetml.table+xml" PartName="/xl/tables/table17.xml"/>
  <Override ContentType="application/vnd.openxmlformats-officedocument.spreadsheetml.table+xml" PartName="/xl/tables/table367.xml"/>
  <Override ContentType="application/vnd.openxmlformats-officedocument.spreadsheetml.table+xml" PartName="/xl/tables/table51.xml"/>
  <Override ContentType="application/vnd.openxmlformats-officedocument.spreadsheetml.table+xml" PartName="/xl/tables/table189.xml"/>
  <Override ContentType="application/vnd.openxmlformats-officedocument.spreadsheetml.table+xml" PartName="/xl/tables/table325.xml"/>
  <Override ContentType="application/vnd.openxmlformats-officedocument.spreadsheetml.table+xml" PartName="/xl/tables/table342.xml"/>
  <Override ContentType="application/vnd.openxmlformats-officedocument.spreadsheetml.table+xml" PartName="/xl/tables/table173.xml"/>
  <Override ContentType="application/vnd.openxmlformats-officedocument.spreadsheetml.table+xml" PartName="/xl/tables/table156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357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263.xml"/>
  <Override ContentType="application/vnd.openxmlformats-officedocument.spreadsheetml.table+xml" PartName="/xl/tables/table1.xml"/>
  <Override ContentType="application/vnd.openxmlformats-officedocument.spreadsheetml.table+xml" PartName="/xl/tables/table246.xml"/>
  <Override ContentType="application/vnd.openxmlformats-officedocument.spreadsheetml.table+xml" PartName="/xl/tables/table391.xml"/>
  <Override ContentType="application/vnd.openxmlformats-officedocument.spreadsheetml.table+xml" PartName="/xl/tables/table229.xml"/>
  <Override ContentType="application/vnd.openxmlformats-officedocument.spreadsheetml.table+xml" PartName="/xl/tables/table374.xml"/>
  <Override ContentType="application/vnd.openxmlformats-officedocument.spreadsheetml.table+xml" PartName="/xl/tables/table190.xml"/>
  <Override ContentType="application/vnd.openxmlformats-officedocument.spreadsheetml.table+xml" PartName="/xl/tables/table278.xml"/>
  <Override ContentType="application/vnd.openxmlformats-officedocument.spreadsheetml.table+xml" PartName="/xl/tables/table141.xml"/>
  <Override ContentType="application/vnd.openxmlformats-officedocument.spreadsheetml.table+xml" PartName="/xl/tables/table252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32.xml"/>
  <Override ContentType="application/vnd.openxmlformats-officedocument.spreadsheetml.table+xml" PartName="/xl/tables/table283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232.xml"/>
  <Override ContentType="application/vnd.openxmlformats-officedocument.spreadsheetml.table+xml" PartName="/xl/tables/table399.xml"/>
  <Override ContentType="application/vnd.openxmlformats-officedocument.spreadsheetml.table+xml" PartName="/xl/tables/table127.xml"/>
  <Override ContentType="application/vnd.openxmlformats-officedocument.spreadsheetml.table+xml" PartName="/xl/tables/table275.xml"/>
  <Override ContentType="application/vnd.openxmlformats-officedocument.spreadsheetml.table+xml" PartName="/xl/tables/table313.xml"/>
  <Override ContentType="application/vnd.openxmlformats-officedocument.spreadsheetml.table+xml" PartName="/xl/tables/table356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212.xml"/>
  <Override ContentType="application/vnd.openxmlformats-officedocument.spreadsheetml.table+xml" PartName="/xl/tables/table298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305.xml"/>
  <Override ContentType="application/vnd.openxmlformats-officedocument.spreadsheetml.table+xml" PartName="/xl/tables/table255.xml"/>
  <Override ContentType="application/vnd.openxmlformats-officedocument.spreadsheetml.table+xml" PartName="/xl/tables/table348.xml"/>
  <Override ContentType="application/vnd.openxmlformats-officedocument.spreadsheetml.table+xml" PartName="/xl/tables/table47.xml"/>
  <Override ContentType="application/vnd.openxmlformats-officedocument.spreadsheetml.table+xml" PartName="/xl/tables/table260.xml"/>
  <Override ContentType="application/vnd.openxmlformats-officedocument.spreadsheetml.table+xml" PartName="/xl/tables/table384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112.xml"/>
  <Override ContentType="application/vnd.openxmlformats-officedocument.spreadsheetml.table+xml" PartName="/xl/tables/table341.xml"/>
  <Override ContentType="application/vnd.openxmlformats-officedocument.spreadsheetml.table+xml" PartName="/xl/tables/table155.xml"/>
  <Override ContentType="application/vnd.openxmlformats-officedocument.spreadsheetml.table+xml" PartName="/xl/tables/table80.xml"/>
  <Override ContentType="application/vnd.openxmlformats-officedocument.spreadsheetml.table+xml" PartName="/xl/tables/table19.xml"/>
  <Override ContentType="application/vnd.openxmlformats-officedocument.spreadsheetml.table+xml" PartName="/xl/tables/table27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228.xml"/>
  <Override ContentType="application/vnd.openxmlformats-officedocument.spreadsheetml.table+xml" PartName="/xl/tables/table360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247.xml"/>
  <Override ContentType="application/vnd.openxmlformats-officedocument.spreadsheetml.table+xml" PartName="/xl/tables/table119.xml"/>
  <Override ContentType="application/vnd.openxmlformats-officedocument.spreadsheetml.table+xml" PartName="/xl/tables/table55.xml"/>
  <Override ContentType="application/vnd.openxmlformats-officedocument.spreadsheetml.table+xml" PartName="/xl/tables/table328.xml"/>
  <Override ContentType="application/vnd.openxmlformats-officedocument.spreadsheetml.table+xml" PartName="/xl/tables/table98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332.xml"/>
  <Override ContentType="application/vnd.openxmlformats-officedocument.spreadsheetml.table+xml" PartName="/xl/tables/table12.xml"/>
  <Override ContentType="application/vnd.openxmlformats-officedocument.spreadsheetml.table+xml" PartName="/xl/tables/table375.xml"/>
  <Override ContentType="application/vnd.openxmlformats-officedocument.spreadsheetml.table+xml" PartName="/xl/tables/table169.xml"/>
  <Override ContentType="application/vnd.openxmlformats-officedocument.spreadsheetml.table+xml" PartName="/xl/tables/table355.xml"/>
  <Override ContentType="application/vnd.openxmlformats-officedocument.spreadsheetml.table+xml" PartName="/xl/tables/table76.xml"/>
  <Override ContentType="application/vnd.openxmlformats-officedocument.spreadsheetml.table+xml" PartName="/xl/tables/table398.xml"/>
  <Override ContentType="application/vnd.openxmlformats-officedocument.spreadsheetml.table+xml" PartName="/xl/tables/table160.xml"/>
  <Override ContentType="application/vnd.openxmlformats-officedocument.spreadsheetml.table+xml" PartName="/xl/tables/table312.xml"/>
  <Override ContentType="application/vnd.openxmlformats-officedocument.spreadsheetml.table+xml" PartName="/xl/tables/table126.xml"/>
  <Override ContentType="application/vnd.openxmlformats-officedocument.spreadsheetml.table+xml" PartName="/xl/tables/table48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383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81.xml"/>
  <Override ContentType="application/vnd.openxmlformats-officedocument.spreadsheetml.table+xml" PartName="/xl/tables/table340.xml"/>
  <Override ContentType="application/vnd.openxmlformats-officedocument.spreadsheetml.table+xml" PartName="/xl/tables/table7.xml"/>
  <Override ContentType="application/vnd.openxmlformats-officedocument.spreadsheetml.table+xml" PartName="/xl/tables/table306.xml"/>
  <Override ContentType="application/vnd.openxmlformats-officedocument.spreadsheetml.table+xml" PartName="/xl/tables/table349.xml"/>
  <Override ContentType="application/vnd.openxmlformats-officedocument.spreadsheetml.table+xml" PartName="/xl/tables/table333.xml"/>
  <Override ContentType="application/vnd.openxmlformats-officedocument.spreadsheetml.table+xml" PartName="/xl/tables/table376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261.xml"/>
  <Override ContentType="application/vnd.openxmlformats-officedocument.spreadsheetml.table+xml" PartName="/xl/tables/table22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297.xml"/>
  <Override ContentType="application/vnd.openxmlformats-officedocument.spreadsheetml.table+xml" PartName="/xl/tables/table182.xml"/>
  <Override ContentType="application/vnd.openxmlformats-officedocument.spreadsheetml.table+xml" PartName="/xl/tables/table211.xml"/>
  <Override ContentType="application/vnd.openxmlformats-officedocument.spreadsheetml.table+xml" PartName="/xl/tables/table254.xml"/>
  <Override ContentType="application/vnd.openxmlformats-officedocument.spreadsheetml.table+xml" PartName="/xl/tables/table148.xml"/>
  <Override ContentType="application/vnd.openxmlformats-officedocument.spreadsheetml.table+xml" PartName="/xl/tables/table327.xml"/>
  <Override ContentType="application/vnd.openxmlformats-officedocument.spreadsheetml.table+xml" PartName="/xl/tables/table233.xml"/>
  <Override ContentType="application/vnd.openxmlformats-officedocument.spreadsheetml.table+xml" PartName="/xl/tables/table276.xml"/>
  <Override ContentType="application/vnd.openxmlformats-officedocument.spreadsheetml.table+xml" PartName="/xl/tables/table361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111.xml"/>
  <Override ContentType="application/vnd.openxmlformats-officedocument.spreadsheetml.table+xml" PartName="/xl/tables/table205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48.xml"/>
  <Override ContentType="application/vnd.openxmlformats-officedocument.spreadsheetml.table+xml" PartName="/xl/tables/table60.xml"/>
  <Override ContentType="application/vnd.openxmlformats-officedocument.spreadsheetml.table+xml" PartName="/xl/tables/table28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<sst xmlns="http://schemas.openxmlformats.org/spreadsheetml/2006/main" count="8003" uniqueCount="1334">
  <si>
    <t>فاکتور فروش پارچه اوت لت</t>
  </si>
  <si>
    <t>کد سبد 00901</t>
  </si>
  <si>
    <t>ردیف</t>
  </si>
  <si>
    <t>نام طرح‌ها</t>
  </si>
  <si>
    <t>کد اوت لت</t>
  </si>
  <si>
    <t>جنس پارچه</t>
  </si>
  <si>
    <t>متراژ (متر)</t>
  </si>
  <si>
    <t>قیمت واحد (تومان)</t>
  </si>
  <si>
    <t>جمع  (تومان)</t>
  </si>
  <si>
    <t>رز بزرگ مشکی 6731</t>
  </si>
  <si>
    <t>06325/</t>
  </si>
  <si>
    <t xml:space="preserve">بوگاتی </t>
  </si>
  <si>
    <t>باغ هزار گل 6811</t>
  </si>
  <si>
    <t xml:space="preserve">ژاکارد </t>
  </si>
  <si>
    <t>هزینه ارسال رایگان</t>
  </si>
  <si>
    <t>جمع کل بدون تخفیف (تومان):</t>
  </si>
  <si>
    <t>سود شما از این فاکتور (تومان):</t>
  </si>
  <si>
    <t>جمع کل با تخفیف (تومان):</t>
  </si>
  <si>
    <t>از کل مبلغ فروش این فاکتور یک درصد صرف امور خیریه می‌شود.</t>
  </si>
  <si>
    <t>کد سبد 00902</t>
  </si>
  <si>
    <t>گیلای پاپیونی  6724</t>
  </si>
  <si>
    <t>02347/</t>
  </si>
  <si>
    <t>پاپیون دانتلی 6809</t>
  </si>
  <si>
    <t>05369/</t>
  </si>
  <si>
    <t>کد سبد 00903</t>
  </si>
  <si>
    <t>کاشی گل ابی 6825</t>
  </si>
  <si>
    <t>05034/</t>
  </si>
  <si>
    <t>گل و بلبل ابی 6012</t>
  </si>
  <si>
    <t>02398/</t>
  </si>
  <si>
    <t>کد سبد 00904</t>
  </si>
  <si>
    <t>پروانه 4047</t>
  </si>
  <si>
    <t>05033/</t>
  </si>
  <si>
    <t>05024/</t>
  </si>
  <si>
    <t>کد سبد 00905</t>
  </si>
  <si>
    <t>بابونه ریز سورمه ای 6740</t>
  </si>
  <si>
    <t>05545/</t>
  </si>
  <si>
    <t>کاشی پرنده 6686</t>
  </si>
  <si>
    <t>05547/</t>
  </si>
  <si>
    <t>کد سبد 00906</t>
  </si>
  <si>
    <t>گیلاسی پاپیونی 6724</t>
  </si>
  <si>
    <t>05470/</t>
  </si>
  <si>
    <t>پاپیون زمینه مشکی 6713</t>
  </si>
  <si>
    <t>05056/</t>
  </si>
  <si>
    <t>کد سبد 00907</t>
  </si>
  <si>
    <t>پروانه لونا 6858</t>
  </si>
  <si>
    <t>05534/</t>
  </si>
  <si>
    <t>05603*/</t>
  </si>
  <si>
    <t>کد سبد 00908</t>
  </si>
  <si>
    <t>قلبی ریز 6857</t>
  </si>
  <si>
    <t>05005/</t>
  </si>
  <si>
    <t>شکوفه و پرنده و یلدایی قرمز 6765</t>
  </si>
  <si>
    <t>0616/</t>
  </si>
  <si>
    <t>کد سبد 00909</t>
  </si>
  <si>
    <t>پروانه الماسی 6690</t>
  </si>
  <si>
    <t>05041/</t>
  </si>
  <si>
    <t>کرم تک رنگ 6837</t>
  </si>
  <si>
    <t>05528/</t>
  </si>
  <si>
    <t>کد سبد 00910</t>
  </si>
  <si>
    <t>پاپیون لند 6855</t>
  </si>
  <si>
    <t>05003/</t>
  </si>
  <si>
    <t>بلبل کرمی 6845</t>
  </si>
  <si>
    <t>05604/</t>
  </si>
  <si>
    <t>کد سبد 00911</t>
  </si>
  <si>
    <t>گیلاسی مشکی 6715</t>
  </si>
  <si>
    <t>06114/</t>
  </si>
  <si>
    <t>پاپیون خال خالی 6761</t>
  </si>
  <si>
    <t>05610/</t>
  </si>
  <si>
    <t>کد سبد 00912</t>
  </si>
  <si>
    <t>05004/</t>
  </si>
  <si>
    <t>06084/</t>
  </si>
  <si>
    <t xml:space="preserve"> </t>
  </si>
  <si>
    <t>کد سبد 00913</t>
  </si>
  <si>
    <t>گل و پرنده 6329</t>
  </si>
  <si>
    <t>05565/</t>
  </si>
  <si>
    <t>بابونه ابی ریز 6727</t>
  </si>
  <si>
    <t>05554/</t>
  </si>
  <si>
    <t>کد سبد 00914</t>
  </si>
  <si>
    <t>گل سبز پینترستی 6780</t>
  </si>
  <si>
    <t>05560/</t>
  </si>
  <si>
    <t>ماربل رنگی 6682</t>
  </si>
  <si>
    <t>02356/</t>
  </si>
  <si>
    <t>کد سبد 00915</t>
  </si>
  <si>
    <t>02589/</t>
  </si>
  <si>
    <t>05055/</t>
  </si>
  <si>
    <t>کد سبد 00916</t>
  </si>
  <si>
    <t>05031/</t>
  </si>
  <si>
    <t>05455/</t>
  </si>
  <si>
    <t>کد سبد 00917</t>
  </si>
  <si>
    <t>پروانه و مرغ بهاری 6674</t>
  </si>
  <si>
    <t>05570/</t>
  </si>
  <si>
    <t>01458/</t>
  </si>
  <si>
    <t>کد سبد 00918</t>
  </si>
  <si>
    <t>ببری مشکی 6518</t>
  </si>
  <si>
    <t>05044/</t>
  </si>
  <si>
    <t>گل پینترستی سبز 6780</t>
  </si>
  <si>
    <t>02145/</t>
  </si>
  <si>
    <t>کد سبد 00919</t>
  </si>
  <si>
    <t>گل وینتیج 6806</t>
  </si>
  <si>
    <t>پروانه مورفو 6743</t>
  </si>
  <si>
    <t>02154/</t>
  </si>
  <si>
    <t>کد سبد 00920</t>
  </si>
  <si>
    <t>بابونه ریز زرشکی 6758</t>
  </si>
  <si>
    <t>05018/</t>
  </si>
  <si>
    <t>شکوفه و پرنده یلدایی قرمز 6765</t>
  </si>
  <si>
    <t>05623/</t>
  </si>
  <si>
    <t>کد سبد 00921</t>
  </si>
  <si>
    <t>انار مرواریدی 6777</t>
  </si>
  <si>
    <t>05615/</t>
  </si>
  <si>
    <t>03224/</t>
  </si>
  <si>
    <t>کد سبد 00922</t>
  </si>
  <si>
    <t>قلب تو خالی 6725</t>
  </si>
  <si>
    <t>05540/</t>
  </si>
  <si>
    <t>05605/</t>
  </si>
  <si>
    <t>کد سبد 00923</t>
  </si>
  <si>
    <t>02365/</t>
  </si>
  <si>
    <t>03698/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</si>
  <si>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</si>
  <si>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کد سبد 00924</t>
  </si>
  <si>
    <t>پاپیون شکلاتی 6833</t>
  </si>
  <si>
    <t>05471/</t>
  </si>
  <si>
    <t>05456/</t>
  </si>
  <si>
    <t>کد سبد 00925</t>
  </si>
  <si>
    <t>گل و پرنده زمردی 6843</t>
  </si>
  <si>
    <t>05548/</t>
  </si>
  <si>
    <t>06385/</t>
  </si>
  <si>
    <t>کد سبد 00926</t>
  </si>
  <si>
    <t>طاووس آبی 6842</t>
  </si>
  <si>
    <t>05035/</t>
  </si>
  <si>
    <t>شکوفه و گنجشک سبز 6839</t>
  </si>
  <si>
    <t>05696/</t>
  </si>
  <si>
    <t>کد سبد 00927</t>
  </si>
  <si>
    <t>پروانه اطلسی 6536</t>
  </si>
  <si>
    <t>05536/</t>
  </si>
  <si>
    <t>باغ گل صورتی 6724</t>
  </si>
  <si>
    <t>0629/</t>
  </si>
  <si>
    <t>کد سبد 00928</t>
  </si>
  <si>
    <t>05525/</t>
  </si>
  <si>
    <t>گل 5038</t>
  </si>
  <si>
    <t>05048/</t>
  </si>
  <si>
    <t>کد سبد 00929</t>
  </si>
  <si>
    <t>5037/</t>
  </si>
  <si>
    <t>02378/</t>
  </si>
  <si>
    <t>کد سبد 00930</t>
  </si>
  <si>
    <t>05527/</t>
  </si>
  <si>
    <t>گل ابی 5009</t>
  </si>
  <si>
    <t>05006/</t>
  </si>
  <si>
    <t>کد سبد 00931</t>
  </si>
  <si>
    <t>06110/</t>
  </si>
  <si>
    <t>پاپیون ترندی 6744</t>
  </si>
  <si>
    <t>02568/</t>
  </si>
  <si>
    <t>کد سبد 00932</t>
  </si>
  <si>
    <t>پاپیون رزی 6759</t>
  </si>
  <si>
    <t>05030/</t>
  </si>
  <si>
    <t>05628/</t>
  </si>
  <si>
    <t>کد سبد 00933</t>
  </si>
  <si>
    <t>گل و پرنده قرمز یلدایی 6762</t>
  </si>
  <si>
    <t>06094/</t>
  </si>
  <si>
    <t>تک رنگ صورتی پودری 6865</t>
  </si>
  <si>
    <t>03695/</t>
  </si>
  <si>
    <t>کد سبد 00934</t>
  </si>
  <si>
    <t>05529/</t>
  </si>
  <si>
    <t>04587/</t>
  </si>
  <si>
    <t>کد سبد 00935</t>
  </si>
  <si>
    <t>05629/</t>
  </si>
  <si>
    <t>02547/</t>
  </si>
  <si>
    <t>کد سبد 00936</t>
  </si>
  <si>
    <t>03265/</t>
  </si>
  <si>
    <t>05453/</t>
  </si>
  <si>
    <t>کد سبد 00937</t>
  </si>
  <si>
    <t>رز پینترستی 6730</t>
  </si>
  <si>
    <t>05021/</t>
  </si>
  <si>
    <t>گل ریز شاخه ای 6789</t>
  </si>
  <si>
    <t>02345/</t>
  </si>
  <si>
    <t>کد سبد 00938</t>
  </si>
  <si>
    <t>05572/</t>
  </si>
  <si>
    <t>پرنده سبز یلدایی 6766</t>
  </si>
  <si>
    <t>05060/</t>
  </si>
  <si>
    <t>کد سبد 00939</t>
  </si>
  <si>
    <t>اسپایدر من 6831</t>
  </si>
  <si>
    <t>05457/</t>
  </si>
  <si>
    <t>05438/</t>
  </si>
  <si>
    <t>.</t>
  </si>
  <si>
    <t>کد سبد 00940</t>
  </si>
  <si>
    <t>باندانا مشکی 5065</t>
  </si>
  <si>
    <t>05047/</t>
  </si>
  <si>
    <t>باندانا ابی 6380</t>
  </si>
  <si>
    <t>04178/</t>
  </si>
  <si>
    <t>کد سبد 00941</t>
  </si>
  <si>
    <t>پروانه و گل مینیاتوری 6786</t>
  </si>
  <si>
    <t>06131/</t>
  </si>
  <si>
    <t>گل و مرغ بهاری 6381</t>
  </si>
  <si>
    <t>03400/</t>
  </si>
  <si>
    <t>کد سبد 00942</t>
  </si>
  <si>
    <t>فیس کیتی زمینه صورتی 6522</t>
  </si>
  <si>
    <t>05521/</t>
  </si>
  <si>
    <t>09528/</t>
  </si>
  <si>
    <t>کد سبد 00943</t>
  </si>
  <si>
    <t>گل 5039</t>
  </si>
  <si>
    <t>05538/</t>
  </si>
  <si>
    <t>06099/</t>
  </si>
  <si>
    <t>کد سبد 00944</t>
  </si>
  <si>
    <t>05042/</t>
  </si>
  <si>
    <t>بلبل بهاری 6807</t>
  </si>
  <si>
    <t>05468/</t>
  </si>
  <si>
    <t>کد سبد 00945</t>
  </si>
  <si>
    <t>02198/</t>
  </si>
  <si>
    <t>گل سرخ ریز 6745</t>
  </si>
  <si>
    <t>06589/</t>
  </si>
  <si>
    <t>کد سبد 00946</t>
  </si>
  <si>
    <t>05050/</t>
  </si>
  <si>
    <t>03269/</t>
  </si>
  <si>
    <t>کد سبد 00947</t>
  </si>
  <si>
    <t>چهل تیکه سرخ 6817</t>
  </si>
  <si>
    <t>05544/</t>
  </si>
  <si>
    <t>کتیبه ای 3065</t>
  </si>
  <si>
    <t>05043/</t>
  </si>
  <si>
    <t>کد سبد 00948</t>
  </si>
  <si>
    <t>05036/</t>
  </si>
  <si>
    <t>باغ هزار گل سورمه ای 6836</t>
  </si>
  <si>
    <t>06120/</t>
  </si>
  <si>
    <t>کد سبد 00949</t>
  </si>
  <si>
    <t>05543/</t>
  </si>
  <si>
    <t>06100/</t>
  </si>
  <si>
    <t>کد سبد 00950</t>
  </si>
  <si>
    <t>05553/</t>
  </si>
  <si>
    <t>05430/</t>
  </si>
  <si>
    <t>کد سبد 00951</t>
  </si>
  <si>
    <t>تدی پاپیونی 6751</t>
  </si>
  <si>
    <t>05015/</t>
  </si>
  <si>
    <t>05054/</t>
  </si>
  <si>
    <t>کد سبد 00952</t>
  </si>
  <si>
    <t>05019/</t>
  </si>
  <si>
    <t>08527/</t>
  </si>
  <si>
    <t>کد سبد 00953</t>
  </si>
  <si>
    <t>پاپیون مشکی خالدار 6692</t>
  </si>
  <si>
    <t>05062/</t>
  </si>
  <si>
    <t>05523/</t>
  </si>
  <si>
    <t>کد سبد 00954</t>
  </si>
  <si>
    <t>گل سبز ریز 6785</t>
  </si>
  <si>
    <t>05432/</t>
  </si>
  <si>
    <t>گل و بته 6810</t>
  </si>
  <si>
    <t>05616/</t>
  </si>
  <si>
    <t>کد سبد 00955</t>
  </si>
  <si>
    <t>بابونه بهشتی شکلاتی 6813</t>
  </si>
  <si>
    <t>05027/</t>
  </si>
  <si>
    <t>0196/</t>
  </si>
  <si>
    <t>کد سبد 00956</t>
  </si>
  <si>
    <t>گل رز صورتی 6774</t>
  </si>
  <si>
    <t>05001/</t>
  </si>
  <si>
    <t>بابونه زمینه مشکی 6719</t>
  </si>
  <si>
    <t>01245/</t>
  </si>
  <si>
    <t>کد سبد 00957</t>
  </si>
  <si>
    <t>05046/</t>
  </si>
  <si>
    <t>کد سبد 00958</t>
  </si>
  <si>
    <t>باغ گل صورتی 6742</t>
  </si>
  <si>
    <t>05689/</t>
  </si>
  <si>
    <t>05057/</t>
  </si>
  <si>
    <t>کد سبد 00959</t>
  </si>
  <si>
    <t>پرستو 3066</t>
  </si>
  <si>
    <t>05013/</t>
  </si>
  <si>
    <t>چهل تیکه ارمغان 6332</t>
  </si>
  <si>
    <t>05546/</t>
  </si>
  <si>
    <t>کد سبد 00960</t>
  </si>
  <si>
    <t>گل و بلبل 6699</t>
  </si>
  <si>
    <t>05002/</t>
  </si>
  <si>
    <t>گل سنتی سبز 6779</t>
  </si>
  <si>
    <t>05618/</t>
  </si>
  <si>
    <t>کد سبد 00961</t>
  </si>
  <si>
    <t>05039/</t>
  </si>
  <si>
    <t>تک رنگ سبز ماچا 6867</t>
  </si>
  <si>
    <t>کد سبد 00962</t>
  </si>
  <si>
    <t>05023/</t>
  </si>
  <si>
    <t>05022/</t>
  </si>
  <si>
    <t>کد سبد 00963</t>
  </si>
  <si>
    <t>05533/</t>
  </si>
  <si>
    <t>05556/</t>
  </si>
  <si>
    <t>کد سبد 00964</t>
  </si>
  <si>
    <t>قلب سرخ ابی زمینه مشکی 6315</t>
  </si>
  <si>
    <t>05552/</t>
  </si>
  <si>
    <t>پاپیون گیپور مشکی 6870</t>
  </si>
  <si>
    <t>055557/</t>
  </si>
  <si>
    <t>کد سبد 00965</t>
  </si>
  <si>
    <t>قلب 4041</t>
  </si>
  <si>
    <t>02204/</t>
  </si>
  <si>
    <t>05488/</t>
  </si>
  <si>
    <t>کد سبد 00966</t>
  </si>
  <si>
    <t>05436/</t>
  </si>
  <si>
    <t>0896/</t>
  </si>
  <si>
    <t>کد سبد 00967</t>
  </si>
  <si>
    <t>رزگون ابی 6851</t>
  </si>
  <si>
    <t>05494/</t>
  </si>
  <si>
    <t>0884/</t>
  </si>
  <si>
    <t>کد سبد 00968</t>
  </si>
  <si>
    <t>05503/</t>
  </si>
  <si>
    <t>گل ترنم 6029</t>
  </si>
  <si>
    <t>0217/</t>
  </si>
  <si>
    <t>کد سبد 00969</t>
  </si>
  <si>
    <t>05444/</t>
  </si>
  <si>
    <t>پاپیون و گل 6705</t>
  </si>
  <si>
    <t>04036/</t>
  </si>
  <si>
    <t>کد سبد 00970</t>
  </si>
  <si>
    <t>پروانه بهاری 6701</t>
  </si>
  <si>
    <t>04064/</t>
  </si>
  <si>
    <t>0885/</t>
  </si>
  <si>
    <t>کد سبد 00971</t>
  </si>
  <si>
    <t>05449/</t>
  </si>
  <si>
    <t>02193/</t>
  </si>
  <si>
    <t>کد سبد 00972</t>
  </si>
  <si>
    <t>پاپیون خالدار ریز 6856</t>
  </si>
  <si>
    <t>02183/</t>
  </si>
  <si>
    <t>پروانه مونلا 6863</t>
  </si>
  <si>
    <t>04052/</t>
  </si>
  <si>
    <t>کد سبد 00973</t>
  </si>
  <si>
    <t>02188/</t>
  </si>
  <si>
    <t>0159/</t>
  </si>
  <si>
    <t>کد سبد 00974</t>
  </si>
  <si>
    <t>گل رنگین 6816</t>
  </si>
  <si>
    <t>01301/</t>
  </si>
  <si>
    <t>کد سبد 00975</t>
  </si>
  <si>
    <t>04037/</t>
  </si>
  <si>
    <t>دختر توت فرنگی 2037</t>
  </si>
  <si>
    <t>05507/</t>
  </si>
  <si>
    <t>کد سبد 00976</t>
  </si>
  <si>
    <t>کهکشان (گلگسی) 6050</t>
  </si>
  <si>
    <t>05441/</t>
  </si>
  <si>
    <t>05502/</t>
  </si>
  <si>
    <t>کد سبد 00977</t>
  </si>
  <si>
    <t>جنگل دیور 6545</t>
  </si>
  <si>
    <t>05435/</t>
  </si>
  <si>
    <t>05643/</t>
  </si>
  <si>
    <t>کد سبد 00978</t>
  </si>
  <si>
    <t>شکوفه کارمل 6835</t>
  </si>
  <si>
    <t>05431/</t>
  </si>
  <si>
    <t>05484/</t>
  </si>
  <si>
    <t>کد سبد 00979</t>
  </si>
  <si>
    <t>04065/</t>
  </si>
  <si>
    <t>0593/</t>
  </si>
  <si>
    <t>کد سبد 00980</t>
  </si>
  <si>
    <t>05564/</t>
  </si>
  <si>
    <t>کد سبد 00981</t>
  </si>
  <si>
    <t>05498/</t>
  </si>
  <si>
    <t>04041/</t>
  </si>
  <si>
    <t>کد سبد 00982</t>
  </si>
  <si>
    <t>دیپلمات مشکی سفید 6543</t>
  </si>
  <si>
    <t>02167/</t>
  </si>
  <si>
    <t>کد سبد 00983</t>
  </si>
  <si>
    <t>0888/</t>
  </si>
  <si>
    <t>کد سبد 00984</t>
  </si>
  <si>
    <t>رز زرد 6852</t>
  </si>
  <si>
    <t>05499/</t>
  </si>
  <si>
    <t>05429/</t>
  </si>
  <si>
    <t>کد سبد 00985</t>
  </si>
  <si>
    <t>02197/</t>
  </si>
  <si>
    <t>04048/</t>
  </si>
  <si>
    <t>کد سبد 00986</t>
  </si>
  <si>
    <t>05476/</t>
  </si>
  <si>
    <t>کد سبد 00987</t>
  </si>
  <si>
    <t>05469/</t>
  </si>
  <si>
    <t>05482/</t>
  </si>
  <si>
    <t>کد سبد 00988</t>
  </si>
  <si>
    <t>02177/</t>
  </si>
  <si>
    <t>04071/</t>
  </si>
  <si>
    <t>کد سبد 00989</t>
  </si>
  <si>
    <t>پروانه کهکشانی 6846</t>
  </si>
  <si>
    <t>05500/</t>
  </si>
  <si>
    <t>03515/</t>
  </si>
  <si>
    <t>کد سبد 00990</t>
  </si>
  <si>
    <t>02178/</t>
  </si>
  <si>
    <t>05473/</t>
  </si>
  <si>
    <t>کد سبد 00991</t>
  </si>
  <si>
    <t>پرنده یلدایی چیریکی 6764</t>
  </si>
  <si>
    <t>05530/</t>
  </si>
  <si>
    <t>کد سبد 00992</t>
  </si>
  <si>
    <t>پاپیون و گل صورتی 6853</t>
  </si>
  <si>
    <t>05486/</t>
  </si>
  <si>
    <t>گوچی صورتی 6821</t>
  </si>
  <si>
    <t>04045/</t>
  </si>
  <si>
    <t>کد سبد 00993</t>
  </si>
  <si>
    <t>05009/</t>
  </si>
  <si>
    <t>پاپیون درشت 6769</t>
  </si>
  <si>
    <t>05061/</t>
  </si>
  <si>
    <t>کد سبد 00994</t>
  </si>
  <si>
    <t>05568/</t>
  </si>
  <si>
    <t>پروانه طلایی 6768</t>
  </si>
  <si>
    <t>023657/</t>
  </si>
  <si>
    <t>کد سبد 00995</t>
  </si>
  <si>
    <t>02189/</t>
  </si>
  <si>
    <t>کد سبد 00996</t>
  </si>
  <si>
    <t>06093/</t>
  </si>
  <si>
    <t>کد سبد 00997</t>
  </si>
  <si>
    <t>05626/</t>
  </si>
  <si>
    <t>دسته گل کرمی 6781</t>
  </si>
  <si>
    <t>06118/</t>
  </si>
  <si>
    <t>کد سبد 00998</t>
  </si>
  <si>
    <t>02541/</t>
  </si>
  <si>
    <t>05559/</t>
  </si>
  <si>
    <t>کد سبد 00999</t>
  </si>
  <si>
    <t>05561/</t>
  </si>
  <si>
    <t>06087/</t>
  </si>
  <si>
    <t>کد سبد 001000</t>
  </si>
  <si>
    <t>پاپیون گلی ریز 6862</t>
  </si>
  <si>
    <t>کد سبد 001001</t>
  </si>
  <si>
    <t>06065/</t>
  </si>
  <si>
    <t>06051/</t>
  </si>
  <si>
    <t>کد سبد 001002</t>
  </si>
  <si>
    <t>06028/</t>
  </si>
  <si>
    <t>کد سبد 001003</t>
  </si>
  <si>
    <t>04072/</t>
  </si>
  <si>
    <t>مه گل 6850</t>
  </si>
  <si>
    <t>06024/</t>
  </si>
  <si>
    <t>کد سبد 001004</t>
  </si>
  <si>
    <t>06075/</t>
  </si>
  <si>
    <t>شکوفه و وپرنده قرمز یلدایی 6765</t>
  </si>
  <si>
    <t>06033/</t>
  </si>
  <si>
    <t>کد سبد 001005</t>
  </si>
  <si>
    <t>07386/</t>
  </si>
  <si>
    <t>02354/</t>
  </si>
  <si>
    <t>کد سبد 001006</t>
  </si>
  <si>
    <t>02251/</t>
  </si>
  <si>
    <t>کد سبد 001007</t>
  </si>
  <si>
    <t>بربری 6385</t>
  </si>
  <si>
    <t>05734/</t>
  </si>
  <si>
    <t>06022/</t>
  </si>
  <si>
    <t>کد سبد 001008</t>
  </si>
  <si>
    <t>مینی موس و گوچی 6054</t>
  </si>
  <si>
    <t>06049/</t>
  </si>
  <si>
    <t>کد سبد 001009</t>
  </si>
  <si>
    <t>گل رز صورتی 6714</t>
  </si>
  <si>
    <t>06050/</t>
  </si>
  <si>
    <t>04022/</t>
  </si>
  <si>
    <t>کد سبد 001010</t>
  </si>
  <si>
    <t>باغ پرنده 6840</t>
  </si>
  <si>
    <t>.05841/</t>
  </si>
  <si>
    <t>کد سبد 001011</t>
  </si>
  <si>
    <t>شکوفه سبز ماچا 6866</t>
  </si>
  <si>
    <t>03423/</t>
  </si>
  <si>
    <t>کد سبد 001012</t>
  </si>
  <si>
    <t>گل گل صورتی 6847</t>
  </si>
  <si>
    <t>02548/</t>
  </si>
  <si>
    <t>02536/</t>
  </si>
  <si>
    <t>کد سبد 001013</t>
  </si>
  <si>
    <t>06072/</t>
  </si>
  <si>
    <t>03273/</t>
  </si>
  <si>
    <t>کد سبد 001014</t>
  </si>
  <si>
    <t>06061/</t>
  </si>
  <si>
    <t>03518/</t>
  </si>
  <si>
    <t>کد سبد 001015</t>
  </si>
  <si>
    <t>پروانه رویایی 6675 صورتی</t>
  </si>
  <si>
    <t>06060/</t>
  </si>
  <si>
    <t>شکوفه کارامل 6835</t>
  </si>
  <si>
    <t>05843/</t>
  </si>
  <si>
    <t>کد سبد 001016</t>
  </si>
  <si>
    <t>05236/</t>
  </si>
  <si>
    <t>بتمن 6830</t>
  </si>
  <si>
    <t>05722/</t>
  </si>
  <si>
    <t>کد سبد 001017</t>
  </si>
  <si>
    <t>02369/</t>
  </si>
  <si>
    <t>04075/</t>
  </si>
  <si>
    <t>کد سبد 001018</t>
  </si>
  <si>
    <t>06027/</t>
  </si>
  <si>
    <t>02264/</t>
  </si>
  <si>
    <t>کد سبد 001019</t>
  </si>
  <si>
    <t>کهکشان گلکسی 5063</t>
  </si>
  <si>
    <t>05834/</t>
  </si>
  <si>
    <t>کد سبد 001020</t>
  </si>
  <si>
    <t>04063/</t>
  </si>
  <si>
    <t>05740/</t>
  </si>
  <si>
    <t>کد سبد 001021</t>
  </si>
  <si>
    <t>بابونه بهشتی سبز 6732</t>
  </si>
  <si>
    <t>05424/</t>
  </si>
  <si>
    <t>کد سبد 001022</t>
  </si>
  <si>
    <t>06062/</t>
  </si>
  <si>
    <t>کد سبد 001023</t>
  </si>
  <si>
    <t>06080/</t>
  </si>
  <si>
    <t>03520/</t>
  </si>
  <si>
    <t>کد سبد 001024</t>
  </si>
  <si>
    <t>06078/</t>
  </si>
  <si>
    <t>کد سبد 001025</t>
  </si>
  <si>
    <t>02375/</t>
  </si>
  <si>
    <t>کد سبد 001026</t>
  </si>
  <si>
    <t>05738/</t>
  </si>
  <si>
    <t>نت 3044</t>
  </si>
  <si>
    <t>کد سبد 001027</t>
  </si>
  <si>
    <t>06046/</t>
  </si>
  <si>
    <t>گل ابی 5006</t>
  </si>
  <si>
    <t>03271/</t>
  </si>
  <si>
    <t>کد سبد 001028</t>
  </si>
  <si>
    <t>کاشی بلبل رنگی 6051</t>
  </si>
  <si>
    <t>02471/</t>
  </si>
  <si>
    <t>05373/</t>
  </si>
  <si>
    <t>کد سبد 001029</t>
  </si>
  <si>
    <t>کهکشان گلگسی 5063</t>
  </si>
  <si>
    <t>04010/</t>
  </si>
  <si>
    <t>0124/</t>
  </si>
  <si>
    <t>کد سبد 001030</t>
  </si>
  <si>
    <t>05394/</t>
  </si>
  <si>
    <t>01715/</t>
  </si>
  <si>
    <t>کد سبد 001031</t>
  </si>
  <si>
    <t>05365/</t>
  </si>
  <si>
    <t>04074/</t>
  </si>
  <si>
    <t>کد سبد 001032</t>
  </si>
  <si>
    <t>06057/</t>
  </si>
  <si>
    <t>01840/</t>
  </si>
  <si>
    <t>کد سبد 001033</t>
  </si>
  <si>
    <t>05485/</t>
  </si>
  <si>
    <t>05225/</t>
  </si>
  <si>
    <t>کد سبد 001034</t>
  </si>
  <si>
    <t>06037/</t>
  </si>
  <si>
    <t>01772/</t>
  </si>
  <si>
    <t>کد سبد 001035</t>
  </si>
  <si>
    <t>02539/</t>
  </si>
  <si>
    <t>ببری سورمه ای 6517</t>
  </si>
  <si>
    <t>01477/</t>
  </si>
  <si>
    <t>کد سبد 001036</t>
  </si>
  <si>
    <t>02111/</t>
  </si>
  <si>
    <t>02209/</t>
  </si>
  <si>
    <t>کد سبد 001037</t>
  </si>
  <si>
    <t>02995/</t>
  </si>
  <si>
    <t>کد سبد 001038</t>
  </si>
  <si>
    <t>06076/</t>
  </si>
  <si>
    <t>01371/</t>
  </si>
  <si>
    <t>کد سبد 001039</t>
  </si>
  <si>
    <t>02808/</t>
  </si>
  <si>
    <t>02243/</t>
  </si>
  <si>
    <t>کد سبد 001040</t>
  </si>
  <si>
    <t>06047/</t>
  </si>
  <si>
    <t>گل رنگی زرد نارنجی 6733</t>
  </si>
  <si>
    <t>02245/</t>
  </si>
  <si>
    <t>کد سبد 001041</t>
  </si>
  <si>
    <t>قلب زمینه مشکی 6314</t>
  </si>
  <si>
    <t>02786/</t>
  </si>
  <si>
    <t>کد سبد 001042</t>
  </si>
  <si>
    <t>02857/</t>
  </si>
  <si>
    <t>گل ترنج زرد 6824</t>
  </si>
  <si>
    <t>05849/</t>
  </si>
  <si>
    <t>کد سبد 001043</t>
  </si>
  <si>
    <t>05472/</t>
  </si>
  <si>
    <t>07568/</t>
  </si>
  <si>
    <t>کد سبد 001044</t>
  </si>
  <si>
    <t>دیور مشکی 6546</t>
  </si>
  <si>
    <t>01548/</t>
  </si>
  <si>
    <t>انیمه 6352</t>
  </si>
  <si>
    <t>05890/*</t>
  </si>
  <si>
    <t>کد سبد 001045</t>
  </si>
  <si>
    <t>گیلاس 2071</t>
  </si>
  <si>
    <t>06958/</t>
  </si>
  <si>
    <t>02753/</t>
  </si>
  <si>
    <t>کد سبد 001046</t>
  </si>
  <si>
    <t>04157/</t>
  </si>
  <si>
    <t>02140/</t>
  </si>
  <si>
    <t>کد سبد 001047</t>
  </si>
  <si>
    <t>06598/</t>
  </si>
  <si>
    <t>پلنگی قهوه ای 6834</t>
  </si>
  <si>
    <t>02770/</t>
  </si>
  <si>
    <t>کد سبد 001048</t>
  </si>
  <si>
    <t>خرگوش صورتی 6667</t>
  </si>
  <si>
    <t>05725/</t>
  </si>
  <si>
    <t>05831/</t>
  </si>
  <si>
    <t>کد سبد 001049</t>
  </si>
  <si>
    <t>05848/</t>
  </si>
  <si>
    <t>05855/</t>
  </si>
  <si>
    <t>کد سبد 001050</t>
  </si>
  <si>
    <t>پاپبون زمینه مشکی 6713</t>
  </si>
  <si>
    <t>05837/</t>
  </si>
  <si>
    <t>پاپیون زمینه سفید 6712</t>
  </si>
  <si>
    <t>05844/</t>
  </si>
  <si>
    <t>کد سبد 001051</t>
  </si>
  <si>
    <t>05492/8</t>
  </si>
  <si>
    <t>کد سبد 001052</t>
  </si>
  <si>
    <t>05195/</t>
  </si>
  <si>
    <t>کد سبد 001053</t>
  </si>
  <si>
    <t>راه راه بابونه 6345</t>
  </si>
  <si>
    <t>05467/</t>
  </si>
  <si>
    <t>05460/</t>
  </si>
  <si>
    <t>کد سبد 001054</t>
  </si>
  <si>
    <t>05032/</t>
  </si>
  <si>
    <t xml:space="preserve"> پاپیون دانتلی 6809</t>
  </si>
  <si>
    <t>05140/</t>
  </si>
  <si>
    <t>کد سبد 001055</t>
  </si>
  <si>
    <t>05026/</t>
  </si>
  <si>
    <t>03138/</t>
  </si>
  <si>
    <t>کد سبد 001056</t>
  </si>
  <si>
    <t>05526/</t>
  </si>
  <si>
    <t>پروانه موکا 6829</t>
  </si>
  <si>
    <t>05633/</t>
  </si>
  <si>
    <t>کد سبد 001057</t>
  </si>
  <si>
    <t>05539/</t>
  </si>
  <si>
    <t>05555/</t>
  </si>
  <si>
    <t>کد سبد 001058</t>
  </si>
  <si>
    <t>06130/</t>
  </si>
  <si>
    <t>05017/</t>
  </si>
  <si>
    <t>کد سبد 001059</t>
  </si>
  <si>
    <t>05053/</t>
  </si>
  <si>
    <t>05602/</t>
  </si>
  <si>
    <t>کد سبد 001060</t>
  </si>
  <si>
    <t>قلب شکلاتی 6826</t>
  </si>
  <si>
    <t>05497/</t>
  </si>
  <si>
    <t>ونگوک 5096</t>
  </si>
  <si>
    <t>05385/</t>
  </si>
  <si>
    <t>کد سبد 001061</t>
  </si>
  <si>
    <t>05125/</t>
  </si>
  <si>
    <t>05405/</t>
  </si>
  <si>
    <t>کد سبد 001062</t>
  </si>
  <si>
    <t>05224/</t>
  </si>
  <si>
    <t>06591/</t>
  </si>
  <si>
    <t>کد سبد 001063</t>
  </si>
  <si>
    <t>گوچی مشکی 6368</t>
  </si>
  <si>
    <t>06039/</t>
  </si>
  <si>
    <t xml:space="preserve"> پاپیون گیپور مشکی 6870</t>
  </si>
  <si>
    <t>06582/</t>
  </si>
  <si>
    <t>کد سبد 001064</t>
  </si>
  <si>
    <t>گل 5004</t>
  </si>
  <si>
    <t>04016/</t>
  </si>
  <si>
    <t>پاپیون راه راه شکلاتی 6871</t>
  </si>
  <si>
    <t>06532/</t>
  </si>
  <si>
    <t>کد سبد 001065</t>
  </si>
  <si>
    <t>04058/</t>
  </si>
  <si>
    <t>فرش قرمز ایرانی 6804</t>
  </si>
  <si>
    <t>05366/</t>
  </si>
  <si>
    <t>کد سبد 001066</t>
  </si>
  <si>
    <t>06036/</t>
  </si>
  <si>
    <t>پروانه شاینی 6525</t>
  </si>
  <si>
    <t>05393/</t>
  </si>
  <si>
    <t>کد سبد 001067</t>
  </si>
  <si>
    <t>05359/</t>
  </si>
  <si>
    <t>کد سبد 001068</t>
  </si>
  <si>
    <t>05207/</t>
  </si>
  <si>
    <t>05315/</t>
  </si>
  <si>
    <t>کد سبد 001069</t>
  </si>
  <si>
    <t>06611/</t>
  </si>
  <si>
    <t>05328/</t>
  </si>
  <si>
    <t>کد سبد 001070</t>
  </si>
  <si>
    <t>05357/</t>
  </si>
  <si>
    <t>کد سبد 001071</t>
  </si>
  <si>
    <t>05228/</t>
  </si>
  <si>
    <t>05675/</t>
  </si>
  <si>
    <t>کد سبد 001072</t>
  </si>
  <si>
    <t>05215/</t>
  </si>
  <si>
    <t>05374/</t>
  </si>
  <si>
    <t>کد سبد 001073</t>
  </si>
  <si>
    <t>قلب توخالی 6725</t>
  </si>
  <si>
    <t>03658/</t>
  </si>
  <si>
    <t>پیردوپل ریز 6555</t>
  </si>
  <si>
    <t>05388/</t>
  </si>
  <si>
    <t>کد سبد 001074</t>
  </si>
  <si>
    <t>05386/</t>
  </si>
  <si>
    <t>05361/</t>
  </si>
  <si>
    <t>کد سبد 001075</t>
  </si>
  <si>
    <t>08546/</t>
  </si>
  <si>
    <t>پی دو پل 3089</t>
  </si>
  <si>
    <t>05389/</t>
  </si>
  <si>
    <t>کد سبد 001076</t>
  </si>
  <si>
    <t>البالویی زمینه مشکی خالدار قرمز 6177</t>
  </si>
  <si>
    <t>05319/</t>
  </si>
  <si>
    <t>05325/</t>
  </si>
  <si>
    <t>کد سبد 001077</t>
  </si>
  <si>
    <t>05227/</t>
  </si>
  <si>
    <t>کد سبد 001078</t>
  </si>
  <si>
    <t>05203/</t>
  </si>
  <si>
    <t>05341/</t>
  </si>
  <si>
    <t>کد سبد 001079</t>
  </si>
  <si>
    <t>05229/</t>
  </si>
  <si>
    <t>زنانه قاجار 3070</t>
  </si>
  <si>
    <t>05329/</t>
  </si>
  <si>
    <t>کد سبد 001080</t>
  </si>
  <si>
    <t>گوچی 6313</t>
  </si>
  <si>
    <t>05216/</t>
  </si>
  <si>
    <t>کد سبد 001081</t>
  </si>
  <si>
    <t>02200/</t>
  </si>
  <si>
    <t xml:space="preserve"> پرنده سبز یلدایی 6766</t>
  </si>
  <si>
    <t>06358/</t>
  </si>
  <si>
    <t>کد سبد 001082</t>
  </si>
  <si>
    <t>04589/</t>
  </si>
  <si>
    <t>05413/</t>
  </si>
  <si>
    <t>کد سبد 001083</t>
  </si>
  <si>
    <t>05134/</t>
  </si>
  <si>
    <t>03296/</t>
  </si>
  <si>
    <t>کد سبد 001084</t>
  </si>
  <si>
    <t>پاپیون مشکی کیوت 6726</t>
  </si>
  <si>
    <t>06578/</t>
  </si>
  <si>
    <t>06338/</t>
  </si>
  <si>
    <t>کد سبد 001085</t>
  </si>
  <si>
    <t>لبوبو ماچا 6880</t>
  </si>
  <si>
    <t>05139/</t>
  </si>
  <si>
    <t>05783/</t>
  </si>
  <si>
    <t>کد سبد 001086</t>
  </si>
  <si>
    <t>06638/</t>
  </si>
  <si>
    <t>05358/</t>
  </si>
  <si>
    <t>کد سبد 001087</t>
  </si>
  <si>
    <t>05126/</t>
  </si>
  <si>
    <t>05344/</t>
  </si>
  <si>
    <t>کد سبد 001088</t>
  </si>
  <si>
    <t>06629/</t>
  </si>
  <si>
    <t>05766/</t>
  </si>
  <si>
    <t>کد سبد 001089</t>
  </si>
  <si>
    <t>06602/</t>
  </si>
  <si>
    <t>05416/</t>
  </si>
  <si>
    <t>کد سبد 001090</t>
  </si>
  <si>
    <t>06612/</t>
  </si>
  <si>
    <t>05635/</t>
  </si>
  <si>
    <t>کد سبد 001091</t>
  </si>
  <si>
    <t>بابونه کیوت 6736 یاسی</t>
  </si>
  <si>
    <t>0801/</t>
  </si>
  <si>
    <t>ابرنگی 6511</t>
  </si>
  <si>
    <t>03335/</t>
  </si>
  <si>
    <t>کد سبد 001092</t>
  </si>
  <si>
    <t>دونه های برفی 6038</t>
  </si>
  <si>
    <t>گل ابی ملیح 6776</t>
  </si>
  <si>
    <t>03336/</t>
  </si>
  <si>
    <t>کد سبد 001093</t>
  </si>
  <si>
    <t>03360/</t>
  </si>
  <si>
    <t>گوچی 6058</t>
  </si>
  <si>
    <t>02333/</t>
  </si>
  <si>
    <t>کد سبد 001094</t>
  </si>
  <si>
    <t>02907/</t>
  </si>
  <si>
    <t>05647/</t>
  </si>
  <si>
    <t>کد سبد 001095</t>
  </si>
  <si>
    <t>04195/</t>
  </si>
  <si>
    <t>گل ابی 5005</t>
  </si>
  <si>
    <t>05662/</t>
  </si>
  <si>
    <t>کد سبد 001096</t>
  </si>
  <si>
    <t>07780/</t>
  </si>
  <si>
    <t>05703/</t>
  </si>
  <si>
    <t>کد سبد 001097</t>
  </si>
  <si>
    <t>پاپیون راه راه شیری 6873</t>
  </si>
  <si>
    <t>پاپبون زمینه سفید 6712</t>
  </si>
  <si>
    <t>05889/</t>
  </si>
  <si>
    <t>کد سبد 001098</t>
  </si>
  <si>
    <t>07378/</t>
  </si>
  <si>
    <t>06428/</t>
  </si>
  <si>
    <t>کد سبد 001099</t>
  </si>
  <si>
    <t>لبوبو مشکی 6883</t>
  </si>
  <si>
    <t>05143/</t>
  </si>
  <si>
    <t>دیور صورتی 6819</t>
  </si>
  <si>
    <t>02203/</t>
  </si>
  <si>
    <t>کد سبد 001100</t>
  </si>
  <si>
    <t xml:space="preserve"> 05391/</t>
  </si>
  <si>
    <t>05462/</t>
  </si>
  <si>
    <t>کد سبد 001101</t>
  </si>
  <si>
    <t>05672/</t>
  </si>
  <si>
    <t>05400/</t>
  </si>
  <si>
    <t>کد سبد 001102</t>
  </si>
  <si>
    <t>گل وینیج 6806</t>
  </si>
  <si>
    <t>06714/</t>
  </si>
  <si>
    <t>05893/</t>
  </si>
  <si>
    <t>کد سبد 001103</t>
  </si>
  <si>
    <t>06320/</t>
  </si>
  <si>
    <t>گل ترمه نارنجی 6822</t>
  </si>
  <si>
    <t>05842/</t>
  </si>
  <si>
    <t>کد سبد 001104</t>
  </si>
  <si>
    <t>چهار خونه مشکی 6371</t>
  </si>
  <si>
    <t>06140/</t>
  </si>
  <si>
    <t>07992/</t>
  </si>
  <si>
    <t>کد سبد 001105</t>
  </si>
  <si>
    <t>05846/</t>
  </si>
  <si>
    <t>05410/</t>
  </si>
  <si>
    <t>کد سبد 001106</t>
  </si>
  <si>
    <t>0467/</t>
  </si>
  <si>
    <t>05684/</t>
  </si>
  <si>
    <t>کد سبد 001107</t>
  </si>
  <si>
    <t>06597/</t>
  </si>
  <si>
    <t>05379/</t>
  </si>
  <si>
    <t>کد سبد 001108</t>
  </si>
  <si>
    <t>بابونه بهشتی زرد 6739</t>
  </si>
  <si>
    <t>05407/</t>
  </si>
  <si>
    <t>05354/</t>
  </si>
  <si>
    <t>کد سبد 001109</t>
  </si>
  <si>
    <t>06063/</t>
  </si>
  <si>
    <t>06643/</t>
  </si>
  <si>
    <t>کد سبد 001110</t>
  </si>
  <si>
    <t>04569/</t>
  </si>
  <si>
    <t>05419/</t>
  </si>
  <si>
    <t>کد سبد 001111</t>
  </si>
  <si>
    <t>06636/</t>
  </si>
  <si>
    <t>01751/</t>
  </si>
  <si>
    <t>کد سبد 001112</t>
  </si>
  <si>
    <t>بابونه گلبهی 6734</t>
  </si>
  <si>
    <t>05414/</t>
  </si>
  <si>
    <t>گل زنبق 6790</t>
  </si>
  <si>
    <t>05764/</t>
  </si>
  <si>
    <t>کد سبد 001113</t>
  </si>
  <si>
    <t>03346/</t>
  </si>
  <si>
    <t>زبرا مشکی 6528</t>
  </si>
  <si>
    <t>05351/</t>
  </si>
  <si>
    <t>کد سبد 001114</t>
  </si>
  <si>
    <t>05702/</t>
  </si>
  <si>
    <t>0132/</t>
  </si>
  <si>
    <t>کد سبد 001115</t>
  </si>
  <si>
    <t>03251/</t>
  </si>
  <si>
    <t>05641/</t>
  </si>
  <si>
    <t>کد سبد 001116</t>
  </si>
  <si>
    <t>02254/</t>
  </si>
  <si>
    <t>05320/</t>
  </si>
  <si>
    <t>کد سبد 001117</t>
  </si>
  <si>
    <t>دختر ستاره ای 6530</t>
  </si>
  <si>
    <t>03331/</t>
  </si>
  <si>
    <t>05132/</t>
  </si>
  <si>
    <t>کد سبد 001118</t>
  </si>
  <si>
    <t>03357/</t>
  </si>
  <si>
    <t>05364/</t>
  </si>
  <si>
    <t>کد سبد 001119</t>
  </si>
  <si>
    <t>05383/</t>
  </si>
  <si>
    <t>0142/</t>
  </si>
  <si>
    <t>کد سبد 001120</t>
  </si>
  <si>
    <t>شکوفه ریز سورمه ای 6748</t>
  </si>
  <si>
    <t>02353/</t>
  </si>
  <si>
    <t>01815/</t>
  </si>
  <si>
    <t>کد سبد 001121</t>
  </si>
  <si>
    <t>03195/</t>
  </si>
  <si>
    <t>02339/</t>
  </si>
  <si>
    <t>کد سبد 001122</t>
  </si>
  <si>
    <t>05272/</t>
  </si>
  <si>
    <t>05266/</t>
  </si>
  <si>
    <t>کد سبد 001123</t>
  </si>
  <si>
    <t>03337/</t>
  </si>
  <si>
    <t>05214/</t>
  </si>
  <si>
    <t>کد سبد 001124</t>
  </si>
  <si>
    <t>06349/</t>
  </si>
  <si>
    <t>کد سبد 001125</t>
  </si>
  <si>
    <t>03181/</t>
  </si>
  <si>
    <t>کد سبد 001126</t>
  </si>
  <si>
    <t>05149/</t>
  </si>
  <si>
    <t>04512/</t>
  </si>
  <si>
    <t>کد سبد 001127</t>
  </si>
  <si>
    <t>نیلوفر ابی 6399</t>
  </si>
  <si>
    <t>02349/</t>
  </si>
  <si>
    <t>کد سبد 001128</t>
  </si>
  <si>
    <t>01611/</t>
  </si>
  <si>
    <t>کد سبد 001129</t>
  </si>
  <si>
    <t>01622/</t>
  </si>
  <si>
    <t>0614/</t>
  </si>
  <si>
    <t>کد سبد 001130</t>
  </si>
  <si>
    <t>گل افسون 6815</t>
  </si>
  <si>
    <t>05637/</t>
  </si>
  <si>
    <t>کد سبد 001131</t>
  </si>
  <si>
    <t>بابونه شرابی 6750</t>
  </si>
  <si>
    <t>06639/</t>
  </si>
  <si>
    <t>کد سبد 001132</t>
  </si>
  <si>
    <t>01846/</t>
  </si>
  <si>
    <t>0877/</t>
  </si>
  <si>
    <t>کد سبد 001133</t>
  </si>
  <si>
    <t>بابونه ریز ابی 6727</t>
  </si>
  <si>
    <t>05205/</t>
  </si>
  <si>
    <t>کد سبد 001134</t>
  </si>
  <si>
    <t>06133/</t>
  </si>
  <si>
    <t>03167/</t>
  </si>
  <si>
    <t>کد سبد 001135</t>
  </si>
  <si>
    <t>میکی و موس پس زمینه سبز 6022</t>
  </si>
  <si>
    <t>07245/</t>
  </si>
  <si>
    <t>توت فرنگی و انیمه 6363</t>
  </si>
  <si>
    <t>01625/</t>
  </si>
  <si>
    <t>کد سبد 001136</t>
  </si>
  <si>
    <t>هلو کیتی 6328</t>
  </si>
  <si>
    <t>05700/</t>
  </si>
  <si>
    <t>کد سبد 001137</t>
  </si>
  <si>
    <t>آدمک مشکی 6336</t>
  </si>
  <si>
    <t>01832/</t>
  </si>
  <si>
    <t>06067/</t>
  </si>
  <si>
    <t>کد سبد 001138</t>
  </si>
  <si>
    <t>06132/</t>
  </si>
  <si>
    <t>07495/</t>
  </si>
  <si>
    <t>کد سبد 001139</t>
  </si>
  <si>
    <t>گل رز 6680</t>
  </si>
  <si>
    <t>05719/</t>
  </si>
  <si>
    <t>کد سبد 001140</t>
  </si>
  <si>
    <t>07808/</t>
  </si>
  <si>
    <t>کد سبد 001141</t>
  </si>
  <si>
    <t>05346/</t>
  </si>
  <si>
    <t>کد سبد 001142</t>
  </si>
  <si>
    <t>05650/</t>
  </si>
  <si>
    <t>طاووسی آبی 6842</t>
  </si>
  <si>
    <t>05795/</t>
  </si>
  <si>
    <t>کد سبد 001143</t>
  </si>
  <si>
    <t xml:space="preserve">بابونه کیوت 6736 یاسی </t>
  </si>
  <si>
    <t>03175/</t>
  </si>
  <si>
    <t>کد سبد 001144</t>
  </si>
  <si>
    <t>02079/</t>
  </si>
  <si>
    <t>05651/</t>
  </si>
  <si>
    <t>کد سبد 001145</t>
  </si>
  <si>
    <t>پوست انیمال 6788</t>
  </si>
  <si>
    <t>08358/</t>
  </si>
  <si>
    <t>05732/</t>
  </si>
  <si>
    <t>کد سبد 001146</t>
  </si>
  <si>
    <t>زبرا شکلاتی 6808</t>
  </si>
  <si>
    <t>05418/</t>
  </si>
  <si>
    <t>08548/</t>
  </si>
  <si>
    <t>کد سبد 001147</t>
  </si>
  <si>
    <t>شکوفه و پرنده قرمز یلدایی 6765</t>
  </si>
  <si>
    <t>06548/</t>
  </si>
  <si>
    <t>گل و گلی 6187</t>
  </si>
  <si>
    <t>05335/</t>
  </si>
  <si>
    <t>کد سبد 001148</t>
  </si>
  <si>
    <t>چشم نظر 2024</t>
  </si>
  <si>
    <t>02269/</t>
  </si>
  <si>
    <t>کد سبد 001149</t>
  </si>
  <si>
    <t>بابونه راه راه 6702</t>
  </si>
  <si>
    <t>05845/</t>
  </si>
  <si>
    <t>کد سبد 001150</t>
  </si>
  <si>
    <t>بابونه گل گلی 6747</t>
  </si>
  <si>
    <t>05412/</t>
  </si>
  <si>
    <t>05362/</t>
  </si>
  <si>
    <t>کد سبد 001151</t>
  </si>
  <si>
    <t>01624/</t>
  </si>
  <si>
    <t>گل 5006</t>
  </si>
  <si>
    <t>0418/</t>
  </si>
  <si>
    <t>کد سبد 001152</t>
  </si>
  <si>
    <t>06440/</t>
  </si>
  <si>
    <t>05850/</t>
  </si>
  <si>
    <t>کد سبد 001153</t>
  </si>
  <si>
    <t>05270/</t>
  </si>
  <si>
    <t>03264/</t>
  </si>
  <si>
    <t>کد سبد 001154</t>
  </si>
  <si>
    <t>05680/</t>
  </si>
  <si>
    <t>کد سبد 001155</t>
  </si>
  <si>
    <t>رز بزرگ سفید 6735</t>
  </si>
  <si>
    <t>06366/</t>
  </si>
  <si>
    <t>کد سبد 001156</t>
  </si>
  <si>
    <t>05380/</t>
  </si>
  <si>
    <t>کد سبد 001157</t>
  </si>
  <si>
    <t>05630/</t>
  </si>
  <si>
    <t>05342/</t>
  </si>
  <si>
    <t>کد سبد 001158</t>
  </si>
  <si>
    <t>05632/</t>
  </si>
  <si>
    <t>04125/</t>
  </si>
  <si>
    <t>کد سبد 001159</t>
  </si>
  <si>
    <t>بابونه 3058</t>
  </si>
  <si>
    <t>01640/</t>
  </si>
  <si>
    <t>قاصدک 5024</t>
  </si>
  <si>
    <t>01836/</t>
  </si>
  <si>
    <t>کد سبد 001160</t>
  </si>
  <si>
    <t>0358/</t>
  </si>
  <si>
    <t>کد سبد 001161</t>
  </si>
  <si>
    <t>هلوکیتی 6738</t>
  </si>
  <si>
    <t>01024/</t>
  </si>
  <si>
    <t>02993/</t>
  </si>
  <si>
    <t>کد سبد 001162</t>
  </si>
  <si>
    <t>03625/</t>
  </si>
  <si>
    <t>0401/</t>
  </si>
  <si>
    <t>کد سبد 001163</t>
  </si>
  <si>
    <t>02118/</t>
  </si>
  <si>
    <t>کد سبد 001164</t>
  </si>
  <si>
    <t>گیلاس پاپیونی  6724</t>
  </si>
  <si>
    <t>03166/</t>
  </si>
  <si>
    <t>07412/</t>
  </si>
  <si>
    <t>کد سبد 001165</t>
  </si>
  <si>
    <t>01641/</t>
  </si>
  <si>
    <t>08564/</t>
  </si>
  <si>
    <t>کد سبد 001166</t>
  </si>
  <si>
    <t>01791/</t>
  </si>
  <si>
    <t>کد سبد 001167</t>
  </si>
  <si>
    <t>کت صورتی 6030</t>
  </si>
  <si>
    <t>01619/</t>
  </si>
  <si>
    <t>کد سبد 001168</t>
  </si>
  <si>
    <t>05415/</t>
  </si>
  <si>
    <t>کد سبد 001169</t>
  </si>
  <si>
    <t>01634/</t>
  </si>
  <si>
    <t>باغ طاووس آبی 6842</t>
  </si>
  <si>
    <t>0171/</t>
  </si>
  <si>
    <t>کد سبد 001170</t>
  </si>
  <si>
    <t>0566/</t>
  </si>
  <si>
    <t>01950/</t>
  </si>
  <si>
    <t>کد سبد 001171</t>
  </si>
  <si>
    <t>06437/</t>
  </si>
  <si>
    <t>05326/</t>
  </si>
  <si>
    <t>کد سبد 001172</t>
  </si>
  <si>
    <t>05283/</t>
  </si>
  <si>
    <t>کد سبد 001173</t>
  </si>
  <si>
    <t>01614/</t>
  </si>
  <si>
    <t>کد سبد 001174</t>
  </si>
  <si>
    <t>01080/</t>
  </si>
  <si>
    <t>پاپیون و گل کیوت 6770</t>
  </si>
  <si>
    <t>01632/</t>
  </si>
  <si>
    <t>کد سبد 001175</t>
  </si>
  <si>
    <t>03170/</t>
  </si>
  <si>
    <t>کد سبد 001176</t>
  </si>
  <si>
    <t>03179/</t>
  </si>
  <si>
    <t>05721/</t>
  </si>
  <si>
    <t>کد سبد 001177</t>
  </si>
  <si>
    <t>03496/</t>
  </si>
  <si>
    <t>کد سبد 001178</t>
  </si>
  <si>
    <t>05463/</t>
  </si>
  <si>
    <t>کد سبد 001179</t>
  </si>
  <si>
    <t>کد سبد 001180</t>
  </si>
  <si>
    <t>05212/</t>
  </si>
  <si>
    <t>کد سبد 001181</t>
  </si>
  <si>
    <t>توت فرنگی 5099</t>
  </si>
  <si>
    <t>07876/</t>
  </si>
  <si>
    <t>کد سبد 001182</t>
  </si>
  <si>
    <t>02732/</t>
  </si>
  <si>
    <t>کد سبد 001183</t>
  </si>
  <si>
    <t>پاپ آرت 2028</t>
  </si>
  <si>
    <t>08820/</t>
  </si>
  <si>
    <t>خرگوشی و پاپیون 6791</t>
  </si>
  <si>
    <t>0636/</t>
  </si>
  <si>
    <t>کد سبد 001184</t>
  </si>
  <si>
    <t>03194/</t>
  </si>
  <si>
    <t>کد سبد 001185</t>
  </si>
  <si>
    <t>0618/</t>
  </si>
  <si>
    <t>01265/</t>
  </si>
  <si>
    <t>کد سبد 001186</t>
  </si>
  <si>
    <t>پروانه رویایی صورتی 6675</t>
  </si>
  <si>
    <t>03186/</t>
  </si>
  <si>
    <t>05345/</t>
  </si>
  <si>
    <t>کد سبد 001187</t>
  </si>
  <si>
    <t>دایناسور 6194</t>
  </si>
  <si>
    <t>04057/</t>
  </si>
  <si>
    <t>شکوفه زار صورتی 6844</t>
  </si>
  <si>
    <t>کد سبد 001188</t>
  </si>
  <si>
    <t>پروانه 1030</t>
  </si>
  <si>
    <t>03334/</t>
  </si>
  <si>
    <t>کد سبد 001189</t>
  </si>
  <si>
    <t>01621/</t>
  </si>
  <si>
    <t>کد سبد 001190</t>
  </si>
  <si>
    <t>01097/</t>
  </si>
  <si>
    <t>گوچی گلدار 6752</t>
  </si>
  <si>
    <t>02605/</t>
  </si>
  <si>
    <t>کد سبد 001191</t>
  </si>
  <si>
    <t>کد سبد 001192</t>
  </si>
  <si>
    <t>کد سبد 001193</t>
  </si>
  <si>
    <t>05254/</t>
  </si>
  <si>
    <t>گل پینکورا 6890</t>
  </si>
  <si>
    <t>03156/</t>
  </si>
  <si>
    <t>کد سبد 001194</t>
  </si>
  <si>
    <t>فندی 4034</t>
  </si>
  <si>
    <t>02350/</t>
  </si>
  <si>
    <t>02351/</t>
  </si>
  <si>
    <t>کد سبد 001195</t>
  </si>
  <si>
    <t>06448/</t>
  </si>
  <si>
    <t>02135/</t>
  </si>
  <si>
    <t>کد سبد 001196</t>
  </si>
  <si>
    <t>هرمس ابی 6684</t>
  </si>
  <si>
    <t>02344/</t>
  </si>
  <si>
    <t>کد سبد 001197</t>
  </si>
  <si>
    <t>01617/</t>
  </si>
  <si>
    <t>شکوفه صورتی پودری 6864</t>
  </si>
  <si>
    <t>05408/</t>
  </si>
  <si>
    <t>کد سبد 001198</t>
  </si>
  <si>
    <t>05267/</t>
  </si>
  <si>
    <t>03185/</t>
  </si>
  <si>
    <t>کد سبد 001199</t>
  </si>
  <si>
    <t>03509/</t>
  </si>
  <si>
    <t>کد سبد 001200</t>
  </si>
  <si>
    <t>01610/</t>
  </si>
  <si>
    <t>کد سبد 001201</t>
  </si>
  <si>
    <t>02533/</t>
  </si>
  <si>
    <t>02904/</t>
  </si>
  <si>
    <t>کد سبد 001202</t>
  </si>
  <si>
    <t>03820/</t>
  </si>
  <si>
    <t>03126/</t>
  </si>
  <si>
    <t>کد سبد 001203</t>
  </si>
  <si>
    <t>08298/</t>
  </si>
  <si>
    <t>کاشی سنتی 4082</t>
  </si>
  <si>
    <t>کد سبد 001204</t>
  </si>
  <si>
    <t>00325/</t>
  </si>
  <si>
    <t>02801/</t>
  </si>
  <si>
    <t>کد سبد 001205</t>
  </si>
  <si>
    <t>گل 3080</t>
  </si>
  <si>
    <t>05231/</t>
  </si>
  <si>
    <t>0692/</t>
  </si>
  <si>
    <t>کد سبد 001206</t>
  </si>
  <si>
    <t>04025/</t>
  </si>
  <si>
    <t>کد سبد 001207</t>
  </si>
  <si>
    <t>0756/</t>
  </si>
  <si>
    <t>کد سبد 001208</t>
  </si>
  <si>
    <t>05640/</t>
  </si>
  <si>
    <t>05247/</t>
  </si>
  <si>
    <t>کد سبد 001209</t>
  </si>
  <si>
    <t>بابونه خالدار ابی 6394</t>
  </si>
  <si>
    <t>05251/</t>
  </si>
  <si>
    <t>کد سبد 001210</t>
  </si>
  <si>
    <t>05237/</t>
  </si>
  <si>
    <t>01746/</t>
  </si>
  <si>
    <t>کد سبد 001211</t>
  </si>
  <si>
    <t>پرنده لی لی 6693</t>
  </si>
  <si>
    <t>05769/</t>
  </si>
  <si>
    <t>کد سبد 001212</t>
  </si>
  <si>
    <t>074011/</t>
  </si>
  <si>
    <t>01623/</t>
  </si>
  <si>
    <t>کد سبد 001213</t>
  </si>
  <si>
    <t>هلو کیتی پاپیون گلبهی 6841</t>
  </si>
  <si>
    <t>05245/</t>
  </si>
  <si>
    <t>05194/</t>
  </si>
  <si>
    <t>کد سبد 001214</t>
  </si>
  <si>
    <t>03065/</t>
  </si>
  <si>
    <t>کد سبد 001215</t>
  </si>
  <si>
    <t>03614/</t>
  </si>
  <si>
    <t>03259/</t>
  </si>
  <si>
    <t>کد سبد 001216</t>
  </si>
  <si>
    <t>08845/</t>
  </si>
  <si>
    <t>05417/</t>
  </si>
  <si>
    <t>کد سبد 001217</t>
  </si>
  <si>
    <t>شکوفه ریز شکلاتی 6827</t>
  </si>
  <si>
    <t>02343/</t>
  </si>
  <si>
    <t>برون لاین فرندز شکلاتی 5093</t>
  </si>
  <si>
    <t>05339/</t>
  </si>
  <si>
    <t>کد سبد 001218</t>
  </si>
  <si>
    <t>02364/</t>
  </si>
  <si>
    <t>08413/</t>
  </si>
  <si>
    <t>کد سبد 001219</t>
  </si>
  <si>
    <t>03191/</t>
  </si>
  <si>
    <t>کد سبد 001220</t>
  </si>
  <si>
    <t>پرنده طلایی 6888</t>
  </si>
  <si>
    <t>03985/</t>
  </si>
  <si>
    <t>کد سبد 001221</t>
  </si>
  <si>
    <t>02184/</t>
  </si>
  <si>
    <t>09658/</t>
  </si>
  <si>
    <t>کد سبد 001222</t>
  </si>
  <si>
    <t>0554/</t>
  </si>
  <si>
    <t>03430/</t>
  </si>
  <si>
    <t>کد سبد 001223</t>
  </si>
  <si>
    <t>تدی لاین فرندز کرم 5062</t>
  </si>
  <si>
    <t>01451/</t>
  </si>
  <si>
    <t>0487/</t>
  </si>
  <si>
    <t>کد سبد 001224</t>
  </si>
  <si>
    <t>توت فرنگی 6362</t>
  </si>
  <si>
    <t>02355/</t>
  </si>
  <si>
    <t>05265/</t>
  </si>
  <si>
    <t>کد سبد 001225</t>
  </si>
  <si>
    <t>01810/</t>
  </si>
  <si>
    <t>05263/</t>
  </si>
  <si>
    <t>کد سبد 001226</t>
  </si>
  <si>
    <t>08547/</t>
  </si>
  <si>
    <t>کد سبد 001227</t>
  </si>
  <si>
    <t>03168/</t>
  </si>
  <si>
    <t>09856/</t>
  </si>
  <si>
    <t>کد سبد 001228</t>
  </si>
  <si>
    <t>اسکویت گیم 3055</t>
  </si>
  <si>
    <t>08802/</t>
  </si>
  <si>
    <t>شکوفه ماچا 6866</t>
  </si>
  <si>
    <t>01642/</t>
  </si>
  <si>
    <t>کد سبد 001229</t>
  </si>
  <si>
    <t>02055/</t>
  </si>
  <si>
    <t>کد سبد 001230</t>
  </si>
  <si>
    <t>02058/</t>
  </si>
  <si>
    <t>03173/</t>
  </si>
  <si>
    <t>کد سبد 001231</t>
  </si>
  <si>
    <t>06540/</t>
  </si>
  <si>
    <t>04042/</t>
  </si>
  <si>
    <t>کد سبد 001232</t>
  </si>
  <si>
    <t>01184/</t>
  </si>
  <si>
    <t>05235/</t>
  </si>
  <si>
    <t>کد سبد 001233</t>
  </si>
  <si>
    <t>01442/</t>
  </si>
  <si>
    <t>پرنده  یلدایی چیریکی  6764</t>
  </si>
  <si>
    <t>02749/</t>
  </si>
  <si>
    <t>کد سبد 001234</t>
  </si>
  <si>
    <t>01590/</t>
  </si>
  <si>
    <t>08569/</t>
  </si>
  <si>
    <t>کد سبد 001235</t>
  </si>
  <si>
    <t>06535/</t>
  </si>
  <si>
    <t>08141/</t>
  </si>
  <si>
    <t>کد سبد 001236</t>
  </si>
  <si>
    <t>05426/</t>
  </si>
  <si>
    <t>کد سبد 001237</t>
  </si>
  <si>
    <t>08523/</t>
  </si>
  <si>
    <t>کد سبد 001238</t>
  </si>
  <si>
    <t>04033/</t>
  </si>
  <si>
    <t>کد سبد 001239</t>
  </si>
  <si>
    <t>05253/</t>
  </si>
  <si>
    <t>06562/</t>
  </si>
  <si>
    <t>کد سبد 001240</t>
  </si>
  <si>
    <t>06685/</t>
  </si>
  <si>
    <t>02656/</t>
  </si>
  <si>
    <t>کد سبد 001241</t>
  </si>
  <si>
    <t>آلبالویی 7034</t>
  </si>
  <si>
    <t>02110/</t>
  </si>
  <si>
    <t>کد سبد 001242</t>
  </si>
  <si>
    <t>06527/</t>
  </si>
  <si>
    <t>پاپیون شکلانی 6833</t>
  </si>
  <si>
    <t>01109/</t>
  </si>
  <si>
    <t>کد سبد 001243</t>
  </si>
  <si>
    <t>02061/</t>
  </si>
  <si>
    <t>کد سبد 001244</t>
  </si>
  <si>
    <t>05258/</t>
  </si>
  <si>
    <t>01787/</t>
  </si>
  <si>
    <t>کد سبد 001245</t>
  </si>
  <si>
    <t>0878/</t>
  </si>
  <si>
    <t>کد سبد 001246</t>
  </si>
  <si>
    <t>04164/</t>
  </si>
  <si>
    <t>08745/</t>
  </si>
  <si>
    <t>کد سبد 001247</t>
  </si>
  <si>
    <t>پروانه پاپیونی 6782</t>
  </si>
  <si>
    <t>05230/</t>
  </si>
  <si>
    <t>بته جقه ایرانی 6677</t>
  </si>
  <si>
    <t>05248/</t>
  </si>
  <si>
    <t>کد سبد 001248</t>
  </si>
  <si>
    <t>01356/</t>
  </si>
  <si>
    <t>کد سبد 001249</t>
  </si>
  <si>
    <t>07519/</t>
  </si>
  <si>
    <t>دختر فرفری 6673</t>
  </si>
  <si>
    <t>کد سبد 001250</t>
  </si>
  <si>
    <t>07238/</t>
  </si>
  <si>
    <t>08965/</t>
  </si>
  <si>
    <t>کد سبد 001251</t>
  </si>
  <si>
    <t>01569/</t>
  </si>
  <si>
    <t>08754/</t>
  </si>
  <si>
    <t>کد سبد 001252</t>
  </si>
  <si>
    <t>گل نارنجی 6741</t>
  </si>
  <si>
    <t>01214/</t>
  </si>
  <si>
    <t>کد سبد 001253</t>
  </si>
  <si>
    <t>02066/</t>
  </si>
  <si>
    <t>پروانه و شکوفه 6818</t>
  </si>
  <si>
    <t>07845/</t>
  </si>
  <si>
    <t>کد سبد 001254</t>
  </si>
  <si>
    <t>06541/</t>
  </si>
  <si>
    <t>کد سبد 001255</t>
  </si>
  <si>
    <t>06542/</t>
  </si>
  <si>
    <t>01767/</t>
  </si>
  <si>
    <t>کد سبد 001256</t>
  </si>
  <si>
    <t>02754/</t>
  </si>
  <si>
    <t>کد سبد 001257</t>
  </si>
  <si>
    <t>0893/</t>
  </si>
  <si>
    <t>کد سبد 001258</t>
  </si>
  <si>
    <t>گکاشی گل ابی 6825</t>
  </si>
  <si>
    <t>01733/</t>
  </si>
  <si>
    <t>کد سبد 001259</t>
  </si>
  <si>
    <t>04062/</t>
  </si>
  <si>
    <t>کد سبد 001260</t>
  </si>
  <si>
    <t>03177/</t>
  </si>
  <si>
    <t>کد سبد 001261</t>
  </si>
  <si>
    <t>08568/</t>
  </si>
  <si>
    <t>کد سبد 001262</t>
  </si>
  <si>
    <t>03319/</t>
  </si>
  <si>
    <t>05885/</t>
  </si>
  <si>
    <t>کد سبد 001263</t>
  </si>
  <si>
    <t>03190/</t>
  </si>
  <si>
    <t>کد سبد 001264</t>
  </si>
  <si>
    <t>01541/</t>
  </si>
  <si>
    <t>05399/</t>
  </si>
  <si>
    <t>کد سبد 001265</t>
  </si>
  <si>
    <t>01199/</t>
  </si>
  <si>
    <t>05176/</t>
  </si>
  <si>
    <t>کد سبد 001266</t>
  </si>
  <si>
    <t>03321/</t>
  </si>
  <si>
    <t>05660/</t>
  </si>
  <si>
    <t>کد سبد 001267</t>
  </si>
  <si>
    <t>گیلاس مشکی 6715</t>
  </si>
  <si>
    <t>05865/</t>
  </si>
  <si>
    <t>02097/</t>
  </si>
  <si>
    <t>کد سبد 001268</t>
  </si>
  <si>
    <t>01376/</t>
  </si>
  <si>
    <t>02164/</t>
  </si>
  <si>
    <t>کد سبد 001269</t>
  </si>
  <si>
    <t>گل اسلیمی سرخ 6823</t>
  </si>
  <si>
    <t>05880/</t>
  </si>
  <si>
    <t>کد سبد 001270</t>
  </si>
  <si>
    <t>05642/</t>
  </si>
  <si>
    <t>02056/</t>
  </si>
  <si>
    <t>کد سبد 001271</t>
  </si>
  <si>
    <t>07841/</t>
  </si>
  <si>
    <t>05172/</t>
  </si>
  <si>
    <t>کد سبد 001272</t>
  </si>
  <si>
    <t>02322/</t>
  </si>
  <si>
    <t>کد سبد 001273</t>
  </si>
  <si>
    <t>گیلاس و بابونه 6746</t>
  </si>
  <si>
    <t>0974/</t>
  </si>
  <si>
    <t>03356/</t>
  </si>
  <si>
    <t>کد سبد 001274</t>
  </si>
  <si>
    <t>03381/</t>
  </si>
  <si>
    <t>دسنه گل کرمی 6781</t>
  </si>
  <si>
    <t>کد سبد 001275</t>
  </si>
  <si>
    <t>کد سبد 001276</t>
  </si>
  <si>
    <t>انیمه ای 6523</t>
  </si>
  <si>
    <t>05222/</t>
  </si>
  <si>
    <t>05655/</t>
  </si>
  <si>
    <t>کد سبد 001277</t>
  </si>
  <si>
    <t>شکوفه سبز 6879</t>
  </si>
  <si>
    <t>02933/</t>
  </si>
  <si>
    <t>کد سبد 001278</t>
  </si>
  <si>
    <t>05204/</t>
  </si>
  <si>
    <t>کد سبد 001279</t>
  </si>
  <si>
    <t>05352/</t>
  </si>
  <si>
    <t>04060/</t>
  </si>
  <si>
    <t>کد سبد 001280</t>
  </si>
  <si>
    <t>08665/</t>
  </si>
  <si>
    <t>05356/</t>
  </si>
  <si>
    <t>کد سبد 001281</t>
  </si>
  <si>
    <t>03308/</t>
  </si>
  <si>
    <t>05396/</t>
  </si>
  <si>
    <t>کد سبد 001282</t>
  </si>
  <si>
    <t>0533/</t>
  </si>
  <si>
    <t>کد سبد 001283</t>
  </si>
  <si>
    <t>0965/</t>
  </si>
  <si>
    <t>03511/</t>
  </si>
  <si>
    <t>کد سبد 001284</t>
  </si>
  <si>
    <t>02063/</t>
  </si>
  <si>
    <t>05238/</t>
  </si>
  <si>
    <t>کد سبد 001285</t>
  </si>
  <si>
    <t>01643/</t>
  </si>
  <si>
    <t>پترن چیریکی 7002</t>
  </si>
  <si>
    <t>05871/</t>
  </si>
  <si>
    <t>کد سبد 001286</t>
  </si>
  <si>
    <t>5152/</t>
  </si>
  <si>
    <t>کد سبد 001287</t>
  </si>
  <si>
    <t>05226/</t>
  </si>
  <si>
    <t>03307/</t>
  </si>
  <si>
    <t>کد سبد 001288</t>
  </si>
  <si>
    <t>05891/</t>
  </si>
  <si>
    <t>03522/</t>
  </si>
  <si>
    <t>کد سبد 001289</t>
  </si>
  <si>
    <t>02314/</t>
  </si>
  <si>
    <t>05510/</t>
  </si>
  <si>
    <t>کد سبد 001290</t>
  </si>
  <si>
    <t>لیمو و طوطی 6859</t>
  </si>
  <si>
    <t>03309/</t>
  </si>
  <si>
    <t>کد سبد 001291</t>
  </si>
  <si>
    <t>باغ  هزار گل سورمه ای 6836</t>
  </si>
  <si>
    <t>05701/</t>
  </si>
  <si>
    <t>1..29</t>
  </si>
  <si>
    <t>کد سبد 001292</t>
  </si>
  <si>
    <t>06534/</t>
  </si>
  <si>
    <t>کد سبد 001293</t>
  </si>
  <si>
    <t>06895/</t>
  </si>
  <si>
    <t>05421/</t>
  </si>
  <si>
    <t>کد سبد 001294</t>
  </si>
  <si>
    <t>05199/</t>
  </si>
  <si>
    <t>کد سبد 001295</t>
  </si>
  <si>
    <t>06127/</t>
  </si>
  <si>
    <t>02762/</t>
  </si>
  <si>
    <t>کد سبد 001296</t>
  </si>
  <si>
    <t>05522/</t>
  </si>
  <si>
    <t>0748/</t>
  </si>
  <si>
    <t>کد سبد 001297</t>
  </si>
  <si>
    <t>02327/</t>
  </si>
  <si>
    <t>0562/</t>
  </si>
  <si>
    <t>کد سبد 001298</t>
  </si>
  <si>
    <t>05631/</t>
  </si>
  <si>
    <t>کد سبد 001299</t>
  </si>
  <si>
    <t>05391/</t>
  </si>
  <si>
    <t>کد سبد 001300</t>
  </si>
  <si>
    <t>پاپیون صورتی 6691</t>
  </si>
  <si>
    <t>02313/</t>
  </si>
  <si>
    <t>آلبالو 2015</t>
  </si>
  <si>
    <t>05712/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</si>
</sst>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00000"/>
  </numFmts>
  <fonts count="9">
    <font>
      <sz val="10.0"/>
      <color rgb="FF000000"/>
      <name val="Arial"/>
      <scheme val="minor"/>
    </font>
    <font>
      <sz val="20.0"/>
      <color theme="1"/>
      <name val="Calibri"/>
    </font>
    <font/>
    <font>
      <sz val="11.0"/>
      <color theme="1"/>
      <name val="Calibri"/>
    </font>
    <font>
      <color theme="1"/>
      <name val="Arial"/>
    </font>
    <font>
      <sz val="14.0"/>
      <color theme="1"/>
      <name val="Calibri"/>
    </font>
    <font>
      <sz val="12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3D6D6"/>
        <bgColor rgb="FFF3D6D6"/>
      </patternFill>
    </fill>
    <fill>
      <patternFill patternType="solid">
        <fgColor rgb="FFCFE0F4"/>
        <bgColor rgb="FFCFE0F4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D9E7F6"/>
        <bgColor rgb="FFD9E7F6"/>
      </patternFill>
    </fill>
    <fill>
      <patternFill patternType="solid">
        <fgColor rgb="FFB7E1A1"/>
        <bgColor rgb="FFB7E1A1"/>
      </patternFill>
    </fill>
  </fills>
  <borders count="6">
    <border/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top style="thin">
        <color rgb="FF95B3D7"/>
      </top>
      <bottom style="thin">
        <color rgb="FF95B3D7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1" fillId="2" fontId="1" numFmtId="0" xfId="0" applyAlignment="1" applyBorder="1" applyFont="1">
      <alignment horizontal="center" readingOrder="0" vertical="bottom"/>
    </xf>
    <xf borderId="4" fillId="3" fontId="5" numFmtId="0" xfId="0" applyAlignment="1" applyBorder="1" applyFill="1" applyFont="1">
      <alignment horizontal="center" vertical="bottom"/>
    </xf>
    <xf borderId="4" fillId="3" fontId="6" numFmtId="0" xfId="0" applyAlignment="1" applyBorder="1" applyFont="1">
      <alignment horizontal="center" vertical="bottom"/>
    </xf>
    <xf borderId="4" fillId="3" fontId="4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4" fontId="3" numFmtId="0" xfId="0" applyAlignment="1" applyFill="1" applyFont="1">
      <alignment horizontal="right" vertical="bottom"/>
    </xf>
    <xf borderId="0" fillId="4" fontId="3" numFmtId="0" xfId="0" applyAlignment="1" applyFont="1">
      <alignment horizontal="right" readingOrder="0" vertical="bottom"/>
    </xf>
    <xf borderId="5" fillId="0" fontId="5" numFmtId="164" xfId="0" applyAlignment="1" applyBorder="1" applyFont="1" applyNumberFormat="1">
      <alignment horizontal="center" vertical="bottom"/>
    </xf>
    <xf borderId="4" fillId="0" fontId="5" numFmtId="164" xfId="0" applyAlignment="1" applyBorder="1" applyFont="1" applyNumberFormat="1">
      <alignment horizontal="center" vertical="bottom"/>
    </xf>
    <xf borderId="4" fillId="0" fontId="4" numFmtId="0" xfId="0" applyAlignment="1" applyBorder="1" applyFont="1">
      <alignment vertical="bottom"/>
    </xf>
    <xf borderId="0" fillId="4" fontId="3" numFmtId="0" xfId="0" applyAlignment="1" applyFont="1">
      <alignment horizontal="right" readingOrder="0" vertical="bottom"/>
    </xf>
    <xf borderId="0" fillId="4" fontId="3" numFmtId="165" xfId="0" applyAlignment="1" applyFont="1" applyNumberFormat="1">
      <alignment readingOrder="0" vertical="bottom"/>
    </xf>
    <xf borderId="0" fillId="5" fontId="3" numFmtId="0" xfId="0" applyAlignment="1" applyFill="1" applyFont="1">
      <alignment horizontal="right" vertical="bottom"/>
    </xf>
    <xf borderId="0" fillId="5" fontId="3" numFmtId="0" xfId="0" applyAlignment="1" applyFont="1">
      <alignment horizontal="right" readingOrder="0" vertical="bottom"/>
    </xf>
    <xf borderId="4" fillId="0" fontId="5" numFmtId="164" xfId="0" applyAlignment="1" applyBorder="1" applyFont="1" applyNumberFormat="1">
      <alignment horizontal="right" vertical="bottom"/>
    </xf>
    <xf borderId="4" fillId="0" fontId="5" numFmtId="0" xfId="0" applyAlignment="1" applyBorder="1" applyFont="1">
      <alignment horizontal="right" vertical="bottom"/>
    </xf>
    <xf borderId="4" fillId="0" fontId="5" numFmtId="0" xfId="0" applyAlignment="1" applyBorder="1" applyFont="1">
      <alignment horizontal="center" vertical="bottom"/>
    </xf>
    <xf borderId="1" fillId="6" fontId="1" numFmtId="0" xfId="0" applyAlignment="1" applyBorder="1" applyFill="1" applyFont="1">
      <alignment horizontal="right" vertical="bottom"/>
    </xf>
    <xf borderId="4" fillId="6" fontId="1" numFmtId="3" xfId="0" applyAlignment="1" applyBorder="1" applyFont="1" applyNumberFormat="1">
      <alignment horizontal="center" vertical="bottom"/>
    </xf>
    <xf borderId="1" fillId="7" fontId="1" numFmtId="0" xfId="0" applyAlignment="1" applyBorder="1" applyFill="1" applyFont="1">
      <alignment horizontal="right" vertical="bottom"/>
    </xf>
    <xf borderId="4" fillId="7" fontId="1" numFmtId="3" xfId="0" applyAlignment="1" applyBorder="1" applyFont="1" applyNumberFormat="1">
      <alignment horizontal="center" vertical="bottom"/>
    </xf>
    <xf borderId="0" fillId="5" fontId="3" numFmtId="0" xfId="0" applyAlignment="1" applyFont="1">
      <alignment horizontal="right" readingOrder="0" vertical="bottom"/>
    </xf>
    <xf borderId="0" fillId="5" fontId="3" numFmtId="165" xfId="0" applyAlignment="1" applyFont="1" applyNumberFormat="1">
      <alignment readingOrder="0" vertical="bottom"/>
    </xf>
    <xf borderId="4" fillId="0" fontId="4" numFmtId="0" xfId="0" applyAlignment="1" applyBorder="1" applyFont="1">
      <alignment readingOrder="0" vertical="bottom"/>
    </xf>
    <xf borderId="4" fillId="3" fontId="5" numFmtId="0" xfId="0" applyAlignment="1" applyBorder="1" applyFont="1">
      <alignment horizontal="center" readingOrder="0" vertical="bottom"/>
    </xf>
    <xf borderId="0" fillId="4" fontId="4" numFmtId="0" xfId="0" applyAlignment="1" applyFont="1">
      <alignment readingOrder="0" vertical="bottom"/>
    </xf>
    <xf borderId="0" fillId="4" fontId="4" numFmtId="165" xfId="0" applyAlignment="1" applyFont="1" applyNumberFormat="1">
      <alignment readingOrder="0" vertical="bottom"/>
    </xf>
    <xf borderId="0" fillId="4" fontId="4" numFmtId="0" xfId="0" applyAlignment="1" applyFont="1">
      <alignment readingOrder="0" vertical="bottom"/>
    </xf>
    <xf borderId="0" fillId="5" fontId="4" numFmtId="0" xfId="0" applyAlignment="1" applyFont="1">
      <alignment readingOrder="0" vertical="bottom"/>
    </xf>
    <xf borderId="0" fillId="5" fontId="4" numFmtId="165" xfId="0" applyAlignment="1" applyFont="1" applyNumberFormat="1">
      <alignment readingOrder="0" vertical="bottom"/>
    </xf>
    <xf borderId="0" fillId="5" fontId="4" numFmtId="0" xfId="0" applyAlignment="1" applyFont="1">
      <alignment readingOrder="0" vertical="bottom"/>
    </xf>
    <xf borderId="4" fillId="0" fontId="5" numFmtId="0" xfId="0" applyAlignment="1" applyBorder="1" applyFont="1">
      <alignment horizontal="right" readingOrder="0" vertical="bottom"/>
    </xf>
    <xf borderId="0" fillId="0" fontId="8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400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1" type="firstRowStripe"/>
      <tableStyleElement dxfId="2" type="secondRowStripe"/>
    </tableStyle>
    <tableStyle count="2" pivot="0" name="Sheet1-style 5">
      <tableStyleElement dxfId="1" type="firstRowStripe"/>
      <tableStyleElement dxfId="2" type="secondRowStripe"/>
    </tableStyle>
    <tableStyle count="2" pivot="0" name="Sheet1-style 6">
      <tableStyleElement dxfId="1" type="firstRowStripe"/>
      <tableStyleElement dxfId="2" type="secondRowStripe"/>
    </tableStyle>
    <tableStyle count="2" pivot="0" name="Sheet1-style 7">
      <tableStyleElement dxfId="1" type="firstRowStripe"/>
      <tableStyleElement dxfId="2" type="secondRowStripe"/>
    </tableStyle>
    <tableStyle count="2" pivot="0" name="Sheet1-style 8">
      <tableStyleElement dxfId="1" type="firstRowStripe"/>
      <tableStyleElement dxfId="2" type="secondRowStripe"/>
    </tableStyle>
    <tableStyle count="2" pivot="0" name="Sheet1-style 9">
      <tableStyleElement dxfId="1" type="firstRowStripe"/>
      <tableStyleElement dxfId="2" type="secondRowStripe"/>
    </tableStyle>
    <tableStyle count="2" pivot="0" name="Sheet1-style 10">
      <tableStyleElement dxfId="1" type="firstRowStripe"/>
      <tableStyleElement dxfId="2" type="secondRowStripe"/>
    </tableStyle>
    <tableStyle count="2" pivot="0" name="Sheet1-style 11">
      <tableStyleElement dxfId="1" type="firstRowStripe"/>
      <tableStyleElement dxfId="2" type="secondRowStripe"/>
    </tableStyle>
    <tableStyle count="2" pivot="0" name="Sheet1-style 12">
      <tableStyleElement dxfId="1" type="firstRowStripe"/>
      <tableStyleElement dxfId="2" type="secondRowStripe"/>
    </tableStyle>
    <tableStyle count="2" pivot="0" name="Sheet1-style 13">
      <tableStyleElement dxfId="1" type="firstRowStripe"/>
      <tableStyleElement dxfId="2" type="secondRowStripe"/>
    </tableStyle>
    <tableStyle count="2" pivot="0" name="Sheet1-style 14">
      <tableStyleElement dxfId="1" type="firstRowStripe"/>
      <tableStyleElement dxfId="2" type="secondRowStripe"/>
    </tableStyle>
    <tableStyle count="2" pivot="0" name="Sheet1-style 15">
      <tableStyleElement dxfId="1" type="firstRowStripe"/>
      <tableStyleElement dxfId="2" type="secondRowStripe"/>
    </tableStyle>
    <tableStyle count="2" pivot="0" name="Sheet1-style 16">
      <tableStyleElement dxfId="1" type="firstRowStripe"/>
      <tableStyleElement dxfId="2" type="secondRowStripe"/>
    </tableStyle>
    <tableStyle count="2" pivot="0" name="Sheet1-style 17">
      <tableStyleElement dxfId="1" type="firstRowStripe"/>
      <tableStyleElement dxfId="2" type="secondRowStripe"/>
    </tableStyle>
    <tableStyle count="2" pivot="0" name="Sheet1-style 18">
      <tableStyleElement dxfId="1" type="firstRowStripe"/>
      <tableStyleElement dxfId="2" type="secondRowStripe"/>
    </tableStyle>
    <tableStyle count="2" pivot="0" name="Sheet1-style 19">
      <tableStyleElement dxfId="1" type="firstRowStripe"/>
      <tableStyleElement dxfId="2" type="secondRowStripe"/>
    </tableStyle>
    <tableStyle count="2" pivot="0" name="Sheet1-style 20">
      <tableStyleElement dxfId="1" type="firstRowStripe"/>
      <tableStyleElement dxfId="2" type="secondRowStripe"/>
    </tableStyle>
    <tableStyle count="2" pivot="0" name="Sheet1-style 21">
      <tableStyleElement dxfId="1" type="firstRowStripe"/>
      <tableStyleElement dxfId="2" type="secondRowStripe"/>
    </tableStyle>
    <tableStyle count="2" pivot="0" name="Sheet1-style 22">
      <tableStyleElement dxfId="1" type="firstRowStripe"/>
      <tableStyleElement dxfId="2" type="secondRowStripe"/>
    </tableStyle>
    <tableStyle count="2" pivot="0" name="Sheet1-style 23">
      <tableStyleElement dxfId="1" type="firstRowStripe"/>
      <tableStyleElement dxfId="2" type="secondRowStripe"/>
    </tableStyle>
    <tableStyle count="2" pivot="0" name="Sheet1-style 24">
      <tableStyleElement dxfId="1" type="firstRowStripe"/>
      <tableStyleElement dxfId="2" type="secondRowStripe"/>
    </tableStyle>
    <tableStyle count="2" pivot="0" name="Sheet1-style 25">
      <tableStyleElement dxfId="1" type="firstRowStripe"/>
      <tableStyleElement dxfId="2" type="secondRowStripe"/>
    </tableStyle>
    <tableStyle count="2" pivot="0" name="Sheet1-style 26">
      <tableStyleElement dxfId="1" type="firstRowStripe"/>
      <tableStyleElement dxfId="2" type="secondRowStripe"/>
    </tableStyle>
    <tableStyle count="2" pivot="0" name="Sheet1-style 27">
      <tableStyleElement dxfId="1" type="firstRowStripe"/>
      <tableStyleElement dxfId="2" type="secondRowStripe"/>
    </tableStyle>
    <tableStyle count="2" pivot="0" name="Sheet1-style 28">
      <tableStyleElement dxfId="1" type="firstRowStripe"/>
      <tableStyleElement dxfId="2" type="secondRowStripe"/>
    </tableStyle>
    <tableStyle count="2" pivot="0" name="Sheet1-style 29">
      <tableStyleElement dxfId="1" type="firstRowStripe"/>
      <tableStyleElement dxfId="2" type="secondRowStripe"/>
    </tableStyle>
    <tableStyle count="2" pivot="0" name="Sheet1-style 30">
      <tableStyleElement dxfId="1" type="firstRowStripe"/>
      <tableStyleElement dxfId="2" type="secondRowStripe"/>
    </tableStyle>
    <tableStyle count="2" pivot="0" name="Sheet1-style 31">
      <tableStyleElement dxfId="1" type="firstRowStripe"/>
      <tableStyleElement dxfId="2" type="secondRowStripe"/>
    </tableStyle>
    <tableStyle count="2" pivot="0" name="Sheet1-style 32">
      <tableStyleElement dxfId="1" type="firstRowStripe"/>
      <tableStyleElement dxfId="2" type="secondRowStripe"/>
    </tableStyle>
    <tableStyle count="2" pivot="0" name="Sheet1-style 33">
      <tableStyleElement dxfId="1" type="firstRowStripe"/>
      <tableStyleElement dxfId="2" type="secondRowStripe"/>
    </tableStyle>
    <tableStyle count="2" pivot="0" name="Sheet1-style 34">
      <tableStyleElement dxfId="1" type="firstRowStripe"/>
      <tableStyleElement dxfId="2" type="secondRowStripe"/>
    </tableStyle>
    <tableStyle count="2" pivot="0" name="Sheet1-style 35">
      <tableStyleElement dxfId="1" type="firstRowStripe"/>
      <tableStyleElement dxfId="2" type="secondRowStripe"/>
    </tableStyle>
    <tableStyle count="2" pivot="0" name="Sheet1-style 36">
      <tableStyleElement dxfId="1" type="firstRowStripe"/>
      <tableStyleElement dxfId="2" type="secondRowStripe"/>
    </tableStyle>
    <tableStyle count="2" pivot="0" name="Sheet1-style 37">
      <tableStyleElement dxfId="1" type="firstRowStripe"/>
      <tableStyleElement dxfId="2" type="secondRowStripe"/>
    </tableStyle>
    <tableStyle count="2" pivot="0" name="Sheet1-style 38">
      <tableStyleElement dxfId="1" type="firstRowStripe"/>
      <tableStyleElement dxfId="2" type="secondRowStripe"/>
    </tableStyle>
    <tableStyle count="2" pivot="0" name="Sheet1-style 39">
      <tableStyleElement dxfId="1" type="firstRowStripe"/>
      <tableStyleElement dxfId="2" type="secondRowStripe"/>
    </tableStyle>
    <tableStyle count="2" pivot="0" name="Sheet1-style 40">
      <tableStyleElement dxfId="1" type="firstRowStripe"/>
      <tableStyleElement dxfId="2" type="secondRowStripe"/>
    </tableStyle>
    <tableStyle count="2" pivot="0" name="Sheet1-style 41">
      <tableStyleElement dxfId="1" type="firstRowStripe"/>
      <tableStyleElement dxfId="2" type="secondRowStripe"/>
    </tableStyle>
    <tableStyle count="2" pivot="0" name="Sheet1-style 42">
      <tableStyleElement dxfId="1" type="firstRowStripe"/>
      <tableStyleElement dxfId="2" type="secondRowStripe"/>
    </tableStyle>
    <tableStyle count="2" pivot="0" name="Sheet1-style 43">
      <tableStyleElement dxfId="1" type="firstRowStripe"/>
      <tableStyleElement dxfId="2" type="secondRowStripe"/>
    </tableStyle>
    <tableStyle count="2" pivot="0" name="Sheet1-style 44">
      <tableStyleElement dxfId="1" type="firstRowStripe"/>
      <tableStyleElement dxfId="2" type="secondRowStripe"/>
    </tableStyle>
    <tableStyle count="2" pivot="0" name="Sheet1-style 45">
      <tableStyleElement dxfId="1" type="firstRowStripe"/>
      <tableStyleElement dxfId="2" type="secondRowStripe"/>
    </tableStyle>
    <tableStyle count="2" pivot="0" name="Sheet1-style 46">
      <tableStyleElement dxfId="1" type="firstRowStripe"/>
      <tableStyleElement dxfId="2" type="secondRowStripe"/>
    </tableStyle>
    <tableStyle count="2" pivot="0" name="Sheet1-style 47">
      <tableStyleElement dxfId="1" type="firstRowStripe"/>
      <tableStyleElement dxfId="2" type="secondRowStripe"/>
    </tableStyle>
    <tableStyle count="2" pivot="0" name="Sheet1-style 48">
      <tableStyleElement dxfId="1" type="firstRowStripe"/>
      <tableStyleElement dxfId="2" type="secondRowStripe"/>
    </tableStyle>
    <tableStyle count="2" pivot="0" name="Sheet1-style 49">
      <tableStyleElement dxfId="1" type="firstRowStripe"/>
      <tableStyleElement dxfId="2" type="secondRowStripe"/>
    </tableStyle>
    <tableStyle count="2" pivot="0" name="Sheet1-style 50">
      <tableStyleElement dxfId="1" type="firstRowStripe"/>
      <tableStyleElement dxfId="2" type="secondRowStripe"/>
    </tableStyle>
    <tableStyle count="2" pivot="0" name="Sheet1-style 51">
      <tableStyleElement dxfId="1" type="firstRowStripe"/>
      <tableStyleElement dxfId="2" type="secondRowStripe"/>
    </tableStyle>
    <tableStyle count="2" pivot="0" name="Sheet1-style 52">
      <tableStyleElement dxfId="1" type="firstRowStripe"/>
      <tableStyleElement dxfId="2" type="secondRowStripe"/>
    </tableStyle>
    <tableStyle count="2" pivot="0" name="Sheet1-style 53">
      <tableStyleElement dxfId="1" type="firstRowStripe"/>
      <tableStyleElement dxfId="2" type="secondRowStripe"/>
    </tableStyle>
    <tableStyle count="2" pivot="0" name="Sheet1-style 54">
      <tableStyleElement dxfId="1" type="firstRowStripe"/>
      <tableStyleElement dxfId="2" type="secondRowStripe"/>
    </tableStyle>
    <tableStyle count="2" pivot="0" name="Sheet1-style 55">
      <tableStyleElement dxfId="1" type="firstRowStripe"/>
      <tableStyleElement dxfId="2" type="secondRowStripe"/>
    </tableStyle>
    <tableStyle count="2" pivot="0" name="Sheet1-style 56">
      <tableStyleElement dxfId="1" type="firstRowStripe"/>
      <tableStyleElement dxfId="2" type="secondRowStripe"/>
    </tableStyle>
    <tableStyle count="2" pivot="0" name="Sheet1-style 57">
      <tableStyleElement dxfId="1" type="firstRowStripe"/>
      <tableStyleElement dxfId="2" type="secondRowStripe"/>
    </tableStyle>
    <tableStyle count="2" pivot="0" name="Sheet1-style 58">
      <tableStyleElement dxfId="1" type="firstRowStripe"/>
      <tableStyleElement dxfId="2" type="secondRowStripe"/>
    </tableStyle>
    <tableStyle count="2" pivot="0" name="Sheet1-style 59">
      <tableStyleElement dxfId="1" type="firstRowStripe"/>
      <tableStyleElement dxfId="2" type="secondRowStripe"/>
    </tableStyle>
    <tableStyle count="2" pivot="0" name="Sheet1-style 60">
      <tableStyleElement dxfId="1" type="firstRowStripe"/>
      <tableStyleElement dxfId="2" type="secondRowStripe"/>
    </tableStyle>
    <tableStyle count="2" pivot="0" name="Sheet1-style 61">
      <tableStyleElement dxfId="1" type="firstRowStripe"/>
      <tableStyleElement dxfId="2" type="secondRowStripe"/>
    </tableStyle>
    <tableStyle count="2" pivot="0" name="Sheet1-style 62">
      <tableStyleElement dxfId="1" type="firstRowStripe"/>
      <tableStyleElement dxfId="2" type="secondRowStripe"/>
    </tableStyle>
    <tableStyle count="2" pivot="0" name="Sheet1-style 63">
      <tableStyleElement dxfId="1" type="firstRowStripe"/>
      <tableStyleElement dxfId="2" type="secondRowStripe"/>
    </tableStyle>
    <tableStyle count="2" pivot="0" name="Sheet1-style 64">
      <tableStyleElement dxfId="1" type="firstRowStripe"/>
      <tableStyleElement dxfId="2" type="secondRowStripe"/>
    </tableStyle>
    <tableStyle count="2" pivot="0" name="Sheet1-style 65">
      <tableStyleElement dxfId="1" type="firstRowStripe"/>
      <tableStyleElement dxfId="2" type="secondRowStripe"/>
    </tableStyle>
    <tableStyle count="2" pivot="0" name="Sheet1-style 66">
      <tableStyleElement dxfId="1" type="firstRowStripe"/>
      <tableStyleElement dxfId="2" type="secondRowStripe"/>
    </tableStyle>
    <tableStyle count="2" pivot="0" name="Sheet1-style 67">
      <tableStyleElement dxfId="1" type="firstRowStripe"/>
      <tableStyleElement dxfId="2" type="secondRowStripe"/>
    </tableStyle>
    <tableStyle count="2" pivot="0" name="Sheet1-style 68">
      <tableStyleElement dxfId="1" type="firstRowStripe"/>
      <tableStyleElement dxfId="2" type="secondRowStripe"/>
    </tableStyle>
    <tableStyle count="2" pivot="0" name="Sheet1-style 69">
      <tableStyleElement dxfId="1" type="firstRowStripe"/>
      <tableStyleElement dxfId="2" type="secondRowStripe"/>
    </tableStyle>
    <tableStyle count="2" pivot="0" name="Sheet1-style 70">
      <tableStyleElement dxfId="1" type="firstRowStripe"/>
      <tableStyleElement dxfId="2" type="secondRowStripe"/>
    </tableStyle>
    <tableStyle count="2" pivot="0" name="Sheet1-style 71">
      <tableStyleElement dxfId="1" type="firstRowStripe"/>
      <tableStyleElement dxfId="2" type="secondRowStripe"/>
    </tableStyle>
    <tableStyle count="2" pivot="0" name="Sheet1-style 72">
      <tableStyleElement dxfId="1" type="firstRowStripe"/>
      <tableStyleElement dxfId="2" type="secondRowStripe"/>
    </tableStyle>
    <tableStyle count="2" pivot="0" name="Sheet1-style 73">
      <tableStyleElement dxfId="1" type="firstRowStripe"/>
      <tableStyleElement dxfId="2" type="secondRowStripe"/>
    </tableStyle>
    <tableStyle count="2" pivot="0" name="Sheet1-style 74">
      <tableStyleElement dxfId="1" type="firstRowStripe"/>
      <tableStyleElement dxfId="2" type="secondRowStripe"/>
    </tableStyle>
    <tableStyle count="2" pivot="0" name="Sheet1-style 75">
      <tableStyleElement dxfId="1" type="firstRowStripe"/>
      <tableStyleElement dxfId="2" type="secondRowStripe"/>
    </tableStyle>
    <tableStyle count="2" pivot="0" name="Sheet1-style 76">
      <tableStyleElement dxfId="1" type="firstRowStripe"/>
      <tableStyleElement dxfId="2" type="secondRowStripe"/>
    </tableStyle>
    <tableStyle count="2" pivot="0" name="Sheet1-style 77">
      <tableStyleElement dxfId="1" type="firstRowStripe"/>
      <tableStyleElement dxfId="2" type="secondRowStripe"/>
    </tableStyle>
    <tableStyle count="2" pivot="0" name="Sheet1-style 78">
      <tableStyleElement dxfId="1" type="firstRowStripe"/>
      <tableStyleElement dxfId="2" type="secondRowStripe"/>
    </tableStyle>
    <tableStyle count="2" pivot="0" name="Sheet1-style 79">
      <tableStyleElement dxfId="1" type="firstRowStripe"/>
      <tableStyleElement dxfId="2" type="secondRowStripe"/>
    </tableStyle>
    <tableStyle count="2" pivot="0" name="Sheet1-style 80">
      <tableStyleElement dxfId="1" type="firstRowStripe"/>
      <tableStyleElement dxfId="2" type="secondRowStripe"/>
    </tableStyle>
    <tableStyle count="2" pivot="0" name="Sheet1-style 81">
      <tableStyleElement dxfId="1" type="firstRowStripe"/>
      <tableStyleElement dxfId="2" type="secondRowStripe"/>
    </tableStyle>
    <tableStyle count="2" pivot="0" name="Sheet1-style 82">
      <tableStyleElement dxfId="1" type="firstRowStripe"/>
      <tableStyleElement dxfId="2" type="secondRowStripe"/>
    </tableStyle>
    <tableStyle count="2" pivot="0" name="Sheet1-style 83">
      <tableStyleElement dxfId="1" type="firstRowStripe"/>
      <tableStyleElement dxfId="2" type="secondRowStripe"/>
    </tableStyle>
    <tableStyle count="2" pivot="0" name="Sheet1-style 84">
      <tableStyleElement dxfId="1" type="firstRowStripe"/>
      <tableStyleElement dxfId="2" type="secondRowStripe"/>
    </tableStyle>
    <tableStyle count="2" pivot="0" name="Sheet1-style 85">
      <tableStyleElement dxfId="1" type="firstRowStripe"/>
      <tableStyleElement dxfId="2" type="secondRowStripe"/>
    </tableStyle>
    <tableStyle count="2" pivot="0" name="Sheet1-style 86">
      <tableStyleElement dxfId="1" type="firstRowStripe"/>
      <tableStyleElement dxfId="2" type="secondRowStripe"/>
    </tableStyle>
    <tableStyle count="2" pivot="0" name="Sheet1-style 87">
      <tableStyleElement dxfId="1" type="firstRowStripe"/>
      <tableStyleElement dxfId="2" type="secondRowStripe"/>
    </tableStyle>
    <tableStyle count="2" pivot="0" name="Sheet1-style 88">
      <tableStyleElement dxfId="1" type="firstRowStripe"/>
      <tableStyleElement dxfId="2" type="secondRowStripe"/>
    </tableStyle>
    <tableStyle count="2" pivot="0" name="Sheet1-style 89">
      <tableStyleElement dxfId="1" type="firstRowStripe"/>
      <tableStyleElement dxfId="2" type="secondRowStripe"/>
    </tableStyle>
    <tableStyle count="2" pivot="0" name="Sheet1-style 90">
      <tableStyleElement dxfId="1" type="firstRowStripe"/>
      <tableStyleElement dxfId="2" type="secondRowStripe"/>
    </tableStyle>
    <tableStyle count="2" pivot="0" name="Sheet1-style 91">
      <tableStyleElement dxfId="1" type="firstRowStripe"/>
      <tableStyleElement dxfId="2" type="secondRowStripe"/>
    </tableStyle>
    <tableStyle count="2" pivot="0" name="Sheet1-style 92">
      <tableStyleElement dxfId="1" type="firstRowStripe"/>
      <tableStyleElement dxfId="2" type="secondRowStripe"/>
    </tableStyle>
    <tableStyle count="2" pivot="0" name="Sheet1-style 93">
      <tableStyleElement dxfId="1" type="firstRowStripe"/>
      <tableStyleElement dxfId="2" type="secondRowStripe"/>
    </tableStyle>
    <tableStyle count="2" pivot="0" name="Sheet1-style 94">
      <tableStyleElement dxfId="1" type="firstRowStripe"/>
      <tableStyleElement dxfId="2" type="secondRowStripe"/>
    </tableStyle>
    <tableStyle count="2" pivot="0" name="Sheet1-style 95">
      <tableStyleElement dxfId="1" type="firstRowStripe"/>
      <tableStyleElement dxfId="2" type="secondRowStripe"/>
    </tableStyle>
    <tableStyle count="2" pivot="0" name="Sheet1-style 96">
      <tableStyleElement dxfId="1" type="firstRowStripe"/>
      <tableStyleElement dxfId="2" type="secondRowStripe"/>
    </tableStyle>
    <tableStyle count="2" pivot="0" name="Sheet1-style 97">
      <tableStyleElement dxfId="1" type="firstRowStripe"/>
      <tableStyleElement dxfId="2" type="secondRowStripe"/>
    </tableStyle>
    <tableStyle count="2" pivot="0" name="Sheet1-style 98">
      <tableStyleElement dxfId="1" type="firstRowStripe"/>
      <tableStyleElement dxfId="2" type="secondRowStripe"/>
    </tableStyle>
    <tableStyle count="2" pivot="0" name="Sheet1-style 99">
      <tableStyleElement dxfId="1" type="firstRowStripe"/>
      <tableStyleElement dxfId="2" type="secondRowStripe"/>
    </tableStyle>
    <tableStyle count="2" pivot="0" name="Sheet1-style 100">
      <tableStyleElement dxfId="1" type="firstRowStripe"/>
      <tableStyleElement dxfId="2" type="secondRowStripe"/>
    </tableStyle>
    <tableStyle count="2" pivot="0" name="Sheet1-style 101">
      <tableStyleElement dxfId="1" type="firstRowStripe"/>
      <tableStyleElement dxfId="2" type="secondRowStripe"/>
    </tableStyle>
    <tableStyle count="2" pivot="0" name="Sheet1-style 102">
      <tableStyleElement dxfId="1" type="firstRowStripe"/>
      <tableStyleElement dxfId="2" type="secondRowStripe"/>
    </tableStyle>
    <tableStyle count="2" pivot="0" name="Sheet1-style 103">
      <tableStyleElement dxfId="1" type="firstRowStripe"/>
      <tableStyleElement dxfId="2" type="secondRowStripe"/>
    </tableStyle>
    <tableStyle count="2" pivot="0" name="Sheet1-style 104">
      <tableStyleElement dxfId="1" type="firstRowStripe"/>
      <tableStyleElement dxfId="2" type="secondRowStripe"/>
    </tableStyle>
    <tableStyle count="2" pivot="0" name="Sheet1-style 105">
      <tableStyleElement dxfId="1" type="firstRowStripe"/>
      <tableStyleElement dxfId="2" type="secondRowStripe"/>
    </tableStyle>
    <tableStyle count="2" pivot="0" name="Sheet1-style 106">
      <tableStyleElement dxfId="1" type="firstRowStripe"/>
      <tableStyleElement dxfId="2" type="secondRowStripe"/>
    </tableStyle>
    <tableStyle count="2" pivot="0" name="Sheet1-style 107">
      <tableStyleElement dxfId="1" type="firstRowStripe"/>
      <tableStyleElement dxfId="2" type="secondRowStripe"/>
    </tableStyle>
    <tableStyle count="2" pivot="0" name="Sheet1-style 108">
      <tableStyleElement dxfId="1" type="firstRowStripe"/>
      <tableStyleElement dxfId="2" type="secondRowStripe"/>
    </tableStyle>
    <tableStyle count="2" pivot="0" name="Sheet1-style 109">
      <tableStyleElement dxfId="1" type="firstRowStripe"/>
      <tableStyleElement dxfId="2" type="secondRowStripe"/>
    </tableStyle>
    <tableStyle count="2" pivot="0" name="Sheet1-style 110">
      <tableStyleElement dxfId="1" type="firstRowStripe"/>
      <tableStyleElement dxfId="2" type="secondRowStripe"/>
    </tableStyle>
    <tableStyle count="2" pivot="0" name="Sheet1-style 111">
      <tableStyleElement dxfId="1" type="firstRowStripe"/>
      <tableStyleElement dxfId="2" type="secondRowStripe"/>
    </tableStyle>
    <tableStyle count="2" pivot="0" name="Sheet1-style 112">
      <tableStyleElement dxfId="1" type="firstRowStripe"/>
      <tableStyleElement dxfId="2" type="secondRowStripe"/>
    </tableStyle>
    <tableStyle count="2" pivot="0" name="Sheet1-style 113">
      <tableStyleElement dxfId="1" type="firstRowStripe"/>
      <tableStyleElement dxfId="2" type="secondRowStripe"/>
    </tableStyle>
    <tableStyle count="2" pivot="0" name="Sheet1-style 114">
      <tableStyleElement dxfId="1" type="firstRowStripe"/>
      <tableStyleElement dxfId="2" type="secondRowStripe"/>
    </tableStyle>
    <tableStyle count="2" pivot="0" name="Sheet1-style 115">
      <tableStyleElement dxfId="1" type="firstRowStripe"/>
      <tableStyleElement dxfId="2" type="secondRowStripe"/>
    </tableStyle>
    <tableStyle count="2" pivot="0" name="Sheet1-style 116">
      <tableStyleElement dxfId="1" type="firstRowStripe"/>
      <tableStyleElement dxfId="2" type="secondRowStripe"/>
    </tableStyle>
    <tableStyle count="2" pivot="0" name="Sheet1-style 117">
      <tableStyleElement dxfId="1" type="firstRowStripe"/>
      <tableStyleElement dxfId="2" type="secondRowStripe"/>
    </tableStyle>
    <tableStyle count="2" pivot="0" name="Sheet1-style 118">
      <tableStyleElement dxfId="1" type="firstRowStripe"/>
      <tableStyleElement dxfId="2" type="secondRowStripe"/>
    </tableStyle>
    <tableStyle count="2" pivot="0" name="Sheet1-style 119">
      <tableStyleElement dxfId="1" type="firstRowStripe"/>
      <tableStyleElement dxfId="2" type="secondRowStripe"/>
    </tableStyle>
    <tableStyle count="2" pivot="0" name="Sheet1-style 120">
      <tableStyleElement dxfId="1" type="firstRowStripe"/>
      <tableStyleElement dxfId="2" type="secondRowStripe"/>
    </tableStyle>
    <tableStyle count="2" pivot="0" name="Sheet1-style 121">
      <tableStyleElement dxfId="1" type="firstRowStripe"/>
      <tableStyleElement dxfId="2" type="secondRowStripe"/>
    </tableStyle>
    <tableStyle count="2" pivot="0" name="Sheet1-style 122">
      <tableStyleElement dxfId="1" type="firstRowStripe"/>
      <tableStyleElement dxfId="2" type="secondRowStripe"/>
    </tableStyle>
    <tableStyle count="2" pivot="0" name="Sheet1-style 123">
      <tableStyleElement dxfId="1" type="firstRowStripe"/>
      <tableStyleElement dxfId="2" type="secondRowStripe"/>
    </tableStyle>
    <tableStyle count="2" pivot="0" name="Sheet1-style 124">
      <tableStyleElement dxfId="1" type="firstRowStripe"/>
      <tableStyleElement dxfId="2" type="secondRowStripe"/>
    </tableStyle>
    <tableStyle count="2" pivot="0" name="Sheet1-style 125">
      <tableStyleElement dxfId="1" type="firstRowStripe"/>
      <tableStyleElement dxfId="2" type="secondRowStripe"/>
    </tableStyle>
    <tableStyle count="2" pivot="0" name="Sheet1-style 126">
      <tableStyleElement dxfId="1" type="firstRowStripe"/>
      <tableStyleElement dxfId="2" type="secondRowStripe"/>
    </tableStyle>
    <tableStyle count="2" pivot="0" name="Sheet1-style 127">
      <tableStyleElement dxfId="1" type="firstRowStripe"/>
      <tableStyleElement dxfId="2" type="secondRowStripe"/>
    </tableStyle>
    <tableStyle count="2" pivot="0" name="Sheet1-style 128">
      <tableStyleElement dxfId="1" type="firstRowStripe"/>
      <tableStyleElement dxfId="2" type="secondRowStripe"/>
    </tableStyle>
    <tableStyle count="2" pivot="0" name="Sheet1-style 129">
      <tableStyleElement dxfId="1" type="firstRowStripe"/>
      <tableStyleElement dxfId="2" type="secondRowStripe"/>
    </tableStyle>
    <tableStyle count="2" pivot="0" name="Sheet1-style 130">
      <tableStyleElement dxfId="1" type="firstRowStripe"/>
      <tableStyleElement dxfId="2" type="secondRowStripe"/>
    </tableStyle>
    <tableStyle count="2" pivot="0" name="Sheet1-style 131">
      <tableStyleElement dxfId="1" type="firstRowStripe"/>
      <tableStyleElement dxfId="2" type="secondRowStripe"/>
    </tableStyle>
    <tableStyle count="2" pivot="0" name="Sheet1-style 132">
      <tableStyleElement dxfId="1" type="firstRowStripe"/>
      <tableStyleElement dxfId="2" type="secondRowStripe"/>
    </tableStyle>
    <tableStyle count="2" pivot="0" name="Sheet1-style 133">
      <tableStyleElement dxfId="1" type="firstRowStripe"/>
      <tableStyleElement dxfId="2" type="secondRowStripe"/>
    </tableStyle>
    <tableStyle count="2" pivot="0" name="Sheet1-style 134">
      <tableStyleElement dxfId="1" type="firstRowStripe"/>
      <tableStyleElement dxfId="2" type="secondRowStripe"/>
    </tableStyle>
    <tableStyle count="2" pivot="0" name="Sheet1-style 135">
      <tableStyleElement dxfId="1" type="firstRowStripe"/>
      <tableStyleElement dxfId="2" type="secondRowStripe"/>
    </tableStyle>
    <tableStyle count="2" pivot="0" name="Sheet1-style 136">
      <tableStyleElement dxfId="1" type="firstRowStripe"/>
      <tableStyleElement dxfId="2" type="secondRowStripe"/>
    </tableStyle>
    <tableStyle count="2" pivot="0" name="Sheet1-style 137">
      <tableStyleElement dxfId="1" type="firstRowStripe"/>
      <tableStyleElement dxfId="2" type="secondRowStripe"/>
    </tableStyle>
    <tableStyle count="2" pivot="0" name="Sheet1-style 138">
      <tableStyleElement dxfId="1" type="firstRowStripe"/>
      <tableStyleElement dxfId="2" type="secondRowStripe"/>
    </tableStyle>
    <tableStyle count="2" pivot="0" name="Sheet1-style 139">
      <tableStyleElement dxfId="1" type="firstRowStripe"/>
      <tableStyleElement dxfId="2" type="secondRowStripe"/>
    </tableStyle>
    <tableStyle count="2" pivot="0" name="Sheet1-style 140">
      <tableStyleElement dxfId="1" type="firstRowStripe"/>
      <tableStyleElement dxfId="2" type="secondRowStripe"/>
    </tableStyle>
    <tableStyle count="2" pivot="0" name="Sheet1-style 141">
      <tableStyleElement dxfId="1" type="firstRowStripe"/>
      <tableStyleElement dxfId="2" type="secondRowStripe"/>
    </tableStyle>
    <tableStyle count="2" pivot="0" name="Sheet1-style 142">
      <tableStyleElement dxfId="1" type="firstRowStripe"/>
      <tableStyleElement dxfId="2" type="secondRowStripe"/>
    </tableStyle>
    <tableStyle count="2" pivot="0" name="Sheet1-style 143">
      <tableStyleElement dxfId="1" type="firstRowStripe"/>
      <tableStyleElement dxfId="2" type="secondRowStripe"/>
    </tableStyle>
    <tableStyle count="2" pivot="0" name="Sheet1-style 144">
      <tableStyleElement dxfId="1" type="firstRowStripe"/>
      <tableStyleElement dxfId="2" type="secondRowStripe"/>
    </tableStyle>
    <tableStyle count="2" pivot="0" name="Sheet1-style 145">
      <tableStyleElement dxfId="1" type="firstRowStripe"/>
      <tableStyleElement dxfId="2" type="secondRowStripe"/>
    </tableStyle>
    <tableStyle count="2" pivot="0" name="Sheet1-style 146">
      <tableStyleElement dxfId="1" type="firstRowStripe"/>
      <tableStyleElement dxfId="2" type="secondRowStripe"/>
    </tableStyle>
    <tableStyle count="2" pivot="0" name="Sheet1-style 147">
      <tableStyleElement dxfId="1" type="firstRowStripe"/>
      <tableStyleElement dxfId="2" type="secondRowStripe"/>
    </tableStyle>
    <tableStyle count="2" pivot="0" name="Sheet1-style 148">
      <tableStyleElement dxfId="1" type="firstRowStripe"/>
      <tableStyleElement dxfId="2" type="secondRowStripe"/>
    </tableStyle>
    <tableStyle count="2" pivot="0" name="Sheet1-style 149">
      <tableStyleElement dxfId="1" type="firstRowStripe"/>
      <tableStyleElement dxfId="2" type="secondRowStripe"/>
    </tableStyle>
    <tableStyle count="2" pivot="0" name="Sheet1-style 150">
      <tableStyleElement dxfId="1" type="firstRowStripe"/>
      <tableStyleElement dxfId="2" type="secondRowStripe"/>
    </tableStyle>
    <tableStyle count="2" pivot="0" name="Sheet1-style 151">
      <tableStyleElement dxfId="1" type="firstRowStripe"/>
      <tableStyleElement dxfId="2" type="secondRowStripe"/>
    </tableStyle>
    <tableStyle count="2" pivot="0" name="Sheet1-style 152">
      <tableStyleElement dxfId="1" type="firstRowStripe"/>
      <tableStyleElement dxfId="2" type="secondRowStripe"/>
    </tableStyle>
    <tableStyle count="2" pivot="0" name="Sheet1-style 153">
      <tableStyleElement dxfId="1" type="firstRowStripe"/>
      <tableStyleElement dxfId="2" type="secondRowStripe"/>
    </tableStyle>
    <tableStyle count="2" pivot="0" name="Sheet1-style 154">
      <tableStyleElement dxfId="1" type="firstRowStripe"/>
      <tableStyleElement dxfId="2" type="secondRowStripe"/>
    </tableStyle>
    <tableStyle count="2" pivot="0" name="Sheet1-style 155">
      <tableStyleElement dxfId="1" type="firstRowStripe"/>
      <tableStyleElement dxfId="2" type="secondRowStripe"/>
    </tableStyle>
    <tableStyle count="2" pivot="0" name="Sheet1-style 156">
      <tableStyleElement dxfId="1" type="firstRowStripe"/>
      <tableStyleElement dxfId="2" type="secondRowStripe"/>
    </tableStyle>
    <tableStyle count="2" pivot="0" name="Sheet1-style 157">
      <tableStyleElement dxfId="1" type="firstRowStripe"/>
      <tableStyleElement dxfId="2" type="secondRowStripe"/>
    </tableStyle>
    <tableStyle count="2" pivot="0" name="Sheet1-style 158">
      <tableStyleElement dxfId="1" type="firstRowStripe"/>
      <tableStyleElement dxfId="2" type="secondRowStripe"/>
    </tableStyle>
    <tableStyle count="2" pivot="0" name="Sheet1-style 159">
      <tableStyleElement dxfId="1" type="firstRowStripe"/>
      <tableStyleElement dxfId="2" type="secondRowStripe"/>
    </tableStyle>
    <tableStyle count="2" pivot="0" name="Sheet1-style 160">
      <tableStyleElement dxfId="1" type="firstRowStripe"/>
      <tableStyleElement dxfId="2" type="secondRowStripe"/>
    </tableStyle>
    <tableStyle count="2" pivot="0" name="Sheet1-style 161">
      <tableStyleElement dxfId="1" type="firstRowStripe"/>
      <tableStyleElement dxfId="2" type="secondRowStripe"/>
    </tableStyle>
    <tableStyle count="2" pivot="0" name="Sheet1-style 162">
      <tableStyleElement dxfId="1" type="firstRowStripe"/>
      <tableStyleElement dxfId="2" type="secondRowStripe"/>
    </tableStyle>
    <tableStyle count="2" pivot="0" name="Sheet1-style 163">
      <tableStyleElement dxfId="1" type="firstRowStripe"/>
      <tableStyleElement dxfId="2" type="secondRowStripe"/>
    </tableStyle>
    <tableStyle count="2" pivot="0" name="Sheet1-style 164">
      <tableStyleElement dxfId="1" type="firstRowStripe"/>
      <tableStyleElement dxfId="2" type="secondRowStripe"/>
    </tableStyle>
    <tableStyle count="2" pivot="0" name="Sheet1-style 165">
      <tableStyleElement dxfId="1" type="firstRowStripe"/>
      <tableStyleElement dxfId="2" type="secondRowStripe"/>
    </tableStyle>
    <tableStyle count="2" pivot="0" name="Sheet1-style 166">
      <tableStyleElement dxfId="1" type="firstRowStripe"/>
      <tableStyleElement dxfId="2" type="secondRowStripe"/>
    </tableStyle>
    <tableStyle count="2" pivot="0" name="Sheet1-style 167">
      <tableStyleElement dxfId="1" type="firstRowStripe"/>
      <tableStyleElement dxfId="2" type="secondRowStripe"/>
    </tableStyle>
    <tableStyle count="2" pivot="0" name="Sheet1-style 168">
      <tableStyleElement dxfId="1" type="firstRowStripe"/>
      <tableStyleElement dxfId="2" type="secondRowStripe"/>
    </tableStyle>
    <tableStyle count="2" pivot="0" name="Sheet1-style 169">
      <tableStyleElement dxfId="1" type="firstRowStripe"/>
      <tableStyleElement dxfId="2" type="secondRowStripe"/>
    </tableStyle>
    <tableStyle count="2" pivot="0" name="Sheet1-style 170">
      <tableStyleElement dxfId="1" type="firstRowStripe"/>
      <tableStyleElement dxfId="2" type="secondRowStripe"/>
    </tableStyle>
    <tableStyle count="2" pivot="0" name="Sheet1-style 171">
      <tableStyleElement dxfId="1" type="firstRowStripe"/>
      <tableStyleElement dxfId="2" type="secondRowStripe"/>
    </tableStyle>
    <tableStyle count="2" pivot="0" name="Sheet1-style 172">
      <tableStyleElement dxfId="1" type="firstRowStripe"/>
      <tableStyleElement dxfId="2" type="secondRowStripe"/>
    </tableStyle>
    <tableStyle count="2" pivot="0" name="Sheet1-style 173">
      <tableStyleElement dxfId="1" type="firstRowStripe"/>
      <tableStyleElement dxfId="2" type="secondRowStripe"/>
    </tableStyle>
    <tableStyle count="2" pivot="0" name="Sheet1-style 174">
      <tableStyleElement dxfId="1" type="firstRowStripe"/>
      <tableStyleElement dxfId="2" type="secondRowStripe"/>
    </tableStyle>
    <tableStyle count="2" pivot="0" name="Sheet1-style 175">
      <tableStyleElement dxfId="1" type="firstRowStripe"/>
      <tableStyleElement dxfId="2" type="secondRowStripe"/>
    </tableStyle>
    <tableStyle count="2" pivot="0" name="Sheet1-style 176">
      <tableStyleElement dxfId="1" type="firstRowStripe"/>
      <tableStyleElement dxfId="2" type="secondRowStripe"/>
    </tableStyle>
    <tableStyle count="2" pivot="0" name="Sheet1-style 177">
      <tableStyleElement dxfId="1" type="firstRowStripe"/>
      <tableStyleElement dxfId="2" type="secondRowStripe"/>
    </tableStyle>
    <tableStyle count="2" pivot="0" name="Sheet1-style 178">
      <tableStyleElement dxfId="1" type="firstRowStripe"/>
      <tableStyleElement dxfId="2" type="secondRowStripe"/>
    </tableStyle>
    <tableStyle count="2" pivot="0" name="Sheet1-style 179">
      <tableStyleElement dxfId="1" type="firstRowStripe"/>
      <tableStyleElement dxfId="2" type="secondRowStripe"/>
    </tableStyle>
    <tableStyle count="2" pivot="0" name="Sheet1-style 180">
      <tableStyleElement dxfId="1" type="firstRowStripe"/>
      <tableStyleElement dxfId="2" type="secondRowStripe"/>
    </tableStyle>
    <tableStyle count="2" pivot="0" name="Sheet1-style 181">
      <tableStyleElement dxfId="1" type="firstRowStripe"/>
      <tableStyleElement dxfId="2" type="secondRowStripe"/>
    </tableStyle>
    <tableStyle count="2" pivot="0" name="Sheet1-style 182">
      <tableStyleElement dxfId="1" type="firstRowStripe"/>
      <tableStyleElement dxfId="2" type="secondRowStripe"/>
    </tableStyle>
    <tableStyle count="2" pivot="0" name="Sheet1-style 183">
      <tableStyleElement dxfId="1" type="firstRowStripe"/>
      <tableStyleElement dxfId="2" type="secondRowStripe"/>
    </tableStyle>
    <tableStyle count="2" pivot="0" name="Sheet1-style 184">
      <tableStyleElement dxfId="1" type="firstRowStripe"/>
      <tableStyleElement dxfId="2" type="secondRowStripe"/>
    </tableStyle>
    <tableStyle count="2" pivot="0" name="Sheet1-style 185">
      <tableStyleElement dxfId="1" type="firstRowStripe"/>
      <tableStyleElement dxfId="2" type="secondRowStripe"/>
    </tableStyle>
    <tableStyle count="2" pivot="0" name="Sheet1-style 186">
      <tableStyleElement dxfId="1" type="firstRowStripe"/>
      <tableStyleElement dxfId="2" type="secondRowStripe"/>
    </tableStyle>
    <tableStyle count="2" pivot="0" name="Sheet1-style 187">
      <tableStyleElement dxfId="1" type="firstRowStripe"/>
      <tableStyleElement dxfId="2" type="secondRowStripe"/>
    </tableStyle>
    <tableStyle count="2" pivot="0" name="Sheet1-style 188">
      <tableStyleElement dxfId="1" type="firstRowStripe"/>
      <tableStyleElement dxfId="2" type="secondRowStripe"/>
    </tableStyle>
    <tableStyle count="2" pivot="0" name="Sheet1-style 189">
      <tableStyleElement dxfId="1" type="firstRowStripe"/>
      <tableStyleElement dxfId="2" type="secondRowStripe"/>
    </tableStyle>
    <tableStyle count="2" pivot="0" name="Sheet1-style 190">
      <tableStyleElement dxfId="1" type="firstRowStripe"/>
      <tableStyleElement dxfId="2" type="secondRowStripe"/>
    </tableStyle>
    <tableStyle count="2" pivot="0" name="Sheet1-style 191">
      <tableStyleElement dxfId="1" type="firstRowStripe"/>
      <tableStyleElement dxfId="2" type="secondRowStripe"/>
    </tableStyle>
    <tableStyle count="2" pivot="0" name="Sheet1-style 192">
      <tableStyleElement dxfId="1" type="firstRowStripe"/>
      <tableStyleElement dxfId="2" type="secondRowStripe"/>
    </tableStyle>
    <tableStyle count="2" pivot="0" name="Sheet1-style 193">
      <tableStyleElement dxfId="1" type="firstRowStripe"/>
      <tableStyleElement dxfId="2" type="secondRowStripe"/>
    </tableStyle>
    <tableStyle count="2" pivot="0" name="Sheet1-style 194">
      <tableStyleElement dxfId="1" type="firstRowStripe"/>
      <tableStyleElement dxfId="2" type="secondRowStripe"/>
    </tableStyle>
    <tableStyle count="2" pivot="0" name="Sheet1-style 195">
      <tableStyleElement dxfId="1" type="firstRowStripe"/>
      <tableStyleElement dxfId="2" type="secondRowStripe"/>
    </tableStyle>
    <tableStyle count="2" pivot="0" name="Sheet1-style 196">
      <tableStyleElement dxfId="1" type="firstRowStripe"/>
      <tableStyleElement dxfId="2" type="secondRowStripe"/>
    </tableStyle>
    <tableStyle count="2" pivot="0" name="Sheet1-style 197">
      <tableStyleElement dxfId="1" type="firstRowStripe"/>
      <tableStyleElement dxfId="2" type="secondRowStripe"/>
    </tableStyle>
    <tableStyle count="2" pivot="0" name="Sheet1-style 198">
      <tableStyleElement dxfId="1" type="firstRowStripe"/>
      <tableStyleElement dxfId="2" type="secondRowStripe"/>
    </tableStyle>
    <tableStyle count="2" pivot="0" name="Sheet1-style 199">
      <tableStyleElement dxfId="1" type="firstRowStripe"/>
      <tableStyleElement dxfId="2" type="secondRowStripe"/>
    </tableStyle>
    <tableStyle count="2" pivot="0" name="Sheet1-style 200">
      <tableStyleElement dxfId="1" type="firstRowStripe"/>
      <tableStyleElement dxfId="2" type="secondRowStripe"/>
    </tableStyle>
    <tableStyle count="2" pivot="0" name="Sheet1-style 201">
      <tableStyleElement dxfId="1" type="firstRowStripe"/>
      <tableStyleElement dxfId="2" type="secondRowStripe"/>
    </tableStyle>
    <tableStyle count="2" pivot="0" name="Sheet1-style 202">
      <tableStyleElement dxfId="1" type="firstRowStripe"/>
      <tableStyleElement dxfId="2" type="secondRowStripe"/>
    </tableStyle>
    <tableStyle count="2" pivot="0" name="Sheet1-style 203">
      <tableStyleElement dxfId="1" type="firstRowStripe"/>
      <tableStyleElement dxfId="2" type="secondRowStripe"/>
    </tableStyle>
    <tableStyle count="2" pivot="0" name="Sheet1-style 204">
      <tableStyleElement dxfId="1" type="firstRowStripe"/>
      <tableStyleElement dxfId="2" type="secondRowStripe"/>
    </tableStyle>
    <tableStyle count="2" pivot="0" name="Sheet1-style 205">
      <tableStyleElement dxfId="1" type="firstRowStripe"/>
      <tableStyleElement dxfId="2" type="secondRowStripe"/>
    </tableStyle>
    <tableStyle count="2" pivot="0" name="Sheet1-style 206">
      <tableStyleElement dxfId="1" type="firstRowStripe"/>
      <tableStyleElement dxfId="2" type="secondRowStripe"/>
    </tableStyle>
    <tableStyle count="2" pivot="0" name="Sheet1-style 207">
      <tableStyleElement dxfId="1" type="firstRowStripe"/>
      <tableStyleElement dxfId="2" type="secondRowStripe"/>
    </tableStyle>
    <tableStyle count="2" pivot="0" name="Sheet1-style 208">
      <tableStyleElement dxfId="1" type="firstRowStripe"/>
      <tableStyleElement dxfId="2" type="secondRowStripe"/>
    </tableStyle>
    <tableStyle count="2" pivot="0" name="Sheet1-style 209">
      <tableStyleElement dxfId="1" type="firstRowStripe"/>
      <tableStyleElement dxfId="2" type="secondRowStripe"/>
    </tableStyle>
    <tableStyle count="2" pivot="0" name="Sheet1-style 210">
      <tableStyleElement dxfId="1" type="firstRowStripe"/>
      <tableStyleElement dxfId="2" type="secondRowStripe"/>
    </tableStyle>
    <tableStyle count="2" pivot="0" name="Sheet1-style 211">
      <tableStyleElement dxfId="1" type="firstRowStripe"/>
      <tableStyleElement dxfId="2" type="secondRowStripe"/>
    </tableStyle>
    <tableStyle count="2" pivot="0" name="Sheet1-style 212">
      <tableStyleElement dxfId="1" type="firstRowStripe"/>
      <tableStyleElement dxfId="2" type="secondRowStripe"/>
    </tableStyle>
    <tableStyle count="2" pivot="0" name="Sheet1-style 213">
      <tableStyleElement dxfId="1" type="firstRowStripe"/>
      <tableStyleElement dxfId="2" type="secondRowStripe"/>
    </tableStyle>
    <tableStyle count="2" pivot="0" name="Sheet1-style 214">
      <tableStyleElement dxfId="1" type="firstRowStripe"/>
      <tableStyleElement dxfId="2" type="secondRowStripe"/>
    </tableStyle>
    <tableStyle count="2" pivot="0" name="Sheet1-style 215">
      <tableStyleElement dxfId="1" type="firstRowStripe"/>
      <tableStyleElement dxfId="2" type="secondRowStripe"/>
    </tableStyle>
    <tableStyle count="2" pivot="0" name="Sheet1-style 216">
      <tableStyleElement dxfId="1" type="firstRowStripe"/>
      <tableStyleElement dxfId="2" type="secondRowStripe"/>
    </tableStyle>
    <tableStyle count="2" pivot="0" name="Sheet1-style 217">
      <tableStyleElement dxfId="1" type="firstRowStripe"/>
      <tableStyleElement dxfId="2" type="secondRowStripe"/>
    </tableStyle>
    <tableStyle count="2" pivot="0" name="Sheet1-style 218">
      <tableStyleElement dxfId="1" type="firstRowStripe"/>
      <tableStyleElement dxfId="2" type="secondRowStripe"/>
    </tableStyle>
    <tableStyle count="2" pivot="0" name="Sheet1-style 219">
      <tableStyleElement dxfId="1" type="firstRowStripe"/>
      <tableStyleElement dxfId="2" type="secondRowStripe"/>
    </tableStyle>
    <tableStyle count="2" pivot="0" name="Sheet1-style 220">
      <tableStyleElement dxfId="1" type="firstRowStripe"/>
      <tableStyleElement dxfId="2" type="secondRowStripe"/>
    </tableStyle>
    <tableStyle count="2" pivot="0" name="Sheet1-style 221">
      <tableStyleElement dxfId="1" type="firstRowStripe"/>
      <tableStyleElement dxfId="2" type="secondRowStripe"/>
    </tableStyle>
    <tableStyle count="2" pivot="0" name="Sheet1-style 222">
      <tableStyleElement dxfId="1" type="firstRowStripe"/>
      <tableStyleElement dxfId="2" type="secondRowStripe"/>
    </tableStyle>
    <tableStyle count="2" pivot="0" name="Sheet1-style 223">
      <tableStyleElement dxfId="1" type="firstRowStripe"/>
      <tableStyleElement dxfId="2" type="secondRowStripe"/>
    </tableStyle>
    <tableStyle count="2" pivot="0" name="Sheet1-style 224">
      <tableStyleElement dxfId="1" type="firstRowStripe"/>
      <tableStyleElement dxfId="2" type="secondRowStripe"/>
    </tableStyle>
    <tableStyle count="2" pivot="0" name="Sheet1-style 225">
      <tableStyleElement dxfId="1" type="firstRowStripe"/>
      <tableStyleElement dxfId="2" type="secondRowStripe"/>
    </tableStyle>
    <tableStyle count="2" pivot="0" name="Sheet1-style 226">
      <tableStyleElement dxfId="1" type="firstRowStripe"/>
      <tableStyleElement dxfId="2" type="secondRowStripe"/>
    </tableStyle>
    <tableStyle count="2" pivot="0" name="Sheet1-style 227">
      <tableStyleElement dxfId="1" type="firstRowStripe"/>
      <tableStyleElement dxfId="2" type="secondRowStripe"/>
    </tableStyle>
    <tableStyle count="2" pivot="0" name="Sheet1-style 228">
      <tableStyleElement dxfId="1" type="firstRowStripe"/>
      <tableStyleElement dxfId="2" type="secondRowStripe"/>
    </tableStyle>
    <tableStyle count="2" pivot="0" name="Sheet1-style 229">
      <tableStyleElement dxfId="1" type="firstRowStripe"/>
      <tableStyleElement dxfId="2" type="secondRowStripe"/>
    </tableStyle>
    <tableStyle count="2" pivot="0" name="Sheet1-style 230">
      <tableStyleElement dxfId="1" type="firstRowStripe"/>
      <tableStyleElement dxfId="2" type="secondRowStripe"/>
    </tableStyle>
    <tableStyle count="2" pivot="0" name="Sheet1-style 231">
      <tableStyleElement dxfId="1" type="firstRowStripe"/>
      <tableStyleElement dxfId="2" type="secondRowStripe"/>
    </tableStyle>
    <tableStyle count="2" pivot="0" name="Sheet1-style 232">
      <tableStyleElement dxfId="1" type="firstRowStripe"/>
      <tableStyleElement dxfId="2" type="secondRowStripe"/>
    </tableStyle>
    <tableStyle count="2" pivot="0" name="Sheet1-style 233">
      <tableStyleElement dxfId="1" type="firstRowStripe"/>
      <tableStyleElement dxfId="2" type="secondRowStripe"/>
    </tableStyle>
    <tableStyle count="2" pivot="0" name="Sheet1-style 234">
      <tableStyleElement dxfId="1" type="firstRowStripe"/>
      <tableStyleElement dxfId="2" type="secondRowStripe"/>
    </tableStyle>
    <tableStyle count="2" pivot="0" name="Sheet1-style 235">
      <tableStyleElement dxfId="1" type="firstRowStripe"/>
      <tableStyleElement dxfId="2" type="secondRowStripe"/>
    </tableStyle>
    <tableStyle count="2" pivot="0" name="Sheet1-style 236">
      <tableStyleElement dxfId="1" type="firstRowStripe"/>
      <tableStyleElement dxfId="2" type="secondRowStripe"/>
    </tableStyle>
    <tableStyle count="2" pivot="0" name="Sheet1-style 237">
      <tableStyleElement dxfId="1" type="firstRowStripe"/>
      <tableStyleElement dxfId="2" type="secondRowStripe"/>
    </tableStyle>
    <tableStyle count="2" pivot="0" name="Sheet1-style 238">
      <tableStyleElement dxfId="1" type="firstRowStripe"/>
      <tableStyleElement dxfId="2" type="secondRowStripe"/>
    </tableStyle>
    <tableStyle count="2" pivot="0" name="Sheet1-style 239">
      <tableStyleElement dxfId="1" type="firstRowStripe"/>
      <tableStyleElement dxfId="2" type="secondRowStripe"/>
    </tableStyle>
    <tableStyle count="2" pivot="0" name="Sheet1-style 240">
      <tableStyleElement dxfId="1" type="firstRowStripe"/>
      <tableStyleElement dxfId="2" type="secondRowStripe"/>
    </tableStyle>
    <tableStyle count="2" pivot="0" name="Sheet1-style 241">
      <tableStyleElement dxfId="1" type="firstRowStripe"/>
      <tableStyleElement dxfId="2" type="secondRowStripe"/>
    </tableStyle>
    <tableStyle count="2" pivot="0" name="Sheet1-style 242">
      <tableStyleElement dxfId="1" type="firstRowStripe"/>
      <tableStyleElement dxfId="2" type="secondRowStripe"/>
    </tableStyle>
    <tableStyle count="2" pivot="0" name="Sheet1-style 243">
      <tableStyleElement dxfId="1" type="firstRowStripe"/>
      <tableStyleElement dxfId="2" type="secondRowStripe"/>
    </tableStyle>
    <tableStyle count="2" pivot="0" name="Sheet1-style 244">
      <tableStyleElement dxfId="1" type="firstRowStripe"/>
      <tableStyleElement dxfId="2" type="secondRowStripe"/>
    </tableStyle>
    <tableStyle count="2" pivot="0" name="Sheet1-style 245">
      <tableStyleElement dxfId="1" type="firstRowStripe"/>
      <tableStyleElement dxfId="2" type="secondRowStripe"/>
    </tableStyle>
    <tableStyle count="2" pivot="0" name="Sheet1-style 246">
      <tableStyleElement dxfId="1" type="firstRowStripe"/>
      <tableStyleElement dxfId="2" type="secondRowStripe"/>
    </tableStyle>
    <tableStyle count="2" pivot="0" name="Sheet1-style 247">
      <tableStyleElement dxfId="1" type="firstRowStripe"/>
      <tableStyleElement dxfId="2" type="secondRowStripe"/>
    </tableStyle>
    <tableStyle count="2" pivot="0" name="Sheet1-style 248">
      <tableStyleElement dxfId="1" type="firstRowStripe"/>
      <tableStyleElement dxfId="2" type="secondRowStripe"/>
    </tableStyle>
    <tableStyle count="2" pivot="0" name="Sheet1-style 249">
      <tableStyleElement dxfId="1" type="firstRowStripe"/>
      <tableStyleElement dxfId="2" type="secondRowStripe"/>
    </tableStyle>
    <tableStyle count="2" pivot="0" name="Sheet1-style 250">
      <tableStyleElement dxfId="1" type="firstRowStripe"/>
      <tableStyleElement dxfId="2" type="secondRowStripe"/>
    </tableStyle>
    <tableStyle count="2" pivot="0" name="Sheet1-style 251">
      <tableStyleElement dxfId="1" type="firstRowStripe"/>
      <tableStyleElement dxfId="2" type="secondRowStripe"/>
    </tableStyle>
    <tableStyle count="2" pivot="0" name="Sheet1-style 252">
      <tableStyleElement dxfId="1" type="firstRowStripe"/>
      <tableStyleElement dxfId="2" type="secondRowStripe"/>
    </tableStyle>
    <tableStyle count="2" pivot="0" name="Sheet1-style 253">
      <tableStyleElement dxfId="1" type="firstRowStripe"/>
      <tableStyleElement dxfId="2" type="secondRowStripe"/>
    </tableStyle>
    <tableStyle count="2" pivot="0" name="Sheet1-style 254">
      <tableStyleElement dxfId="1" type="firstRowStripe"/>
      <tableStyleElement dxfId="2" type="secondRowStripe"/>
    </tableStyle>
    <tableStyle count="2" pivot="0" name="Sheet1-style 255">
      <tableStyleElement dxfId="1" type="firstRowStripe"/>
      <tableStyleElement dxfId="2" type="secondRowStripe"/>
    </tableStyle>
    <tableStyle count="2" pivot="0" name="Sheet1-style 256">
      <tableStyleElement dxfId="1" type="firstRowStripe"/>
      <tableStyleElement dxfId="2" type="secondRowStripe"/>
    </tableStyle>
    <tableStyle count="2" pivot="0" name="Sheet1-style 257">
      <tableStyleElement dxfId="1" type="firstRowStripe"/>
      <tableStyleElement dxfId="2" type="secondRowStripe"/>
    </tableStyle>
    <tableStyle count="2" pivot="0" name="Sheet1-style 258">
      <tableStyleElement dxfId="1" type="firstRowStripe"/>
      <tableStyleElement dxfId="2" type="secondRowStripe"/>
    </tableStyle>
    <tableStyle count="2" pivot="0" name="Sheet1-style 259">
      <tableStyleElement dxfId="1" type="firstRowStripe"/>
      <tableStyleElement dxfId="2" type="secondRowStripe"/>
    </tableStyle>
    <tableStyle count="2" pivot="0" name="Sheet1-style 260">
      <tableStyleElement dxfId="1" type="firstRowStripe"/>
      <tableStyleElement dxfId="2" type="secondRowStripe"/>
    </tableStyle>
    <tableStyle count="2" pivot="0" name="Sheet1-style 261">
      <tableStyleElement dxfId="1" type="firstRowStripe"/>
      <tableStyleElement dxfId="2" type="secondRowStripe"/>
    </tableStyle>
    <tableStyle count="2" pivot="0" name="Sheet1-style 262">
      <tableStyleElement dxfId="1" type="firstRowStripe"/>
      <tableStyleElement dxfId="2" type="secondRowStripe"/>
    </tableStyle>
    <tableStyle count="2" pivot="0" name="Sheet1-style 263">
      <tableStyleElement dxfId="1" type="firstRowStripe"/>
      <tableStyleElement dxfId="2" type="secondRowStripe"/>
    </tableStyle>
    <tableStyle count="2" pivot="0" name="Sheet1-style 264">
      <tableStyleElement dxfId="1" type="firstRowStripe"/>
      <tableStyleElement dxfId="2" type="secondRowStripe"/>
    </tableStyle>
    <tableStyle count="2" pivot="0" name="Sheet1-style 265">
      <tableStyleElement dxfId="1" type="firstRowStripe"/>
      <tableStyleElement dxfId="2" type="secondRowStripe"/>
    </tableStyle>
    <tableStyle count="2" pivot="0" name="Sheet1-style 266">
      <tableStyleElement dxfId="1" type="firstRowStripe"/>
      <tableStyleElement dxfId="2" type="secondRowStripe"/>
    </tableStyle>
    <tableStyle count="2" pivot="0" name="Sheet1-style 267">
      <tableStyleElement dxfId="1" type="firstRowStripe"/>
      <tableStyleElement dxfId="2" type="secondRowStripe"/>
    </tableStyle>
    <tableStyle count="2" pivot="0" name="Sheet1-style 268">
      <tableStyleElement dxfId="1" type="firstRowStripe"/>
      <tableStyleElement dxfId="2" type="secondRowStripe"/>
    </tableStyle>
    <tableStyle count="2" pivot="0" name="Sheet1-style 269">
      <tableStyleElement dxfId="1" type="firstRowStripe"/>
      <tableStyleElement dxfId="2" type="secondRowStripe"/>
    </tableStyle>
    <tableStyle count="2" pivot="0" name="Sheet1-style 270">
      <tableStyleElement dxfId="1" type="firstRowStripe"/>
      <tableStyleElement dxfId="2" type="secondRowStripe"/>
    </tableStyle>
    <tableStyle count="2" pivot="0" name="Sheet1-style 271">
      <tableStyleElement dxfId="1" type="firstRowStripe"/>
      <tableStyleElement dxfId="2" type="secondRowStripe"/>
    </tableStyle>
    <tableStyle count="2" pivot="0" name="Sheet1-style 272">
      <tableStyleElement dxfId="1" type="firstRowStripe"/>
      <tableStyleElement dxfId="2" type="secondRowStripe"/>
    </tableStyle>
    <tableStyle count="2" pivot="0" name="Sheet1-style 273">
      <tableStyleElement dxfId="1" type="firstRowStripe"/>
      <tableStyleElement dxfId="2" type="secondRowStripe"/>
    </tableStyle>
    <tableStyle count="2" pivot="0" name="Sheet1-style 274">
      <tableStyleElement dxfId="1" type="firstRowStripe"/>
      <tableStyleElement dxfId="2" type="secondRowStripe"/>
    </tableStyle>
    <tableStyle count="2" pivot="0" name="Sheet1-style 275">
      <tableStyleElement dxfId="1" type="firstRowStripe"/>
      <tableStyleElement dxfId="2" type="secondRowStripe"/>
    </tableStyle>
    <tableStyle count="2" pivot="0" name="Sheet1-style 276">
      <tableStyleElement dxfId="1" type="firstRowStripe"/>
      <tableStyleElement dxfId="2" type="secondRowStripe"/>
    </tableStyle>
    <tableStyle count="2" pivot="0" name="Sheet1-style 277">
      <tableStyleElement dxfId="1" type="firstRowStripe"/>
      <tableStyleElement dxfId="2" type="secondRowStripe"/>
    </tableStyle>
    <tableStyle count="2" pivot="0" name="Sheet1-style 278">
      <tableStyleElement dxfId="1" type="firstRowStripe"/>
      <tableStyleElement dxfId="2" type="secondRowStripe"/>
    </tableStyle>
    <tableStyle count="2" pivot="0" name="Sheet1-style 279">
      <tableStyleElement dxfId="1" type="firstRowStripe"/>
      <tableStyleElement dxfId="2" type="secondRowStripe"/>
    </tableStyle>
    <tableStyle count="2" pivot="0" name="Sheet1-style 280">
      <tableStyleElement dxfId="1" type="firstRowStripe"/>
      <tableStyleElement dxfId="2" type="secondRowStripe"/>
    </tableStyle>
    <tableStyle count="2" pivot="0" name="Sheet1-style 281">
      <tableStyleElement dxfId="1" type="firstRowStripe"/>
      <tableStyleElement dxfId="2" type="secondRowStripe"/>
    </tableStyle>
    <tableStyle count="2" pivot="0" name="Sheet1-style 282">
      <tableStyleElement dxfId="1" type="firstRowStripe"/>
      <tableStyleElement dxfId="2" type="secondRowStripe"/>
    </tableStyle>
    <tableStyle count="2" pivot="0" name="Sheet1-style 283">
      <tableStyleElement dxfId="1" type="firstRowStripe"/>
      <tableStyleElement dxfId="2" type="secondRowStripe"/>
    </tableStyle>
    <tableStyle count="2" pivot="0" name="Sheet1-style 284">
      <tableStyleElement dxfId="1" type="firstRowStripe"/>
      <tableStyleElement dxfId="2" type="secondRowStripe"/>
    </tableStyle>
    <tableStyle count="2" pivot="0" name="Sheet1-style 285">
      <tableStyleElement dxfId="1" type="firstRowStripe"/>
      <tableStyleElement dxfId="2" type="secondRowStripe"/>
    </tableStyle>
    <tableStyle count="2" pivot="0" name="Sheet1-style 286">
      <tableStyleElement dxfId="1" type="firstRowStripe"/>
      <tableStyleElement dxfId="2" type="secondRowStripe"/>
    </tableStyle>
    <tableStyle count="2" pivot="0" name="Sheet1-style 287">
      <tableStyleElement dxfId="1" type="firstRowStripe"/>
      <tableStyleElement dxfId="2" type="secondRowStripe"/>
    </tableStyle>
    <tableStyle count="2" pivot="0" name="Sheet1-style 288">
      <tableStyleElement dxfId="1" type="firstRowStripe"/>
      <tableStyleElement dxfId="2" type="secondRowStripe"/>
    </tableStyle>
    <tableStyle count="2" pivot="0" name="Sheet1-style 289">
      <tableStyleElement dxfId="1" type="firstRowStripe"/>
      <tableStyleElement dxfId="2" type="secondRowStripe"/>
    </tableStyle>
    <tableStyle count="2" pivot="0" name="Sheet1-style 290">
      <tableStyleElement dxfId="1" type="firstRowStripe"/>
      <tableStyleElement dxfId="2" type="secondRowStripe"/>
    </tableStyle>
    <tableStyle count="2" pivot="0" name="Sheet1-style 291">
      <tableStyleElement dxfId="1" type="firstRowStripe"/>
      <tableStyleElement dxfId="2" type="secondRowStripe"/>
    </tableStyle>
    <tableStyle count="2" pivot="0" name="Sheet1-style 292">
      <tableStyleElement dxfId="1" type="firstRowStripe"/>
      <tableStyleElement dxfId="2" type="secondRowStripe"/>
    </tableStyle>
    <tableStyle count="2" pivot="0" name="Sheet1-style 293">
      <tableStyleElement dxfId="1" type="firstRowStripe"/>
      <tableStyleElement dxfId="2" type="secondRowStripe"/>
    </tableStyle>
    <tableStyle count="2" pivot="0" name="Sheet1-style 294">
      <tableStyleElement dxfId="1" type="firstRowStripe"/>
      <tableStyleElement dxfId="2" type="secondRowStripe"/>
    </tableStyle>
    <tableStyle count="2" pivot="0" name="Sheet1-style 295">
      <tableStyleElement dxfId="1" type="firstRowStripe"/>
      <tableStyleElement dxfId="2" type="secondRowStripe"/>
    </tableStyle>
    <tableStyle count="2" pivot="0" name="Sheet1-style 296">
      <tableStyleElement dxfId="1" type="firstRowStripe"/>
      <tableStyleElement dxfId="2" type="secondRowStripe"/>
    </tableStyle>
    <tableStyle count="2" pivot="0" name="Sheet1-style 297">
      <tableStyleElement dxfId="1" type="firstRowStripe"/>
      <tableStyleElement dxfId="2" type="secondRowStripe"/>
    </tableStyle>
    <tableStyle count="2" pivot="0" name="Sheet1-style 298">
      <tableStyleElement dxfId="1" type="firstRowStripe"/>
      <tableStyleElement dxfId="2" type="secondRowStripe"/>
    </tableStyle>
    <tableStyle count="2" pivot="0" name="Sheet1-style 299">
      <tableStyleElement dxfId="1" type="firstRowStripe"/>
      <tableStyleElement dxfId="2" type="secondRowStripe"/>
    </tableStyle>
    <tableStyle count="2" pivot="0" name="Sheet1-style 300">
      <tableStyleElement dxfId="1" type="firstRowStripe"/>
      <tableStyleElement dxfId="2" type="secondRowStripe"/>
    </tableStyle>
    <tableStyle count="2" pivot="0" name="Sheet1-style 301">
      <tableStyleElement dxfId="1" type="firstRowStripe"/>
      <tableStyleElement dxfId="2" type="secondRowStripe"/>
    </tableStyle>
    <tableStyle count="2" pivot="0" name="Sheet1-style 302">
      <tableStyleElement dxfId="1" type="firstRowStripe"/>
      <tableStyleElement dxfId="2" type="secondRowStripe"/>
    </tableStyle>
    <tableStyle count="2" pivot="0" name="Sheet1-style 303">
      <tableStyleElement dxfId="1" type="firstRowStripe"/>
      <tableStyleElement dxfId="2" type="secondRowStripe"/>
    </tableStyle>
    <tableStyle count="2" pivot="0" name="Sheet1-style 304">
      <tableStyleElement dxfId="1" type="firstRowStripe"/>
      <tableStyleElement dxfId="2" type="secondRowStripe"/>
    </tableStyle>
    <tableStyle count="2" pivot="0" name="Sheet1-style 305">
      <tableStyleElement dxfId="1" type="firstRowStripe"/>
      <tableStyleElement dxfId="2" type="secondRowStripe"/>
    </tableStyle>
    <tableStyle count="2" pivot="0" name="Sheet1-style 306">
      <tableStyleElement dxfId="1" type="firstRowStripe"/>
      <tableStyleElement dxfId="2" type="secondRowStripe"/>
    </tableStyle>
    <tableStyle count="2" pivot="0" name="Sheet1-style 307">
      <tableStyleElement dxfId="1" type="firstRowStripe"/>
      <tableStyleElement dxfId="2" type="secondRowStripe"/>
    </tableStyle>
    <tableStyle count="2" pivot="0" name="Sheet1-style 308">
      <tableStyleElement dxfId="1" type="firstRowStripe"/>
      <tableStyleElement dxfId="2" type="secondRowStripe"/>
    </tableStyle>
    <tableStyle count="2" pivot="0" name="Sheet1-style 309">
      <tableStyleElement dxfId="1" type="firstRowStripe"/>
      <tableStyleElement dxfId="2" type="secondRowStripe"/>
    </tableStyle>
    <tableStyle count="2" pivot="0" name="Sheet1-style 310">
      <tableStyleElement dxfId="1" type="firstRowStripe"/>
      <tableStyleElement dxfId="2" type="secondRowStripe"/>
    </tableStyle>
    <tableStyle count="2" pivot="0" name="Sheet1-style 311">
      <tableStyleElement dxfId="1" type="firstRowStripe"/>
      <tableStyleElement dxfId="2" type="secondRowStripe"/>
    </tableStyle>
    <tableStyle count="2" pivot="0" name="Sheet1-style 312">
      <tableStyleElement dxfId="1" type="firstRowStripe"/>
      <tableStyleElement dxfId="2" type="secondRowStripe"/>
    </tableStyle>
    <tableStyle count="2" pivot="0" name="Sheet1-style 313">
      <tableStyleElement dxfId="1" type="firstRowStripe"/>
      <tableStyleElement dxfId="2" type="secondRowStripe"/>
    </tableStyle>
    <tableStyle count="2" pivot="0" name="Sheet1-style 314">
      <tableStyleElement dxfId="1" type="firstRowStripe"/>
      <tableStyleElement dxfId="2" type="secondRowStripe"/>
    </tableStyle>
    <tableStyle count="2" pivot="0" name="Sheet1-style 315">
      <tableStyleElement dxfId="1" type="firstRowStripe"/>
      <tableStyleElement dxfId="2" type="secondRowStripe"/>
    </tableStyle>
    <tableStyle count="2" pivot="0" name="Sheet1-style 316">
      <tableStyleElement dxfId="1" type="firstRowStripe"/>
      <tableStyleElement dxfId="2" type="secondRowStripe"/>
    </tableStyle>
    <tableStyle count="2" pivot="0" name="Sheet1-style 317">
      <tableStyleElement dxfId="1" type="firstRowStripe"/>
      <tableStyleElement dxfId="2" type="secondRowStripe"/>
    </tableStyle>
    <tableStyle count="2" pivot="0" name="Sheet1-style 318">
      <tableStyleElement dxfId="1" type="firstRowStripe"/>
      <tableStyleElement dxfId="2" type="secondRowStripe"/>
    </tableStyle>
    <tableStyle count="2" pivot="0" name="Sheet1-style 319">
      <tableStyleElement dxfId="1" type="firstRowStripe"/>
      <tableStyleElement dxfId="2" type="secondRowStripe"/>
    </tableStyle>
    <tableStyle count="2" pivot="0" name="Sheet1-style 320">
      <tableStyleElement dxfId="1" type="firstRowStripe"/>
      <tableStyleElement dxfId="2" type="secondRowStripe"/>
    </tableStyle>
    <tableStyle count="2" pivot="0" name="Sheet1-style 321">
      <tableStyleElement dxfId="1" type="firstRowStripe"/>
      <tableStyleElement dxfId="2" type="secondRowStripe"/>
    </tableStyle>
    <tableStyle count="2" pivot="0" name="Sheet1-style 322">
      <tableStyleElement dxfId="1" type="firstRowStripe"/>
      <tableStyleElement dxfId="2" type="secondRowStripe"/>
    </tableStyle>
    <tableStyle count="2" pivot="0" name="Sheet1-style 323">
      <tableStyleElement dxfId="1" type="firstRowStripe"/>
      <tableStyleElement dxfId="2" type="secondRowStripe"/>
    </tableStyle>
    <tableStyle count="2" pivot="0" name="Sheet1-style 324">
      <tableStyleElement dxfId="1" type="firstRowStripe"/>
      <tableStyleElement dxfId="2" type="secondRowStripe"/>
    </tableStyle>
    <tableStyle count="2" pivot="0" name="Sheet1-style 325">
      <tableStyleElement dxfId="1" type="firstRowStripe"/>
      <tableStyleElement dxfId="2" type="secondRowStripe"/>
    </tableStyle>
    <tableStyle count="2" pivot="0" name="Sheet1-style 326">
      <tableStyleElement dxfId="1" type="firstRowStripe"/>
      <tableStyleElement dxfId="2" type="secondRowStripe"/>
    </tableStyle>
    <tableStyle count="2" pivot="0" name="Sheet1-style 327">
      <tableStyleElement dxfId="1" type="firstRowStripe"/>
      <tableStyleElement dxfId="2" type="secondRowStripe"/>
    </tableStyle>
    <tableStyle count="2" pivot="0" name="Sheet1-style 328">
      <tableStyleElement dxfId="1" type="firstRowStripe"/>
      <tableStyleElement dxfId="2" type="secondRowStripe"/>
    </tableStyle>
    <tableStyle count="2" pivot="0" name="Sheet1-style 329">
      <tableStyleElement dxfId="1" type="firstRowStripe"/>
      <tableStyleElement dxfId="2" type="secondRowStripe"/>
    </tableStyle>
    <tableStyle count="2" pivot="0" name="Sheet1-style 330">
      <tableStyleElement dxfId="1" type="firstRowStripe"/>
      <tableStyleElement dxfId="2" type="secondRowStripe"/>
    </tableStyle>
    <tableStyle count="2" pivot="0" name="Sheet1-style 331">
      <tableStyleElement dxfId="1" type="firstRowStripe"/>
      <tableStyleElement dxfId="2" type="secondRowStripe"/>
    </tableStyle>
    <tableStyle count="2" pivot="0" name="Sheet1-style 332">
      <tableStyleElement dxfId="1" type="firstRowStripe"/>
      <tableStyleElement dxfId="2" type="secondRowStripe"/>
    </tableStyle>
    <tableStyle count="2" pivot="0" name="Sheet1-style 333">
      <tableStyleElement dxfId="1" type="firstRowStripe"/>
      <tableStyleElement dxfId="2" type="secondRowStripe"/>
    </tableStyle>
    <tableStyle count="2" pivot="0" name="Sheet1-style 334">
      <tableStyleElement dxfId="1" type="firstRowStripe"/>
      <tableStyleElement dxfId="2" type="secondRowStripe"/>
    </tableStyle>
    <tableStyle count="2" pivot="0" name="Sheet1-style 335">
      <tableStyleElement dxfId="1" type="firstRowStripe"/>
      <tableStyleElement dxfId="2" type="secondRowStripe"/>
    </tableStyle>
    <tableStyle count="2" pivot="0" name="Sheet1-style 336">
      <tableStyleElement dxfId="1" type="firstRowStripe"/>
      <tableStyleElement dxfId="2" type="secondRowStripe"/>
    </tableStyle>
    <tableStyle count="2" pivot="0" name="Sheet1-style 337">
      <tableStyleElement dxfId="1" type="firstRowStripe"/>
      <tableStyleElement dxfId="2" type="secondRowStripe"/>
    </tableStyle>
    <tableStyle count="2" pivot="0" name="Sheet1-style 338">
      <tableStyleElement dxfId="1" type="firstRowStripe"/>
      <tableStyleElement dxfId="2" type="secondRowStripe"/>
    </tableStyle>
    <tableStyle count="2" pivot="0" name="Sheet1-style 339">
      <tableStyleElement dxfId="1" type="firstRowStripe"/>
      <tableStyleElement dxfId="2" type="secondRowStripe"/>
    </tableStyle>
    <tableStyle count="2" pivot="0" name="Sheet1-style 340">
      <tableStyleElement dxfId="1" type="firstRowStripe"/>
      <tableStyleElement dxfId="2" type="secondRowStripe"/>
    </tableStyle>
    <tableStyle count="2" pivot="0" name="Sheet1-style 341">
      <tableStyleElement dxfId="1" type="firstRowStripe"/>
      <tableStyleElement dxfId="2" type="secondRowStripe"/>
    </tableStyle>
    <tableStyle count="2" pivot="0" name="Sheet1-style 342">
      <tableStyleElement dxfId="1" type="firstRowStripe"/>
      <tableStyleElement dxfId="2" type="secondRowStripe"/>
    </tableStyle>
    <tableStyle count="2" pivot="0" name="Sheet1-style 343">
      <tableStyleElement dxfId="1" type="firstRowStripe"/>
      <tableStyleElement dxfId="2" type="secondRowStripe"/>
    </tableStyle>
    <tableStyle count="2" pivot="0" name="Sheet1-style 344">
      <tableStyleElement dxfId="1" type="firstRowStripe"/>
      <tableStyleElement dxfId="2" type="secondRowStripe"/>
    </tableStyle>
    <tableStyle count="2" pivot="0" name="Sheet1-style 345">
      <tableStyleElement dxfId="1" type="firstRowStripe"/>
      <tableStyleElement dxfId="2" type="secondRowStripe"/>
    </tableStyle>
    <tableStyle count="2" pivot="0" name="Sheet1-style 346">
      <tableStyleElement dxfId="1" type="firstRowStripe"/>
      <tableStyleElement dxfId="2" type="secondRowStripe"/>
    </tableStyle>
    <tableStyle count="2" pivot="0" name="Sheet1-style 347">
      <tableStyleElement dxfId="1" type="firstRowStripe"/>
      <tableStyleElement dxfId="2" type="secondRowStripe"/>
    </tableStyle>
    <tableStyle count="2" pivot="0" name="Sheet1-style 348">
      <tableStyleElement dxfId="1" type="firstRowStripe"/>
      <tableStyleElement dxfId="2" type="secondRowStripe"/>
    </tableStyle>
    <tableStyle count="2" pivot="0" name="Sheet1-style 349">
      <tableStyleElement dxfId="1" type="firstRowStripe"/>
      <tableStyleElement dxfId="2" type="secondRowStripe"/>
    </tableStyle>
    <tableStyle count="2" pivot="0" name="Sheet1-style 350">
      <tableStyleElement dxfId="1" type="firstRowStripe"/>
      <tableStyleElement dxfId="2" type="secondRowStripe"/>
    </tableStyle>
    <tableStyle count="2" pivot="0" name="Sheet1-style 351">
      <tableStyleElement dxfId="1" type="firstRowStripe"/>
      <tableStyleElement dxfId="2" type="secondRowStripe"/>
    </tableStyle>
    <tableStyle count="2" pivot="0" name="Sheet1-style 352">
      <tableStyleElement dxfId="1" type="firstRowStripe"/>
      <tableStyleElement dxfId="2" type="secondRowStripe"/>
    </tableStyle>
    <tableStyle count="2" pivot="0" name="Sheet1-style 353">
      <tableStyleElement dxfId="1" type="firstRowStripe"/>
      <tableStyleElement dxfId="2" type="secondRowStripe"/>
    </tableStyle>
    <tableStyle count="2" pivot="0" name="Sheet1-style 354">
      <tableStyleElement dxfId="1" type="firstRowStripe"/>
      <tableStyleElement dxfId="2" type="secondRowStripe"/>
    </tableStyle>
    <tableStyle count="2" pivot="0" name="Sheet1-style 355">
      <tableStyleElement dxfId="1" type="firstRowStripe"/>
      <tableStyleElement dxfId="2" type="secondRowStripe"/>
    </tableStyle>
    <tableStyle count="2" pivot="0" name="Sheet1-style 356">
      <tableStyleElement dxfId="1" type="firstRowStripe"/>
      <tableStyleElement dxfId="2" type="secondRowStripe"/>
    </tableStyle>
    <tableStyle count="2" pivot="0" name="Sheet1-style 357">
      <tableStyleElement dxfId="1" type="firstRowStripe"/>
      <tableStyleElement dxfId="2" type="secondRowStripe"/>
    </tableStyle>
    <tableStyle count="2" pivot="0" name="Sheet1-style 358">
      <tableStyleElement dxfId="1" type="firstRowStripe"/>
      <tableStyleElement dxfId="2" type="secondRowStripe"/>
    </tableStyle>
    <tableStyle count="2" pivot="0" name="Sheet1-style 359">
      <tableStyleElement dxfId="1" type="firstRowStripe"/>
      <tableStyleElement dxfId="2" type="secondRowStripe"/>
    </tableStyle>
    <tableStyle count="2" pivot="0" name="Sheet1-style 360">
      <tableStyleElement dxfId="1" type="firstRowStripe"/>
      <tableStyleElement dxfId="2" type="secondRowStripe"/>
    </tableStyle>
    <tableStyle count="2" pivot="0" name="Sheet1-style 361">
      <tableStyleElement dxfId="1" type="firstRowStripe"/>
      <tableStyleElement dxfId="2" type="secondRowStripe"/>
    </tableStyle>
    <tableStyle count="2" pivot="0" name="Sheet1-style 362">
      <tableStyleElement dxfId="1" type="firstRowStripe"/>
      <tableStyleElement dxfId="2" type="secondRowStripe"/>
    </tableStyle>
    <tableStyle count="2" pivot="0" name="Sheet1-style 363">
      <tableStyleElement dxfId="1" type="firstRowStripe"/>
      <tableStyleElement dxfId="2" type="secondRowStripe"/>
    </tableStyle>
    <tableStyle count="2" pivot="0" name="Sheet1-style 364">
      <tableStyleElement dxfId="1" type="firstRowStripe"/>
      <tableStyleElement dxfId="2" type="secondRowStripe"/>
    </tableStyle>
    <tableStyle count="2" pivot="0" name="Sheet1-style 365">
      <tableStyleElement dxfId="1" type="firstRowStripe"/>
      <tableStyleElement dxfId="2" type="secondRowStripe"/>
    </tableStyle>
    <tableStyle count="2" pivot="0" name="Sheet1-style 366">
      <tableStyleElement dxfId="1" type="firstRowStripe"/>
      <tableStyleElement dxfId="2" type="secondRowStripe"/>
    </tableStyle>
    <tableStyle count="2" pivot="0" name="Sheet1-style 367">
      <tableStyleElement dxfId="1" type="firstRowStripe"/>
      <tableStyleElement dxfId="2" type="secondRowStripe"/>
    </tableStyle>
    <tableStyle count="2" pivot="0" name="Sheet1-style 368">
      <tableStyleElement dxfId="1" type="firstRowStripe"/>
      <tableStyleElement dxfId="2" type="secondRowStripe"/>
    </tableStyle>
    <tableStyle count="2" pivot="0" name="Sheet1-style 369">
      <tableStyleElement dxfId="1" type="firstRowStripe"/>
      <tableStyleElement dxfId="2" type="secondRowStripe"/>
    </tableStyle>
    <tableStyle count="2" pivot="0" name="Sheet1-style 370">
      <tableStyleElement dxfId="1" type="firstRowStripe"/>
      <tableStyleElement dxfId="2" type="secondRowStripe"/>
    </tableStyle>
    <tableStyle count="2" pivot="0" name="Sheet1-style 371">
      <tableStyleElement dxfId="1" type="firstRowStripe"/>
      <tableStyleElement dxfId="2" type="secondRowStripe"/>
    </tableStyle>
    <tableStyle count="2" pivot="0" name="Sheet1-style 372">
      <tableStyleElement dxfId="1" type="firstRowStripe"/>
      <tableStyleElement dxfId="2" type="secondRowStripe"/>
    </tableStyle>
    <tableStyle count="2" pivot="0" name="Sheet1-style 373">
      <tableStyleElement dxfId="1" type="firstRowStripe"/>
      <tableStyleElement dxfId="2" type="secondRowStripe"/>
    </tableStyle>
    <tableStyle count="2" pivot="0" name="Sheet1-style 374">
      <tableStyleElement dxfId="1" type="firstRowStripe"/>
      <tableStyleElement dxfId="2" type="secondRowStripe"/>
    </tableStyle>
    <tableStyle count="2" pivot="0" name="Sheet1-style 375">
      <tableStyleElement dxfId="1" type="firstRowStripe"/>
      <tableStyleElement dxfId="2" type="secondRowStripe"/>
    </tableStyle>
    <tableStyle count="2" pivot="0" name="Sheet1-style 376">
      <tableStyleElement dxfId="1" type="firstRowStripe"/>
      <tableStyleElement dxfId="2" type="secondRowStripe"/>
    </tableStyle>
    <tableStyle count="2" pivot="0" name="Sheet1-style 377">
      <tableStyleElement dxfId="1" type="firstRowStripe"/>
      <tableStyleElement dxfId="2" type="secondRowStripe"/>
    </tableStyle>
    <tableStyle count="2" pivot="0" name="Sheet1-style 378">
      <tableStyleElement dxfId="1" type="firstRowStripe"/>
      <tableStyleElement dxfId="2" type="secondRowStripe"/>
    </tableStyle>
    <tableStyle count="2" pivot="0" name="Sheet1-style 379">
      <tableStyleElement dxfId="1" type="firstRowStripe"/>
      <tableStyleElement dxfId="2" type="secondRowStripe"/>
    </tableStyle>
    <tableStyle count="2" pivot="0" name="Sheet1-style 380">
      <tableStyleElement dxfId="1" type="firstRowStripe"/>
      <tableStyleElement dxfId="2" type="secondRowStripe"/>
    </tableStyle>
    <tableStyle count="2" pivot="0" name="Sheet1-style 381">
      <tableStyleElement dxfId="1" type="firstRowStripe"/>
      <tableStyleElement dxfId="2" type="secondRowStripe"/>
    </tableStyle>
    <tableStyle count="2" pivot="0" name="Sheet1-style 382">
      <tableStyleElement dxfId="1" type="firstRowStripe"/>
      <tableStyleElement dxfId="2" type="secondRowStripe"/>
    </tableStyle>
    <tableStyle count="2" pivot="0" name="Sheet1-style 383">
      <tableStyleElement dxfId="1" type="firstRowStripe"/>
      <tableStyleElement dxfId="2" type="secondRowStripe"/>
    </tableStyle>
    <tableStyle count="2" pivot="0" name="Sheet1-style 384">
      <tableStyleElement dxfId="1" type="firstRowStripe"/>
      <tableStyleElement dxfId="2" type="secondRowStripe"/>
    </tableStyle>
    <tableStyle count="2" pivot="0" name="Sheet1-style 385">
      <tableStyleElement dxfId="1" type="firstRowStripe"/>
      <tableStyleElement dxfId="2" type="secondRowStripe"/>
    </tableStyle>
    <tableStyle count="2" pivot="0" name="Sheet1-style 386">
      <tableStyleElement dxfId="1" type="firstRowStripe"/>
      <tableStyleElement dxfId="2" type="secondRowStripe"/>
    </tableStyle>
    <tableStyle count="2" pivot="0" name="Sheet1-style 387">
      <tableStyleElement dxfId="1" type="firstRowStripe"/>
      <tableStyleElement dxfId="2" type="secondRowStripe"/>
    </tableStyle>
    <tableStyle count="2" pivot="0" name="Sheet1-style 388">
      <tableStyleElement dxfId="1" type="firstRowStripe"/>
      <tableStyleElement dxfId="2" type="secondRowStripe"/>
    </tableStyle>
    <tableStyle count="2" pivot="0" name="Sheet1-style 389">
      <tableStyleElement dxfId="1" type="firstRowStripe"/>
      <tableStyleElement dxfId="2" type="secondRowStripe"/>
    </tableStyle>
    <tableStyle count="2" pivot="0" name="Sheet1-style 390">
      <tableStyleElement dxfId="1" type="firstRowStripe"/>
      <tableStyleElement dxfId="2" type="secondRowStripe"/>
    </tableStyle>
    <tableStyle count="2" pivot="0" name="Sheet1-style 391">
      <tableStyleElement dxfId="1" type="firstRowStripe"/>
      <tableStyleElement dxfId="2" type="secondRowStripe"/>
    </tableStyle>
    <tableStyle count="2" pivot="0" name="Sheet1-style 392">
      <tableStyleElement dxfId="1" type="firstRowStripe"/>
      <tableStyleElement dxfId="2" type="secondRowStripe"/>
    </tableStyle>
    <tableStyle count="2" pivot="0" name="Sheet1-style 393">
      <tableStyleElement dxfId="1" type="firstRowStripe"/>
      <tableStyleElement dxfId="2" type="secondRowStripe"/>
    </tableStyle>
    <tableStyle count="2" pivot="0" name="Sheet1-style 394">
      <tableStyleElement dxfId="1" type="firstRowStripe"/>
      <tableStyleElement dxfId="2" type="secondRowStripe"/>
    </tableStyle>
    <tableStyle count="2" pivot="0" name="Sheet1-style 395">
      <tableStyleElement dxfId="1" type="firstRowStripe"/>
      <tableStyleElement dxfId="2" type="secondRowStripe"/>
    </tableStyle>
    <tableStyle count="2" pivot="0" name="Sheet1-style 396">
      <tableStyleElement dxfId="1" type="firstRowStripe"/>
      <tableStyleElement dxfId="2" type="secondRowStripe"/>
    </tableStyle>
    <tableStyle count="2" pivot="0" name="Sheet1-style 397">
      <tableStyleElement dxfId="1" type="firstRowStripe"/>
      <tableStyleElement dxfId="2" type="secondRowStripe"/>
    </tableStyle>
    <tableStyle count="2" pivot="0" name="Sheet1-style 398">
      <tableStyleElement dxfId="1" type="firstRowStripe"/>
      <tableStyleElement dxfId="2" type="secondRowStripe"/>
    </tableStyle>
    <tableStyle count="2" pivot="0" name="Sheet1-style 399">
      <tableStyleElement dxfId="1" type="firstRowStripe"/>
      <tableStyleElement dxfId="2" type="secondRowStripe"/>
    </tableStyle>
    <tableStyle count="2" pivot="0" name="Sheet1-style 400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4:E5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B18:E19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32:E33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B46:E47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B60:E61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headerRowCount="0" ref="B75:E76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headerRowCount="0" ref="B89:E90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headerRowCount="0" ref="B104:E105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Sheet1-style 8" showColumnStripes="0" showFirstColumn="1" showLastColumn="1" showRowStripes="1"/>
</table>
</file>

<file path=xl/tables/table9.xml><?xml version="1.0" encoding="utf-8"?>
<table xmlns="http://schemas.openxmlformats.org/spreadsheetml/2006/main" headerRowCount="0" ref="B117:E118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Sheet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131:E132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Sheet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B145:E146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Sheet1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B158:E159" displayName="Table_12" name="Table_12" id="12">
  <tableColumns count="4">
    <tableColumn name="Column1" id="1"/>
    <tableColumn name="Column2" id="2"/>
    <tableColumn name="Column3" id="3"/>
    <tableColumn name="Column4" id="4"/>
  </tableColumns>
  <tableStyleInfo name="Sheet1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B172:E173" displayName="Table_13" name="Table_13" id="13">
  <tableColumns count="4">
    <tableColumn name="Column1" id="1"/>
    <tableColumn name="Column2" id="2"/>
    <tableColumn name="Column3" id="3"/>
    <tableColumn name="Column4" id="4"/>
  </tableColumns>
  <tableStyleInfo name="Sheet1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B187:E188" displayName="Table_14" name="Table_14" id="14">
  <tableColumns count="4">
    <tableColumn name="Column1" id="1"/>
    <tableColumn name="Column2" id="2"/>
    <tableColumn name="Column3" id="3"/>
    <tableColumn name="Column4" id="4"/>
  </tableColumns>
  <tableStyleInfo name="Sheet1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B203:E204" displayName="Table_15" name="Table_15" id="15">
  <tableColumns count="4">
    <tableColumn name="Column1" id="1"/>
    <tableColumn name="Column2" id="2"/>
    <tableColumn name="Column3" id="3"/>
    <tableColumn name="Column4" id="4"/>
  </tableColumns>
  <tableStyleInfo name="Sheet1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B218:E219" displayName="Table_16" name="Table_16" id="16">
  <tableColumns count="4">
    <tableColumn name="Column1" id="1"/>
    <tableColumn name="Column2" id="2"/>
    <tableColumn name="Column3" id="3"/>
    <tableColumn name="Column4" id="4"/>
  </tableColumns>
  <tableStyleInfo name="Sheet1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B234:E235" displayName="Table_17" name="Table_17" id="17">
  <tableColumns count="4">
    <tableColumn name="Column1" id="1"/>
    <tableColumn name="Column2" id="2"/>
    <tableColumn name="Column3" id="3"/>
    <tableColumn name="Column4" id="4"/>
  </tableColumns>
  <tableStyleInfo name="Sheet1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B249:E250" displayName="Table_18" name="Table_18" id="18">
  <tableColumns count="4">
    <tableColumn name="Column1" id="1"/>
    <tableColumn name="Column2" id="2"/>
    <tableColumn name="Column3" id="3"/>
    <tableColumn name="Column4" id="4"/>
  </tableColumns>
  <tableStyleInfo name="Sheet1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B263:E264" displayName="Table_19" name="Table_19" id="19">
  <tableColumns count="4">
    <tableColumn name="Column1" id="1"/>
    <tableColumn name="Column2" id="2"/>
    <tableColumn name="Column3" id="3"/>
    <tableColumn name="Column4" id="4"/>
  </tableColumns>
  <tableStyleInfo name="Sheet1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B278:E279" displayName="Table_20" name="Table_20" id="20">
  <tableColumns count="4">
    <tableColumn name="Column1" id="1"/>
    <tableColumn name="Column2" id="2"/>
    <tableColumn name="Column3" id="3"/>
    <tableColumn name="Column4" id="4"/>
  </tableColumns>
  <tableStyleInfo name="Sheet1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B294:E295" displayName="Table_21" name="Table_21" id="21">
  <tableColumns count="4">
    <tableColumn name="Column1" id="1"/>
    <tableColumn name="Column2" id="2"/>
    <tableColumn name="Column3" id="3"/>
    <tableColumn name="Column4" id="4"/>
  </tableColumns>
  <tableStyleInfo name="Sheet1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B308:E309" displayName="Table_22" name="Table_22" id="22">
  <tableColumns count="4">
    <tableColumn name="Column1" id="1"/>
    <tableColumn name="Column2" id="2"/>
    <tableColumn name="Column3" id="3"/>
    <tableColumn name="Column4" id="4"/>
  </tableColumns>
  <tableStyleInfo name="Sheet1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B323:E324" displayName="Table_23" name="Table_23" id="23">
  <tableColumns count="4">
    <tableColumn name="Column1" id="1"/>
    <tableColumn name="Column2" id="2"/>
    <tableColumn name="Column3" id="3"/>
    <tableColumn name="Column4" id="4"/>
  </tableColumns>
  <tableStyleInfo name="Sheet1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B339:E340" displayName="Table_24" name="Table_24" id="24">
  <tableColumns count="4">
    <tableColumn name="Column1" id="1"/>
    <tableColumn name="Column2" id="2"/>
    <tableColumn name="Column3" id="3"/>
    <tableColumn name="Column4" id="4"/>
  </tableColumns>
  <tableStyleInfo name="Sheet1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B354:E355" displayName="Table_25" name="Table_25" id="25">
  <tableColumns count="4">
    <tableColumn name="Column1" id="1"/>
    <tableColumn name="Column2" id="2"/>
    <tableColumn name="Column3" id="3"/>
    <tableColumn name="Column4" id="4"/>
  </tableColumns>
  <tableStyleInfo name="Sheet1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B370:E371" displayName="Table_26" name="Table_26" id="26">
  <tableColumns count="4">
    <tableColumn name="Column1" id="1"/>
    <tableColumn name="Column2" id="2"/>
    <tableColumn name="Column3" id="3"/>
    <tableColumn name="Column4" id="4"/>
  </tableColumns>
  <tableStyleInfo name="Sheet1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B385:E386" displayName="Table_27" name="Table_27" id="27">
  <tableColumns count="4">
    <tableColumn name="Column1" id="1"/>
    <tableColumn name="Column2" id="2"/>
    <tableColumn name="Column3" id="3"/>
    <tableColumn name="Column4" id="4"/>
  </tableColumns>
  <tableStyleInfo name="Sheet1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B400:E401" displayName="Table_28" name="Table_28" id="28">
  <tableColumns count="4">
    <tableColumn name="Column1" id="1"/>
    <tableColumn name="Column2" id="2"/>
    <tableColumn name="Column3" id="3"/>
    <tableColumn name="Column4" id="4"/>
  </tableColumns>
  <tableStyleInfo name="Sheet1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B414:E415" displayName="Table_29" name="Table_29" id="29">
  <tableColumns count="4">
    <tableColumn name="Column1" id="1"/>
    <tableColumn name="Column2" id="2"/>
    <tableColumn name="Column3" id="3"/>
    <tableColumn name="Column4" id="4"/>
  </tableColumns>
  <tableStyleInfo name="Sheet1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B430:E431" displayName="Table_30" name="Table_30" id="30">
  <tableColumns count="4">
    <tableColumn name="Column1" id="1"/>
    <tableColumn name="Column2" id="2"/>
    <tableColumn name="Column3" id="3"/>
    <tableColumn name="Column4" id="4"/>
  </tableColumns>
  <tableStyleInfo name="Sheet1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B445:E446" displayName="Table_31" name="Table_31" id="31">
  <tableColumns count="4">
    <tableColumn name="Column1" id="1"/>
    <tableColumn name="Column2" id="2"/>
    <tableColumn name="Column3" id="3"/>
    <tableColumn name="Column4" id="4"/>
  </tableColumns>
  <tableStyleInfo name="Sheet1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B460:E461" displayName="Table_32" name="Table_32" id="32">
  <tableColumns count="4">
    <tableColumn name="Column1" id="1"/>
    <tableColumn name="Column2" id="2"/>
    <tableColumn name="Column3" id="3"/>
    <tableColumn name="Column4" id="4"/>
  </tableColumns>
  <tableStyleInfo name="Sheet1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B474:E475" displayName="Table_33" name="Table_33" id="33">
  <tableColumns count="4">
    <tableColumn name="Column1" id="1"/>
    <tableColumn name="Column2" id="2"/>
    <tableColumn name="Column3" id="3"/>
    <tableColumn name="Column4" id="4"/>
  </tableColumns>
  <tableStyleInfo name="Sheet1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B490:E491" displayName="Table_34" name="Table_34" id="34">
  <tableColumns count="4">
    <tableColumn name="Column1" id="1"/>
    <tableColumn name="Column2" id="2"/>
    <tableColumn name="Column3" id="3"/>
    <tableColumn name="Column4" id="4"/>
  </tableColumns>
  <tableStyleInfo name="Sheet1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B506:E507" displayName="Table_35" name="Table_35" id="35">
  <tableColumns count="4">
    <tableColumn name="Column1" id="1"/>
    <tableColumn name="Column2" id="2"/>
    <tableColumn name="Column3" id="3"/>
    <tableColumn name="Column4" id="4"/>
  </tableColumns>
  <tableStyleInfo name="Sheet1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B523:E524" displayName="Table_36" name="Table_36" id="36">
  <tableColumns count="4">
    <tableColumn name="Column1" id="1"/>
    <tableColumn name="Column2" id="2"/>
    <tableColumn name="Column3" id="3"/>
    <tableColumn name="Column4" id="4"/>
  </tableColumns>
  <tableStyleInfo name="Sheet1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B539:E540" displayName="Table_37" name="Table_37" id="37">
  <tableColumns count="4">
    <tableColumn name="Column1" id="1"/>
    <tableColumn name="Column2" id="2"/>
    <tableColumn name="Column3" id="3"/>
    <tableColumn name="Column4" id="4"/>
  </tableColumns>
  <tableStyleInfo name="Sheet1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B557:E558" displayName="Table_38" name="Table_38" id="38">
  <tableColumns count="4">
    <tableColumn name="Column1" id="1"/>
    <tableColumn name="Column2" id="2"/>
    <tableColumn name="Column3" id="3"/>
    <tableColumn name="Column4" id="4"/>
  </tableColumns>
  <tableStyleInfo name="Sheet1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B574:E575" displayName="Table_39" name="Table_39" id="39">
  <tableColumns count="4">
    <tableColumn name="Column1" id="1"/>
    <tableColumn name="Column2" id="2"/>
    <tableColumn name="Column3" id="3"/>
    <tableColumn name="Column4" id="4"/>
  </tableColumns>
  <tableStyleInfo name="Sheet1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B591:E592" displayName="Table_40" name="Table_40" id="40">
  <tableColumns count="4">
    <tableColumn name="Column1" id="1"/>
    <tableColumn name="Column2" id="2"/>
    <tableColumn name="Column3" id="3"/>
    <tableColumn name="Column4" id="4"/>
  </tableColumns>
  <tableStyleInfo name="Sheet1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B604:E605" displayName="Table_41" name="Table_41" id="41">
  <tableColumns count="4">
    <tableColumn name="Column1" id="1"/>
    <tableColumn name="Column2" id="2"/>
    <tableColumn name="Column3" id="3"/>
    <tableColumn name="Column4" id="4"/>
  </tableColumns>
  <tableStyleInfo name="Sheet1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B618:E619" displayName="Table_42" name="Table_42" id="42">
  <tableColumns count="4">
    <tableColumn name="Column1" id="1"/>
    <tableColumn name="Column2" id="2"/>
    <tableColumn name="Column3" id="3"/>
    <tableColumn name="Column4" id="4"/>
  </tableColumns>
  <tableStyleInfo name="Sheet1-style 42" showColumnStripes="0" showFirstColumn="1" showLastColumn="1" showRowStripes="1"/>
</table>
</file>

<file path=xl/tables/table43.xml><?xml version="1.0" encoding="utf-8"?>
<table xmlns="http://schemas.openxmlformats.org/spreadsheetml/2006/main" headerRowCount="0" ref="B631:E632" displayName="Table_43" name="Table_43" id="43">
  <tableColumns count="4">
    <tableColumn name="Column1" id="1"/>
    <tableColumn name="Column2" id="2"/>
    <tableColumn name="Column3" id="3"/>
    <tableColumn name="Column4" id="4"/>
  </tableColumns>
  <tableStyleInfo name="Sheet1-style 43" showColumnStripes="0" showFirstColumn="1" showLastColumn="1" showRowStripes="1"/>
</table>
</file>

<file path=xl/tables/table44.xml><?xml version="1.0" encoding="utf-8"?>
<table xmlns="http://schemas.openxmlformats.org/spreadsheetml/2006/main" headerRowCount="0" ref="B646:E647" displayName="Table_44" name="Table_44" id="44">
  <tableColumns count="4">
    <tableColumn name="Column1" id="1"/>
    <tableColumn name="Column2" id="2"/>
    <tableColumn name="Column3" id="3"/>
    <tableColumn name="Column4" id="4"/>
  </tableColumns>
  <tableStyleInfo name="Sheet1-style 44" showColumnStripes="0" showFirstColumn="1" showLastColumn="1" showRowStripes="1"/>
</table>
</file>

<file path=xl/tables/table45.xml><?xml version="1.0" encoding="utf-8"?>
<table xmlns="http://schemas.openxmlformats.org/spreadsheetml/2006/main" headerRowCount="0" ref="B662:E663" displayName="Table_45" name="Table_45" id="45">
  <tableColumns count="4">
    <tableColumn name="Column1" id="1"/>
    <tableColumn name="Column2" id="2"/>
    <tableColumn name="Column3" id="3"/>
    <tableColumn name="Column4" id="4"/>
  </tableColumns>
  <tableStyleInfo name="Sheet1-style 45" showColumnStripes="0" showFirstColumn="1" showLastColumn="1" showRowStripes="1"/>
</table>
</file>

<file path=xl/tables/table46.xml><?xml version="1.0" encoding="utf-8"?>
<table xmlns="http://schemas.openxmlformats.org/spreadsheetml/2006/main" headerRowCount="0" ref="B678:E679" displayName="Table_46" name="Table_46" id="46">
  <tableColumns count="4">
    <tableColumn name="Column1" id="1"/>
    <tableColumn name="Column2" id="2"/>
    <tableColumn name="Column3" id="3"/>
    <tableColumn name="Column4" id="4"/>
  </tableColumns>
  <tableStyleInfo name="Sheet1-style 46" showColumnStripes="0" showFirstColumn="1" showLastColumn="1" showRowStripes="1"/>
</table>
</file>

<file path=xl/tables/table47.xml><?xml version="1.0" encoding="utf-8"?>
<table xmlns="http://schemas.openxmlformats.org/spreadsheetml/2006/main" headerRowCount="0" ref="B694:E695" displayName="Table_47" name="Table_47" id="47">
  <tableColumns count="4">
    <tableColumn name="Column1" id="1"/>
    <tableColumn name="Column2" id="2"/>
    <tableColumn name="Column3" id="3"/>
    <tableColumn name="Column4" id="4"/>
  </tableColumns>
  <tableStyleInfo name="Sheet1-style 47" showColumnStripes="0" showFirstColumn="1" showLastColumn="1" showRowStripes="1"/>
</table>
</file>

<file path=xl/tables/table48.xml><?xml version="1.0" encoding="utf-8"?>
<table xmlns="http://schemas.openxmlformats.org/spreadsheetml/2006/main" headerRowCount="0" ref="B709:E710" displayName="Table_48" name="Table_48" id="48">
  <tableColumns count="4">
    <tableColumn name="Column1" id="1"/>
    <tableColumn name="Column2" id="2"/>
    <tableColumn name="Column3" id="3"/>
    <tableColumn name="Column4" id="4"/>
  </tableColumns>
  <tableStyleInfo name="Sheet1-style 48" showColumnStripes="0" showFirstColumn="1" showLastColumn="1" showRowStripes="1"/>
</table>
</file>

<file path=xl/tables/table49.xml><?xml version="1.0" encoding="utf-8"?>
<table xmlns="http://schemas.openxmlformats.org/spreadsheetml/2006/main" headerRowCount="0" ref="B723:E724" displayName="Table_49" name="Table_49" id="49">
  <tableColumns count="4">
    <tableColumn name="Column1" id="1"/>
    <tableColumn name="Column2" id="2"/>
    <tableColumn name="Column3" id="3"/>
    <tableColumn name="Column4" id="4"/>
  </tableColumns>
  <tableStyleInfo name="Sheet1-style 49" showColumnStripes="0" showFirstColumn="1" showLastColumn="1" showRowStripes="1"/>
</table>
</file>

<file path=xl/tables/table50.xml><?xml version="1.0" encoding="utf-8"?>
<table xmlns="http://schemas.openxmlformats.org/spreadsheetml/2006/main" headerRowCount="0" ref="B737:E738" displayName="Table_50" name="Table_50" id="50">
  <tableColumns count="4">
    <tableColumn name="Column1" id="1"/>
    <tableColumn name="Column2" id="2"/>
    <tableColumn name="Column3" id="3"/>
    <tableColumn name="Column4" id="4"/>
  </tableColumns>
  <tableStyleInfo name="Sheet1-style 50" showColumnStripes="0" showFirstColumn="1" showLastColumn="1" showRowStripes="1"/>
</table>
</file>

<file path=xl/tables/table51.xml><?xml version="1.0" encoding="utf-8"?>
<table xmlns="http://schemas.openxmlformats.org/spreadsheetml/2006/main" headerRowCount="0" ref="B753:E754" displayName="Table_51" name="Table_51" id="51">
  <tableColumns count="4">
    <tableColumn name="Column1" id="1"/>
    <tableColumn name="Column2" id="2"/>
    <tableColumn name="Column3" id="3"/>
    <tableColumn name="Column4" id="4"/>
  </tableColumns>
  <tableStyleInfo name="Sheet1-style 51" showColumnStripes="0" showFirstColumn="1" showLastColumn="1" showRowStripes="1"/>
</table>
</file>

<file path=xl/tables/table52.xml><?xml version="1.0" encoding="utf-8"?>
<table xmlns="http://schemas.openxmlformats.org/spreadsheetml/2006/main" headerRowCount="0" ref="B768:E769" displayName="Table_52" name="Table_52" id="52">
  <tableColumns count="4">
    <tableColumn name="Column1" id="1"/>
    <tableColumn name="Column2" id="2"/>
    <tableColumn name="Column3" id="3"/>
    <tableColumn name="Column4" id="4"/>
  </tableColumns>
  <tableStyleInfo name="Sheet1-style 52" showColumnStripes="0" showFirstColumn="1" showLastColumn="1" showRowStripes="1"/>
</table>
</file>

<file path=xl/tables/table53.xml><?xml version="1.0" encoding="utf-8"?>
<table xmlns="http://schemas.openxmlformats.org/spreadsheetml/2006/main" headerRowCount="0" ref="B783:E784" displayName="Table_53" name="Table_53" id="53">
  <tableColumns count="4">
    <tableColumn name="Column1" id="1"/>
    <tableColumn name="Column2" id="2"/>
    <tableColumn name="Column3" id="3"/>
    <tableColumn name="Column4" id="4"/>
  </tableColumns>
  <tableStyleInfo name="Sheet1-style 53" showColumnStripes="0" showFirstColumn="1" showLastColumn="1" showRowStripes="1"/>
</table>
</file>

<file path=xl/tables/table54.xml><?xml version="1.0" encoding="utf-8"?>
<table xmlns="http://schemas.openxmlformats.org/spreadsheetml/2006/main" headerRowCount="0" ref="B798:E799" displayName="Table_54" name="Table_54" id="54">
  <tableColumns count="4">
    <tableColumn name="Column1" id="1"/>
    <tableColumn name="Column2" id="2"/>
    <tableColumn name="Column3" id="3"/>
    <tableColumn name="Column4" id="4"/>
  </tableColumns>
  <tableStyleInfo name="Sheet1-style 54" showColumnStripes="0" showFirstColumn="1" showLastColumn="1" showRowStripes="1"/>
</table>
</file>

<file path=xl/tables/table55.xml><?xml version="1.0" encoding="utf-8"?>
<table xmlns="http://schemas.openxmlformats.org/spreadsheetml/2006/main" headerRowCount="0" ref="B813:E814" displayName="Table_55" name="Table_55" id="55">
  <tableColumns count="4">
    <tableColumn name="Column1" id="1"/>
    <tableColumn name="Column2" id="2"/>
    <tableColumn name="Column3" id="3"/>
    <tableColumn name="Column4" id="4"/>
  </tableColumns>
  <tableStyleInfo name="Sheet1-style 55" showColumnStripes="0" showFirstColumn="1" showLastColumn="1" showRowStripes="1"/>
</table>
</file>

<file path=xl/tables/table56.xml><?xml version="1.0" encoding="utf-8"?>
<table xmlns="http://schemas.openxmlformats.org/spreadsheetml/2006/main" headerRowCount="0" ref="B828:E829" displayName="Table_56" name="Table_56" id="56">
  <tableColumns count="4">
    <tableColumn name="Column1" id="1"/>
    <tableColumn name="Column2" id="2"/>
    <tableColumn name="Column3" id="3"/>
    <tableColumn name="Column4" id="4"/>
  </tableColumns>
  <tableStyleInfo name="Sheet1-style 56" showColumnStripes="0" showFirstColumn="1" showLastColumn="1" showRowStripes="1"/>
</table>
</file>

<file path=xl/tables/table57.xml><?xml version="1.0" encoding="utf-8"?>
<table xmlns="http://schemas.openxmlformats.org/spreadsheetml/2006/main" headerRowCount="0" ref="B844:E845" displayName="Table_57" name="Table_57" id="57">
  <tableColumns count="4">
    <tableColumn name="Column1" id="1"/>
    <tableColumn name="Column2" id="2"/>
    <tableColumn name="Column3" id="3"/>
    <tableColumn name="Column4" id="4"/>
  </tableColumns>
  <tableStyleInfo name="Sheet1-style 57" showColumnStripes="0" showFirstColumn="1" showLastColumn="1" showRowStripes="1"/>
</table>
</file>

<file path=xl/tables/table58.xml><?xml version="1.0" encoding="utf-8"?>
<table xmlns="http://schemas.openxmlformats.org/spreadsheetml/2006/main" headerRowCount="0" ref="B858:E859" displayName="Table_58" name="Table_58" id="58">
  <tableColumns count="4">
    <tableColumn name="Column1" id="1"/>
    <tableColumn name="Column2" id="2"/>
    <tableColumn name="Column3" id="3"/>
    <tableColumn name="Column4" id="4"/>
  </tableColumns>
  <tableStyleInfo name="Sheet1-style 58" showColumnStripes="0" showFirstColumn="1" showLastColumn="1" showRowStripes="1"/>
</table>
</file>

<file path=xl/tables/table59.xml><?xml version="1.0" encoding="utf-8"?>
<table xmlns="http://schemas.openxmlformats.org/spreadsheetml/2006/main" headerRowCount="0" ref="B873:E874" displayName="Table_59" name="Table_59" id="59">
  <tableColumns count="4">
    <tableColumn name="Column1" id="1"/>
    <tableColumn name="Column2" id="2"/>
    <tableColumn name="Column3" id="3"/>
    <tableColumn name="Column4" id="4"/>
  </tableColumns>
  <tableStyleInfo name="Sheet1-style 59" showColumnStripes="0" showFirstColumn="1" showLastColumn="1" showRowStripes="1"/>
</table>
</file>

<file path=xl/tables/table60.xml><?xml version="1.0" encoding="utf-8"?>
<table xmlns="http://schemas.openxmlformats.org/spreadsheetml/2006/main" headerRowCount="0" ref="B887:E888" displayName="Table_60" name="Table_60" id="60">
  <tableColumns count="4">
    <tableColumn name="Column1" id="1"/>
    <tableColumn name="Column2" id="2"/>
    <tableColumn name="Column3" id="3"/>
    <tableColumn name="Column4" id="4"/>
  </tableColumns>
  <tableStyleInfo name="Sheet1-style 60" showColumnStripes="0" showFirstColumn="1" showLastColumn="1" showRowStripes="1"/>
</table>
</file>

<file path=xl/tables/table61.xml><?xml version="1.0" encoding="utf-8"?>
<table xmlns="http://schemas.openxmlformats.org/spreadsheetml/2006/main" headerRowCount="0" ref="B901:E902" displayName="Table_61" name="Table_61" id="61">
  <tableColumns count="4">
    <tableColumn name="Column1" id="1"/>
    <tableColumn name="Column2" id="2"/>
    <tableColumn name="Column3" id="3"/>
    <tableColumn name="Column4" id="4"/>
  </tableColumns>
  <tableStyleInfo name="Sheet1-style 61" showColumnStripes="0" showFirstColumn="1" showLastColumn="1" showRowStripes="1"/>
</table>
</file>

<file path=xl/tables/table62.xml><?xml version="1.0" encoding="utf-8"?>
<table xmlns="http://schemas.openxmlformats.org/spreadsheetml/2006/main" headerRowCount="0" ref="B916:E917" displayName="Table_62" name="Table_62" id="62">
  <tableColumns count="4">
    <tableColumn name="Column1" id="1"/>
    <tableColumn name="Column2" id="2"/>
    <tableColumn name="Column3" id="3"/>
    <tableColumn name="Column4" id="4"/>
  </tableColumns>
  <tableStyleInfo name="Sheet1-style 62" showColumnStripes="0" showFirstColumn="1" showLastColumn="1" showRowStripes="1"/>
</table>
</file>

<file path=xl/tables/table63.xml><?xml version="1.0" encoding="utf-8"?>
<table xmlns="http://schemas.openxmlformats.org/spreadsheetml/2006/main" headerRowCount="0" ref="B931:E932" displayName="Table_63" name="Table_63" id="63">
  <tableColumns count="4">
    <tableColumn name="Column1" id="1"/>
    <tableColumn name="Column2" id="2"/>
    <tableColumn name="Column3" id="3"/>
    <tableColumn name="Column4" id="4"/>
  </tableColumns>
  <tableStyleInfo name="Sheet1-style 63" showColumnStripes="0" showFirstColumn="1" showLastColumn="1" showRowStripes="1"/>
</table>
</file>

<file path=xl/tables/table64.xml><?xml version="1.0" encoding="utf-8"?>
<table xmlns="http://schemas.openxmlformats.org/spreadsheetml/2006/main" headerRowCount="0" ref="B947:E948" displayName="Table_64" name="Table_64" id="64">
  <tableColumns count="4">
    <tableColumn name="Column1" id="1"/>
    <tableColumn name="Column2" id="2"/>
    <tableColumn name="Column3" id="3"/>
    <tableColumn name="Column4" id="4"/>
  </tableColumns>
  <tableStyleInfo name="Sheet1-style 64" showColumnStripes="0" showFirstColumn="1" showLastColumn="1" showRowStripes="1"/>
</table>
</file>

<file path=xl/tables/table65.xml><?xml version="1.0" encoding="utf-8"?>
<table xmlns="http://schemas.openxmlformats.org/spreadsheetml/2006/main" headerRowCount="0" ref="B964:E965" displayName="Table_65" name="Table_65" id="65">
  <tableColumns count="4">
    <tableColumn name="Column1" id="1"/>
    <tableColumn name="Column2" id="2"/>
    <tableColumn name="Column3" id="3"/>
    <tableColumn name="Column4" id="4"/>
  </tableColumns>
  <tableStyleInfo name="Sheet1-style 65" showColumnStripes="0" showFirstColumn="1" showLastColumn="1" showRowStripes="1"/>
</table>
</file>

<file path=xl/tables/table66.xml><?xml version="1.0" encoding="utf-8"?>
<table xmlns="http://schemas.openxmlformats.org/spreadsheetml/2006/main" headerRowCount="0" ref="B979:E980" displayName="Table_66" name="Table_66" id="66">
  <tableColumns count="4">
    <tableColumn name="Column1" id="1"/>
    <tableColumn name="Column2" id="2"/>
    <tableColumn name="Column3" id="3"/>
    <tableColumn name="Column4" id="4"/>
  </tableColumns>
  <tableStyleInfo name="Sheet1-style 66" showColumnStripes="0" showFirstColumn="1" showLastColumn="1" showRowStripes="1"/>
</table>
</file>

<file path=xl/tables/table67.xml><?xml version="1.0" encoding="utf-8"?>
<table xmlns="http://schemas.openxmlformats.org/spreadsheetml/2006/main" headerRowCount="0" ref="B995:E996" displayName="Table_67" name="Table_67" id="67">
  <tableColumns count="4">
    <tableColumn name="Column1" id="1"/>
    <tableColumn name="Column2" id="2"/>
    <tableColumn name="Column3" id="3"/>
    <tableColumn name="Column4" id="4"/>
  </tableColumns>
  <tableStyleInfo name="Sheet1-style 67" showColumnStripes="0" showFirstColumn="1" showLastColumn="1" showRowStripes="1"/>
</table>
</file>

<file path=xl/tables/table68.xml><?xml version="1.0" encoding="utf-8"?>
<table xmlns="http://schemas.openxmlformats.org/spreadsheetml/2006/main" headerRowCount="0" ref="B1012:E1013" displayName="Table_68" name="Table_68" id="68">
  <tableColumns count="4">
    <tableColumn name="Column1" id="1"/>
    <tableColumn name="Column2" id="2"/>
    <tableColumn name="Column3" id="3"/>
    <tableColumn name="Column4" id="4"/>
  </tableColumns>
  <tableStyleInfo name="Sheet1-style 68" showColumnStripes="0" showFirstColumn="1" showLastColumn="1" showRowStripes="1"/>
</table>
</file>

<file path=xl/tables/table69.xml><?xml version="1.0" encoding="utf-8"?>
<table xmlns="http://schemas.openxmlformats.org/spreadsheetml/2006/main" headerRowCount="0" ref="B1029:E1030" displayName="Table_69" name="Table_69" id="69">
  <tableColumns count="4">
    <tableColumn name="Column1" id="1"/>
    <tableColumn name="Column2" id="2"/>
    <tableColumn name="Column3" id="3"/>
    <tableColumn name="Column4" id="4"/>
  </tableColumns>
  <tableStyleInfo name="Sheet1-style 69" showColumnStripes="0" showFirstColumn="1" showLastColumn="1" showRowStripes="1"/>
</table>
</file>

<file path=xl/tables/table70.xml><?xml version="1.0" encoding="utf-8"?>
<table xmlns="http://schemas.openxmlformats.org/spreadsheetml/2006/main" headerRowCount="0" ref="B1044:E1045" displayName="Table_70" name="Table_70" id="70">
  <tableColumns count="4">
    <tableColumn name="Column1" id="1"/>
    <tableColumn name="Column2" id="2"/>
    <tableColumn name="Column3" id="3"/>
    <tableColumn name="Column4" id="4"/>
  </tableColumns>
  <tableStyleInfo name="Sheet1-style 70" showColumnStripes="0" showFirstColumn="1" showLastColumn="1" showRowStripes="1"/>
</table>
</file>

<file path=xl/tables/table71.xml><?xml version="1.0" encoding="utf-8"?>
<table xmlns="http://schemas.openxmlformats.org/spreadsheetml/2006/main" headerRowCount="0" ref="B1059:E1060" displayName="Table_71" name="Table_71" id="71">
  <tableColumns count="4">
    <tableColumn name="Column1" id="1"/>
    <tableColumn name="Column2" id="2"/>
    <tableColumn name="Column3" id="3"/>
    <tableColumn name="Column4" id="4"/>
  </tableColumns>
  <tableStyleInfo name="Sheet1-style 71" showColumnStripes="0" showFirstColumn="1" showLastColumn="1" showRowStripes="1"/>
</table>
</file>

<file path=xl/tables/table72.xml><?xml version="1.0" encoding="utf-8"?>
<table xmlns="http://schemas.openxmlformats.org/spreadsheetml/2006/main" headerRowCount="0" ref="B1073:E1074" displayName="Table_72" name="Table_72" id="72">
  <tableColumns count="4">
    <tableColumn name="Column1" id="1"/>
    <tableColumn name="Column2" id="2"/>
    <tableColumn name="Column3" id="3"/>
    <tableColumn name="Column4" id="4"/>
  </tableColumns>
  <tableStyleInfo name="Sheet1-style 72" showColumnStripes="0" showFirstColumn="1" showLastColumn="1" showRowStripes="1"/>
</table>
</file>

<file path=xl/tables/table73.xml><?xml version="1.0" encoding="utf-8"?>
<table xmlns="http://schemas.openxmlformats.org/spreadsheetml/2006/main" headerRowCount="0" ref="B1088:E1089" displayName="Table_73" name="Table_73" id="73">
  <tableColumns count="4">
    <tableColumn name="Column1" id="1"/>
    <tableColumn name="Column2" id="2"/>
    <tableColumn name="Column3" id="3"/>
    <tableColumn name="Column4" id="4"/>
  </tableColumns>
  <tableStyleInfo name="Sheet1-style 73" showColumnStripes="0" showFirstColumn="1" showLastColumn="1" showRowStripes="1"/>
</table>
</file>

<file path=xl/tables/table74.xml><?xml version="1.0" encoding="utf-8"?>
<table xmlns="http://schemas.openxmlformats.org/spreadsheetml/2006/main" headerRowCount="0" ref="B1103:E1104" displayName="Table_74" name="Table_74" id="74">
  <tableColumns count="4">
    <tableColumn name="Column1" id="1"/>
    <tableColumn name="Column2" id="2"/>
    <tableColumn name="Column3" id="3"/>
    <tableColumn name="Column4" id="4"/>
  </tableColumns>
  <tableStyleInfo name="Sheet1-style 74" showColumnStripes="0" showFirstColumn="1" showLastColumn="1" showRowStripes="1"/>
</table>
</file>

<file path=xl/tables/table75.xml><?xml version="1.0" encoding="utf-8"?>
<table xmlns="http://schemas.openxmlformats.org/spreadsheetml/2006/main" headerRowCount="0" ref="B1117:E1118" displayName="Table_75" name="Table_75" id="75">
  <tableColumns count="4">
    <tableColumn name="Column1" id="1"/>
    <tableColumn name="Column2" id="2"/>
    <tableColumn name="Column3" id="3"/>
    <tableColumn name="Column4" id="4"/>
  </tableColumns>
  <tableStyleInfo name="Sheet1-style 75" showColumnStripes="0" showFirstColumn="1" showLastColumn="1" showRowStripes="1"/>
</table>
</file>

<file path=xl/tables/table76.xml><?xml version="1.0" encoding="utf-8"?>
<table xmlns="http://schemas.openxmlformats.org/spreadsheetml/2006/main" headerRowCount="0" ref="B1132:E1133" displayName="Table_76" name="Table_76" id="76">
  <tableColumns count="4">
    <tableColumn name="Column1" id="1"/>
    <tableColumn name="Column2" id="2"/>
    <tableColumn name="Column3" id="3"/>
    <tableColumn name="Column4" id="4"/>
  </tableColumns>
  <tableStyleInfo name="Sheet1-style 76" showColumnStripes="0" showFirstColumn="1" showLastColumn="1" showRowStripes="1"/>
</table>
</file>

<file path=xl/tables/table77.xml><?xml version="1.0" encoding="utf-8"?>
<table xmlns="http://schemas.openxmlformats.org/spreadsheetml/2006/main" headerRowCount="0" ref="B1148:E1149" displayName="Table_77" name="Table_77" id="77">
  <tableColumns count="4">
    <tableColumn name="Column1" id="1"/>
    <tableColumn name="Column2" id="2"/>
    <tableColumn name="Column3" id="3"/>
    <tableColumn name="Column4" id="4"/>
  </tableColumns>
  <tableStyleInfo name="Sheet1-style 77" showColumnStripes="0" showFirstColumn="1" showLastColumn="1" showRowStripes="1"/>
</table>
</file>

<file path=xl/tables/table78.xml><?xml version="1.0" encoding="utf-8"?>
<table xmlns="http://schemas.openxmlformats.org/spreadsheetml/2006/main" headerRowCount="0" ref="B1162:E1163" displayName="Table_78" name="Table_78" id="78">
  <tableColumns count="4">
    <tableColumn name="Column1" id="1"/>
    <tableColumn name="Column2" id="2"/>
    <tableColumn name="Column3" id="3"/>
    <tableColumn name="Column4" id="4"/>
  </tableColumns>
  <tableStyleInfo name="Sheet1-style 78" showColumnStripes="0" showFirstColumn="1" showLastColumn="1" showRowStripes="1"/>
</table>
</file>

<file path=xl/tables/table79.xml><?xml version="1.0" encoding="utf-8"?>
<table xmlns="http://schemas.openxmlformats.org/spreadsheetml/2006/main" headerRowCount="0" ref="B1177:E1178" displayName="Table_79" name="Table_79" id="79">
  <tableColumns count="4">
    <tableColumn name="Column1" id="1"/>
    <tableColumn name="Column2" id="2"/>
    <tableColumn name="Column3" id="3"/>
    <tableColumn name="Column4" id="4"/>
  </tableColumns>
  <tableStyleInfo name="Sheet1-style 79" showColumnStripes="0" showFirstColumn="1" showLastColumn="1" showRowStripes="1"/>
</table>
</file>

<file path=xl/tables/table80.xml><?xml version="1.0" encoding="utf-8"?>
<table xmlns="http://schemas.openxmlformats.org/spreadsheetml/2006/main" headerRowCount="0" ref="B1194:E1195" displayName="Table_80" name="Table_80" id="80">
  <tableColumns count="4">
    <tableColumn name="Column1" id="1"/>
    <tableColumn name="Column2" id="2"/>
    <tableColumn name="Column3" id="3"/>
    <tableColumn name="Column4" id="4"/>
  </tableColumns>
  <tableStyleInfo name="Sheet1-style 80" showColumnStripes="0" showFirstColumn="1" showLastColumn="1" showRowStripes="1"/>
</table>
</file>

<file path=xl/tables/table81.xml><?xml version="1.0" encoding="utf-8"?>
<table xmlns="http://schemas.openxmlformats.org/spreadsheetml/2006/main" headerRowCount="0" ref="B1209:E1210" displayName="Table_81" name="Table_81" id="81">
  <tableColumns count="4">
    <tableColumn name="Column1" id="1"/>
    <tableColumn name="Column2" id="2"/>
    <tableColumn name="Column3" id="3"/>
    <tableColumn name="Column4" id="4"/>
  </tableColumns>
  <tableStyleInfo name="Sheet1-style 81" showColumnStripes="0" showFirstColumn="1" showLastColumn="1" showRowStripes="1"/>
</table>
</file>

<file path=xl/tables/table82.xml><?xml version="1.0" encoding="utf-8"?>
<table xmlns="http://schemas.openxmlformats.org/spreadsheetml/2006/main" headerRowCount="0" ref="B1225:E1226" displayName="Table_82" name="Table_82" id="82">
  <tableColumns count="4">
    <tableColumn name="Column1" id="1"/>
    <tableColumn name="Column2" id="2"/>
    <tableColumn name="Column3" id="3"/>
    <tableColumn name="Column4" id="4"/>
  </tableColumns>
  <tableStyleInfo name="Sheet1-style 82" showColumnStripes="0" showFirstColumn="1" showLastColumn="1" showRowStripes="1"/>
</table>
</file>

<file path=xl/tables/table83.xml><?xml version="1.0" encoding="utf-8"?>
<table xmlns="http://schemas.openxmlformats.org/spreadsheetml/2006/main" headerRowCount="0" ref="B1242:E1243" displayName="Table_83" name="Table_83" id="83">
  <tableColumns count="4">
    <tableColumn name="Column1" id="1"/>
    <tableColumn name="Column2" id="2"/>
    <tableColumn name="Column3" id="3"/>
    <tableColumn name="Column4" id="4"/>
  </tableColumns>
  <tableStyleInfo name="Sheet1-style 83" showColumnStripes="0" showFirstColumn="1" showLastColumn="1" showRowStripes="1"/>
</table>
</file>

<file path=xl/tables/table84.xml><?xml version="1.0" encoding="utf-8"?>
<table xmlns="http://schemas.openxmlformats.org/spreadsheetml/2006/main" headerRowCount="0" ref="B1256:E1257" displayName="Table_84" name="Table_84" id="84">
  <tableColumns count="4">
    <tableColumn name="Column1" id="1"/>
    <tableColumn name="Column2" id="2"/>
    <tableColumn name="Column3" id="3"/>
    <tableColumn name="Column4" id="4"/>
  </tableColumns>
  <tableStyleInfo name="Sheet1-style 84" showColumnStripes="0" showFirstColumn="1" showLastColumn="1" showRowStripes="1"/>
</table>
</file>

<file path=xl/tables/table85.xml><?xml version="1.0" encoding="utf-8"?>
<table xmlns="http://schemas.openxmlformats.org/spreadsheetml/2006/main" headerRowCount="0" ref="B1272:E1273" displayName="Table_85" name="Table_85" id="85">
  <tableColumns count="4">
    <tableColumn name="Column1" id="1"/>
    <tableColumn name="Column2" id="2"/>
    <tableColumn name="Column3" id="3"/>
    <tableColumn name="Column4" id="4"/>
  </tableColumns>
  <tableStyleInfo name="Sheet1-style 85" showColumnStripes="0" showFirstColumn="1" showLastColumn="1" showRowStripes="1"/>
</table>
</file>

<file path=xl/tables/table86.xml><?xml version="1.0" encoding="utf-8"?>
<table xmlns="http://schemas.openxmlformats.org/spreadsheetml/2006/main" headerRowCount="0" ref="B1287:E1288" displayName="Table_86" name="Table_86" id="86">
  <tableColumns count="4">
    <tableColumn name="Column1" id="1"/>
    <tableColumn name="Column2" id="2"/>
    <tableColumn name="Column3" id="3"/>
    <tableColumn name="Column4" id="4"/>
  </tableColumns>
  <tableStyleInfo name="Sheet1-style 86" showColumnStripes="0" showFirstColumn="1" showLastColumn="1" showRowStripes="1"/>
</table>
</file>

<file path=xl/tables/table87.xml><?xml version="1.0" encoding="utf-8"?>
<table xmlns="http://schemas.openxmlformats.org/spreadsheetml/2006/main" headerRowCount="0" ref="B1300:E1301" displayName="Table_87" name="Table_87" id="87">
  <tableColumns count="4">
    <tableColumn name="Column1" id="1"/>
    <tableColumn name="Column2" id="2"/>
    <tableColumn name="Column3" id="3"/>
    <tableColumn name="Column4" id="4"/>
  </tableColumns>
  <tableStyleInfo name="Sheet1-style 87" showColumnStripes="0" showFirstColumn="1" showLastColumn="1" showRowStripes="1"/>
</table>
</file>

<file path=xl/tables/table88.xml><?xml version="1.0" encoding="utf-8"?>
<table xmlns="http://schemas.openxmlformats.org/spreadsheetml/2006/main" headerRowCount="0" ref="B1319:E1320" displayName="Table_88" name="Table_88" id="88">
  <tableColumns count="4">
    <tableColumn name="Column1" id="1"/>
    <tableColumn name="Column2" id="2"/>
    <tableColumn name="Column3" id="3"/>
    <tableColumn name="Column4" id="4"/>
  </tableColumns>
  <tableStyleInfo name="Sheet1-style 88" showColumnStripes="0" showFirstColumn="1" showLastColumn="1" showRowStripes="1"/>
</table>
</file>

<file path=xl/tables/table89.xml><?xml version="1.0" encoding="utf-8"?>
<table xmlns="http://schemas.openxmlformats.org/spreadsheetml/2006/main" headerRowCount="0" ref="B1333:E1334" displayName="Table_89" name="Table_89" id="89">
  <tableColumns count="4">
    <tableColumn name="Column1" id="1"/>
    <tableColumn name="Column2" id="2"/>
    <tableColumn name="Column3" id="3"/>
    <tableColumn name="Column4" id="4"/>
  </tableColumns>
  <tableStyleInfo name="Sheet1-style 89" showColumnStripes="0" showFirstColumn="1" showLastColumn="1" showRowStripes="1"/>
</table>
</file>

<file path=xl/tables/table90.xml><?xml version="1.0" encoding="utf-8"?>
<table xmlns="http://schemas.openxmlformats.org/spreadsheetml/2006/main" headerRowCount="0" ref="B1347:E1348" displayName="Table_90" name="Table_90" id="90">
  <tableColumns count="4">
    <tableColumn name="Column1" id="1"/>
    <tableColumn name="Column2" id="2"/>
    <tableColumn name="Column3" id="3"/>
    <tableColumn name="Column4" id="4"/>
  </tableColumns>
  <tableStyleInfo name="Sheet1-style 90" showColumnStripes="0" showFirstColumn="1" showLastColumn="1" showRowStripes="1"/>
</table>
</file>

<file path=xl/tables/table91.xml><?xml version="1.0" encoding="utf-8"?>
<table xmlns="http://schemas.openxmlformats.org/spreadsheetml/2006/main" headerRowCount="0" ref="B1363:E1364" displayName="Table_91" name="Table_91" id="91">
  <tableColumns count="4">
    <tableColumn name="Column1" id="1"/>
    <tableColumn name="Column2" id="2"/>
    <tableColumn name="Column3" id="3"/>
    <tableColumn name="Column4" id="4"/>
  </tableColumns>
  <tableStyleInfo name="Sheet1-style 91" showColumnStripes="0" showFirstColumn="1" showLastColumn="1" showRowStripes="1"/>
</table>
</file>

<file path=xl/tables/table92.xml><?xml version="1.0" encoding="utf-8"?>
<table xmlns="http://schemas.openxmlformats.org/spreadsheetml/2006/main" headerRowCount="0" ref="B1377:E1378" displayName="Table_92" name="Table_92" id="92">
  <tableColumns count="4">
    <tableColumn name="Column1" id="1"/>
    <tableColumn name="Column2" id="2"/>
    <tableColumn name="Column3" id="3"/>
    <tableColumn name="Column4" id="4"/>
  </tableColumns>
  <tableStyleInfo name="Sheet1-style 92" showColumnStripes="0" showFirstColumn="1" showLastColumn="1" showRowStripes="1"/>
</table>
</file>

<file path=xl/tables/table93.xml><?xml version="1.0" encoding="utf-8"?>
<table xmlns="http://schemas.openxmlformats.org/spreadsheetml/2006/main" headerRowCount="0" ref="B1392:E1393" displayName="Table_93" name="Table_93" id="93">
  <tableColumns count="4">
    <tableColumn name="Column1" id="1"/>
    <tableColumn name="Column2" id="2"/>
    <tableColumn name="Column3" id="3"/>
    <tableColumn name="Column4" id="4"/>
  </tableColumns>
  <tableStyleInfo name="Sheet1-style 93" showColumnStripes="0" showFirstColumn="1" showLastColumn="1" showRowStripes="1"/>
</table>
</file>

<file path=xl/tables/table94.xml><?xml version="1.0" encoding="utf-8"?>
<table xmlns="http://schemas.openxmlformats.org/spreadsheetml/2006/main" headerRowCount="0" ref="B1407:E1408" displayName="Table_94" name="Table_94" id="94">
  <tableColumns count="4">
    <tableColumn name="Column1" id="1"/>
    <tableColumn name="Column2" id="2"/>
    <tableColumn name="Column3" id="3"/>
    <tableColumn name="Column4" id="4"/>
  </tableColumns>
  <tableStyleInfo name="Sheet1-style 94" showColumnStripes="0" showFirstColumn="1" showLastColumn="1" showRowStripes="1"/>
</table>
</file>

<file path=xl/tables/table95.xml><?xml version="1.0" encoding="utf-8"?>
<table xmlns="http://schemas.openxmlformats.org/spreadsheetml/2006/main" headerRowCount="0" ref="B1422:E1423" displayName="Table_95" name="Table_95" id="95">
  <tableColumns count="4">
    <tableColumn name="Column1" id="1"/>
    <tableColumn name="Column2" id="2"/>
    <tableColumn name="Column3" id="3"/>
    <tableColumn name="Column4" id="4"/>
  </tableColumns>
  <tableStyleInfo name="Sheet1-style 95" showColumnStripes="0" showFirstColumn="1" showLastColumn="1" showRowStripes="1"/>
</table>
</file>

<file path=xl/tables/table96.xml><?xml version="1.0" encoding="utf-8"?>
<table xmlns="http://schemas.openxmlformats.org/spreadsheetml/2006/main" headerRowCount="0" ref="B1437:E1438" displayName="Table_96" name="Table_96" id="96">
  <tableColumns count="4">
    <tableColumn name="Column1" id="1"/>
    <tableColumn name="Column2" id="2"/>
    <tableColumn name="Column3" id="3"/>
    <tableColumn name="Column4" id="4"/>
  </tableColumns>
  <tableStyleInfo name="Sheet1-style 96" showColumnStripes="0" showFirstColumn="1" showLastColumn="1" showRowStripes="1"/>
</table>
</file>

<file path=xl/tables/table97.xml><?xml version="1.0" encoding="utf-8"?>
<table xmlns="http://schemas.openxmlformats.org/spreadsheetml/2006/main" headerRowCount="0" ref="B1452:E1453" displayName="Table_97" name="Table_97" id="97">
  <tableColumns count="4">
    <tableColumn name="Column1" id="1"/>
    <tableColumn name="Column2" id="2"/>
    <tableColumn name="Column3" id="3"/>
    <tableColumn name="Column4" id="4"/>
  </tableColumns>
  <tableStyleInfo name="Sheet1-style 97" showColumnStripes="0" showFirstColumn="1" showLastColumn="1" showRowStripes="1"/>
</table>
</file>

<file path=xl/tables/table98.xml><?xml version="1.0" encoding="utf-8"?>
<table xmlns="http://schemas.openxmlformats.org/spreadsheetml/2006/main" headerRowCount="0" ref="B1466:E1467" displayName="Table_98" name="Table_98" id="98">
  <tableColumns count="4">
    <tableColumn name="Column1" id="1"/>
    <tableColumn name="Column2" id="2"/>
    <tableColumn name="Column3" id="3"/>
    <tableColumn name="Column4" id="4"/>
  </tableColumns>
  <tableStyleInfo name="Sheet1-style 98" showColumnStripes="0" showFirstColumn="1" showLastColumn="1" showRowStripes="1"/>
</table>
</file>

<file path=xl/tables/table99.xml><?xml version="1.0" encoding="utf-8"?>
<table xmlns="http://schemas.openxmlformats.org/spreadsheetml/2006/main" headerRowCount="0" ref="B1480:E1481" displayName="Table_99" name="Table_99" id="99">
  <tableColumns count="4">
    <tableColumn name="Column1" id="1"/>
    <tableColumn name="Column2" id="2"/>
    <tableColumn name="Column3" id="3"/>
    <tableColumn name="Column4" id="4"/>
  </tableColumns>
  <tableStyleInfo name="Sheet1-style 99" showColumnStripes="0" showFirstColumn="1" showLastColumn="1" showRowStripes="1"/>
</table>
</file>

<file path=xl/tables/table100.xml><?xml version="1.0" encoding="utf-8"?>
<table xmlns="http://schemas.openxmlformats.org/spreadsheetml/2006/main" headerRowCount="0" ref="B1495:E1496" displayName="Table_100" name="Table_100" id="100">
  <tableColumns count="4">
    <tableColumn name="Column1" id="1"/>
    <tableColumn name="Column2" id="2"/>
    <tableColumn name="Column3" id="3"/>
    <tableColumn name="Column4" id="4"/>
  </tableColumns>
  <tableStyleInfo name="Sheet1-style 100" showColumnStripes="0" showFirstColumn="1" showLastColumn="1" showRowStripes="1"/>
</table>
</file>

<file path=xl/tables/table101.xml><?xml version="1.0" encoding="utf-8"?>
<table xmlns="http://schemas.openxmlformats.org/spreadsheetml/2006/main" headerRowCount="0" ref="B1510:E1511" displayName="Table_101" name="Table_101" id="101">
  <tableColumns count="4">
    <tableColumn name="Column1" id="1"/>
    <tableColumn name="Column2" id="2"/>
    <tableColumn name="Column3" id="3"/>
    <tableColumn name="Column4" id="4"/>
  </tableColumns>
  <tableStyleInfo name="Sheet1-style 101" showColumnStripes="0" showFirstColumn="1" showLastColumn="1" showRowStripes="1"/>
</table>
</file>

<file path=xl/tables/table102.xml><?xml version="1.0" encoding="utf-8"?>
<table xmlns="http://schemas.openxmlformats.org/spreadsheetml/2006/main" headerRowCount="0" ref="B1525:E1526" displayName="Table_102" name="Table_102" id="102">
  <tableColumns count="4">
    <tableColumn name="Column1" id="1"/>
    <tableColumn name="Column2" id="2"/>
    <tableColumn name="Column3" id="3"/>
    <tableColumn name="Column4" id="4"/>
  </tableColumns>
  <tableStyleInfo name="Sheet1-style 102" showColumnStripes="0" showFirstColumn="1" showLastColumn="1" showRowStripes="1"/>
</table>
</file>

<file path=xl/tables/table103.xml><?xml version="1.0" encoding="utf-8"?>
<table xmlns="http://schemas.openxmlformats.org/spreadsheetml/2006/main" headerRowCount="0" ref="B1540:E1541" displayName="Table_103" name="Table_103" id="103">
  <tableColumns count="4">
    <tableColumn name="Column1" id="1"/>
    <tableColumn name="Column2" id="2"/>
    <tableColumn name="Column3" id="3"/>
    <tableColumn name="Column4" id="4"/>
  </tableColumns>
  <tableStyleInfo name="Sheet1-style 103" showColumnStripes="0" showFirstColumn="1" showLastColumn="1" showRowStripes="1"/>
</table>
</file>

<file path=xl/tables/table104.xml><?xml version="1.0" encoding="utf-8"?>
<table xmlns="http://schemas.openxmlformats.org/spreadsheetml/2006/main" headerRowCount="0" ref="B1556:E1557" displayName="Table_104" name="Table_104" id="104">
  <tableColumns count="4">
    <tableColumn name="Column1" id="1"/>
    <tableColumn name="Column2" id="2"/>
    <tableColumn name="Column3" id="3"/>
    <tableColumn name="Column4" id="4"/>
  </tableColumns>
  <tableStyleInfo name="Sheet1-style 104" showColumnStripes="0" showFirstColumn="1" showLastColumn="1" showRowStripes="1"/>
</table>
</file>

<file path=xl/tables/table105.xml><?xml version="1.0" encoding="utf-8"?>
<table xmlns="http://schemas.openxmlformats.org/spreadsheetml/2006/main" headerRowCount="0" ref="B1573:E1574" displayName="Table_105" name="Table_105" id="105">
  <tableColumns count="4">
    <tableColumn name="Column1" id="1"/>
    <tableColumn name="Column2" id="2"/>
    <tableColumn name="Column3" id="3"/>
    <tableColumn name="Column4" id="4"/>
  </tableColumns>
  <tableStyleInfo name="Sheet1-style 105" showColumnStripes="0" showFirstColumn="1" showLastColumn="1" showRowStripes="1"/>
</table>
</file>

<file path=xl/tables/table106.xml><?xml version="1.0" encoding="utf-8"?>
<table xmlns="http://schemas.openxmlformats.org/spreadsheetml/2006/main" headerRowCount="0" ref="B1589:E1590" displayName="Table_106" name="Table_106" id="106">
  <tableColumns count="4">
    <tableColumn name="Column1" id="1"/>
    <tableColumn name="Column2" id="2"/>
    <tableColumn name="Column3" id="3"/>
    <tableColumn name="Column4" id="4"/>
  </tableColumns>
  <tableStyleInfo name="Sheet1-style 106" showColumnStripes="0" showFirstColumn="1" showLastColumn="1" showRowStripes="1"/>
</table>
</file>

<file path=xl/tables/table107.xml><?xml version="1.0" encoding="utf-8"?>
<table xmlns="http://schemas.openxmlformats.org/spreadsheetml/2006/main" headerRowCount="0" ref="B1604:E1605" displayName="Table_107" name="Table_107" id="107">
  <tableColumns count="4">
    <tableColumn name="Column1" id="1"/>
    <tableColumn name="Column2" id="2"/>
    <tableColumn name="Column3" id="3"/>
    <tableColumn name="Column4" id="4"/>
  </tableColumns>
  <tableStyleInfo name="Sheet1-style 107" showColumnStripes="0" showFirstColumn="1" showLastColumn="1" showRowStripes="1"/>
</table>
</file>

<file path=xl/tables/table108.xml><?xml version="1.0" encoding="utf-8"?>
<table xmlns="http://schemas.openxmlformats.org/spreadsheetml/2006/main" headerRowCount="0" ref="B1620:E1621" displayName="Table_108" name="Table_108" id="108">
  <tableColumns count="4">
    <tableColumn name="Column1" id="1"/>
    <tableColumn name="Column2" id="2"/>
    <tableColumn name="Column3" id="3"/>
    <tableColumn name="Column4" id="4"/>
  </tableColumns>
  <tableStyleInfo name="Sheet1-style 108" showColumnStripes="0" showFirstColumn="1" showLastColumn="1" showRowStripes="1"/>
</table>
</file>

<file path=xl/tables/table109.xml><?xml version="1.0" encoding="utf-8"?>
<table xmlns="http://schemas.openxmlformats.org/spreadsheetml/2006/main" headerRowCount="0" ref="B1636:E1637" displayName="Table_109" name="Table_109" id="109">
  <tableColumns count="4">
    <tableColumn name="Column1" id="1"/>
    <tableColumn name="Column2" id="2"/>
    <tableColumn name="Column3" id="3"/>
    <tableColumn name="Column4" id="4"/>
  </tableColumns>
  <tableStyleInfo name="Sheet1-style 109" showColumnStripes="0" showFirstColumn="1" showLastColumn="1" showRowStripes="1"/>
</table>
</file>

<file path=xl/tables/table110.xml><?xml version="1.0" encoding="utf-8"?>
<table xmlns="http://schemas.openxmlformats.org/spreadsheetml/2006/main" headerRowCount="0" ref="B1650:E1651" displayName="Table_110" name="Table_110" id="110">
  <tableColumns count="4">
    <tableColumn name="Column1" id="1"/>
    <tableColumn name="Column2" id="2"/>
    <tableColumn name="Column3" id="3"/>
    <tableColumn name="Column4" id="4"/>
  </tableColumns>
  <tableStyleInfo name="Sheet1-style 110" showColumnStripes="0" showFirstColumn="1" showLastColumn="1" showRowStripes="1"/>
</table>
</file>

<file path=xl/tables/table111.xml><?xml version="1.0" encoding="utf-8"?>
<table xmlns="http://schemas.openxmlformats.org/spreadsheetml/2006/main" headerRowCount="0" ref="B1665:E1666" displayName="Table_111" name="Table_111" id="111">
  <tableColumns count="4">
    <tableColumn name="Column1" id="1"/>
    <tableColumn name="Column2" id="2"/>
    <tableColumn name="Column3" id="3"/>
    <tableColumn name="Column4" id="4"/>
  </tableColumns>
  <tableStyleInfo name="Sheet1-style 111" showColumnStripes="0" showFirstColumn="1" showLastColumn="1" showRowStripes="1"/>
</table>
</file>

<file path=xl/tables/table112.xml><?xml version="1.0" encoding="utf-8"?>
<table xmlns="http://schemas.openxmlformats.org/spreadsheetml/2006/main" headerRowCount="0" ref="B1680:E1681" displayName="Table_112" name="Table_112" id="112">
  <tableColumns count="4">
    <tableColumn name="Column1" id="1"/>
    <tableColumn name="Column2" id="2"/>
    <tableColumn name="Column3" id="3"/>
    <tableColumn name="Column4" id="4"/>
  </tableColumns>
  <tableStyleInfo name="Sheet1-style 112" showColumnStripes="0" showFirstColumn="1" showLastColumn="1" showRowStripes="1"/>
</table>
</file>

<file path=xl/tables/table113.xml><?xml version="1.0" encoding="utf-8"?>
<table xmlns="http://schemas.openxmlformats.org/spreadsheetml/2006/main" headerRowCount="0" ref="B1695:E1696" displayName="Table_113" name="Table_113" id="113">
  <tableColumns count="4">
    <tableColumn name="Column1" id="1"/>
    <tableColumn name="Column2" id="2"/>
    <tableColumn name="Column3" id="3"/>
    <tableColumn name="Column4" id="4"/>
  </tableColumns>
  <tableStyleInfo name="Sheet1-style 113" showColumnStripes="0" showFirstColumn="1" showLastColumn="1" showRowStripes="1"/>
</table>
</file>

<file path=xl/tables/table114.xml><?xml version="1.0" encoding="utf-8"?>
<table xmlns="http://schemas.openxmlformats.org/spreadsheetml/2006/main" headerRowCount="0" ref="B1710:E1711" displayName="Table_114" name="Table_114" id="114">
  <tableColumns count="4">
    <tableColumn name="Column1" id="1"/>
    <tableColumn name="Column2" id="2"/>
    <tableColumn name="Column3" id="3"/>
    <tableColumn name="Column4" id="4"/>
  </tableColumns>
  <tableStyleInfo name="Sheet1-style 114" showColumnStripes="0" showFirstColumn="1" showLastColumn="1" showRowStripes="1"/>
</table>
</file>

<file path=xl/tables/table115.xml><?xml version="1.0" encoding="utf-8"?>
<table xmlns="http://schemas.openxmlformats.org/spreadsheetml/2006/main" headerRowCount="0" ref="B1725:E1726" displayName="Table_115" name="Table_115" id="115">
  <tableColumns count="4">
    <tableColumn name="Column1" id="1"/>
    <tableColumn name="Column2" id="2"/>
    <tableColumn name="Column3" id="3"/>
    <tableColumn name="Column4" id="4"/>
  </tableColumns>
  <tableStyleInfo name="Sheet1-style 115" showColumnStripes="0" showFirstColumn="1" showLastColumn="1" showRowStripes="1"/>
</table>
</file>

<file path=xl/tables/table116.xml><?xml version="1.0" encoding="utf-8"?>
<table xmlns="http://schemas.openxmlformats.org/spreadsheetml/2006/main" headerRowCount="0" ref="B1741:E1742" displayName="Table_116" name="Table_116" id="116">
  <tableColumns count="4">
    <tableColumn name="Column1" id="1"/>
    <tableColumn name="Column2" id="2"/>
    <tableColumn name="Column3" id="3"/>
    <tableColumn name="Column4" id="4"/>
  </tableColumns>
  <tableStyleInfo name="Sheet1-style 116" showColumnStripes="0" showFirstColumn="1" showLastColumn="1" showRowStripes="1"/>
</table>
</file>

<file path=xl/tables/table117.xml><?xml version="1.0" encoding="utf-8"?>
<table xmlns="http://schemas.openxmlformats.org/spreadsheetml/2006/main" headerRowCount="0" ref="B1756:E1757" displayName="Table_117" name="Table_117" id="117">
  <tableColumns count="4">
    <tableColumn name="Column1" id="1"/>
    <tableColumn name="Column2" id="2"/>
    <tableColumn name="Column3" id="3"/>
    <tableColumn name="Column4" id="4"/>
  </tableColumns>
  <tableStyleInfo name="Sheet1-style 117" showColumnStripes="0" showFirstColumn="1" showLastColumn="1" showRowStripes="1"/>
</table>
</file>

<file path=xl/tables/table118.xml><?xml version="1.0" encoding="utf-8"?>
<table xmlns="http://schemas.openxmlformats.org/spreadsheetml/2006/main" headerRowCount="0" ref="B1772:E1773" displayName="Table_118" name="Table_118" id="118">
  <tableColumns count="4">
    <tableColumn name="Column1" id="1"/>
    <tableColumn name="Column2" id="2"/>
    <tableColumn name="Column3" id="3"/>
    <tableColumn name="Column4" id="4"/>
  </tableColumns>
  <tableStyleInfo name="Sheet1-style 118" showColumnStripes="0" showFirstColumn="1" showLastColumn="1" showRowStripes="1"/>
</table>
</file>

<file path=xl/tables/table119.xml><?xml version="1.0" encoding="utf-8"?>
<table xmlns="http://schemas.openxmlformats.org/spreadsheetml/2006/main" headerRowCount="0" ref="B1787:E1788" displayName="Table_119" name="Table_119" id="119">
  <tableColumns count="4">
    <tableColumn name="Column1" id="1"/>
    <tableColumn name="Column2" id="2"/>
    <tableColumn name="Column3" id="3"/>
    <tableColumn name="Column4" id="4"/>
  </tableColumns>
  <tableStyleInfo name="Sheet1-style 119" showColumnStripes="0" showFirstColumn="1" showLastColumn="1" showRowStripes="1"/>
</table>
</file>

<file path=xl/tables/table120.xml><?xml version="1.0" encoding="utf-8"?>
<table xmlns="http://schemas.openxmlformats.org/spreadsheetml/2006/main" headerRowCount="0" ref="B1802:E1803" displayName="Table_120" name="Table_120" id="120">
  <tableColumns count="4">
    <tableColumn name="Column1" id="1"/>
    <tableColumn name="Column2" id="2"/>
    <tableColumn name="Column3" id="3"/>
    <tableColumn name="Column4" id="4"/>
  </tableColumns>
  <tableStyleInfo name="Sheet1-style 120" showColumnStripes="0" showFirstColumn="1" showLastColumn="1" showRowStripes="1"/>
</table>
</file>

<file path=xl/tables/table121.xml><?xml version="1.0" encoding="utf-8"?>
<table xmlns="http://schemas.openxmlformats.org/spreadsheetml/2006/main" headerRowCount="0" ref="B1821:E1822" displayName="Table_121" name="Table_121" id="121">
  <tableColumns count="4">
    <tableColumn name="Column1" id="1"/>
    <tableColumn name="Column2" id="2"/>
    <tableColumn name="Column3" id="3"/>
    <tableColumn name="Column4" id="4"/>
  </tableColumns>
  <tableStyleInfo name="Sheet1-style 121" showColumnStripes="0" showFirstColumn="1" showLastColumn="1" showRowStripes="1"/>
</table>
</file>

<file path=xl/tables/table122.xml><?xml version="1.0" encoding="utf-8"?>
<table xmlns="http://schemas.openxmlformats.org/spreadsheetml/2006/main" headerRowCount="0" ref="B1837:E1838" displayName="Table_122" name="Table_122" id="122">
  <tableColumns count="4">
    <tableColumn name="Column1" id="1"/>
    <tableColumn name="Column2" id="2"/>
    <tableColumn name="Column3" id="3"/>
    <tableColumn name="Column4" id="4"/>
  </tableColumns>
  <tableStyleInfo name="Sheet1-style 122" showColumnStripes="0" showFirstColumn="1" showLastColumn="1" showRowStripes="1"/>
</table>
</file>

<file path=xl/tables/table123.xml><?xml version="1.0" encoding="utf-8"?>
<table xmlns="http://schemas.openxmlformats.org/spreadsheetml/2006/main" headerRowCount="0" ref="B1855:E1856" displayName="Table_123" name="Table_123" id="123">
  <tableColumns count="4">
    <tableColumn name="Column1" id="1"/>
    <tableColumn name="Column2" id="2"/>
    <tableColumn name="Column3" id="3"/>
    <tableColumn name="Column4" id="4"/>
  </tableColumns>
  <tableStyleInfo name="Sheet1-style 123" showColumnStripes="0" showFirstColumn="1" showLastColumn="1" showRowStripes="1"/>
</table>
</file>

<file path=xl/tables/table124.xml><?xml version="1.0" encoding="utf-8"?>
<table xmlns="http://schemas.openxmlformats.org/spreadsheetml/2006/main" headerRowCount="0" ref="B1872:E1873" displayName="Table_124" name="Table_124" id="124">
  <tableColumns count="4">
    <tableColumn name="Column1" id="1"/>
    <tableColumn name="Column2" id="2"/>
    <tableColumn name="Column3" id="3"/>
    <tableColumn name="Column4" id="4"/>
  </tableColumns>
  <tableStyleInfo name="Sheet1-style 124" showColumnStripes="0" showFirstColumn="1" showLastColumn="1" showRowStripes="1"/>
</table>
</file>

<file path=xl/tables/table125.xml><?xml version="1.0" encoding="utf-8"?>
<table xmlns="http://schemas.openxmlformats.org/spreadsheetml/2006/main" headerRowCount="0" ref="B1887:E1888" displayName="Table_125" name="Table_125" id="125">
  <tableColumns count="4">
    <tableColumn name="Column1" id="1"/>
    <tableColumn name="Column2" id="2"/>
    <tableColumn name="Column3" id="3"/>
    <tableColumn name="Column4" id="4"/>
  </tableColumns>
  <tableStyleInfo name="Sheet1-style 125" showColumnStripes="0" showFirstColumn="1" showLastColumn="1" showRowStripes="1"/>
</table>
</file>

<file path=xl/tables/table126.xml><?xml version="1.0" encoding="utf-8"?>
<table xmlns="http://schemas.openxmlformats.org/spreadsheetml/2006/main" headerRowCount="0" ref="B1903:E1904" displayName="Table_126" name="Table_126" id="126">
  <tableColumns count="4">
    <tableColumn name="Column1" id="1"/>
    <tableColumn name="Column2" id="2"/>
    <tableColumn name="Column3" id="3"/>
    <tableColumn name="Column4" id="4"/>
  </tableColumns>
  <tableStyleInfo name="Sheet1-style 126" showColumnStripes="0" showFirstColumn="1" showLastColumn="1" showRowStripes="1"/>
</table>
</file>

<file path=xl/tables/table127.xml><?xml version="1.0" encoding="utf-8"?>
<table xmlns="http://schemas.openxmlformats.org/spreadsheetml/2006/main" headerRowCount="0" ref="B1919:E1920" displayName="Table_127" name="Table_127" id="127">
  <tableColumns count="4">
    <tableColumn name="Column1" id="1"/>
    <tableColumn name="Column2" id="2"/>
    <tableColumn name="Column3" id="3"/>
    <tableColumn name="Column4" id="4"/>
  </tableColumns>
  <tableStyleInfo name="Sheet1-style 127" showColumnStripes="0" showFirstColumn="1" showLastColumn="1" showRowStripes="1"/>
</table>
</file>

<file path=xl/tables/table128.xml><?xml version="1.0" encoding="utf-8"?>
<table xmlns="http://schemas.openxmlformats.org/spreadsheetml/2006/main" headerRowCount="0" ref="B1934:E1935" displayName="Table_128" name="Table_128" id="128">
  <tableColumns count="4">
    <tableColumn name="Column1" id="1"/>
    <tableColumn name="Column2" id="2"/>
    <tableColumn name="Column3" id="3"/>
    <tableColumn name="Column4" id="4"/>
  </tableColumns>
  <tableStyleInfo name="Sheet1-style 128" showColumnStripes="0" showFirstColumn="1" showLastColumn="1" showRowStripes="1"/>
</table>
</file>

<file path=xl/tables/table129.xml><?xml version="1.0" encoding="utf-8"?>
<table xmlns="http://schemas.openxmlformats.org/spreadsheetml/2006/main" headerRowCount="0" ref="B1949:E1950" displayName="Table_129" name="Table_129" id="129">
  <tableColumns count="4">
    <tableColumn name="Column1" id="1"/>
    <tableColumn name="Column2" id="2"/>
    <tableColumn name="Column3" id="3"/>
    <tableColumn name="Column4" id="4"/>
  </tableColumns>
  <tableStyleInfo name="Sheet1-style 129" showColumnStripes="0" showFirstColumn="1" showLastColumn="1" showRowStripes="1"/>
</table>
</file>

<file path=xl/tables/table130.xml><?xml version="1.0" encoding="utf-8"?>
<table xmlns="http://schemas.openxmlformats.org/spreadsheetml/2006/main" headerRowCount="0" ref="B1963:E1964" displayName="Table_130" name="Table_130" id="130">
  <tableColumns count="4">
    <tableColumn name="Column1" id="1"/>
    <tableColumn name="Column2" id="2"/>
    <tableColumn name="Column3" id="3"/>
    <tableColumn name="Column4" id="4"/>
  </tableColumns>
  <tableStyleInfo name="Sheet1-style 130" showColumnStripes="0" showFirstColumn="1" showLastColumn="1" showRowStripes="1"/>
</table>
</file>

<file path=xl/tables/table131.xml><?xml version="1.0" encoding="utf-8"?>
<table xmlns="http://schemas.openxmlformats.org/spreadsheetml/2006/main" headerRowCount="0" ref="B1977:E1978" displayName="Table_131" name="Table_131" id="131">
  <tableColumns count="4">
    <tableColumn name="Column1" id="1"/>
    <tableColumn name="Column2" id="2"/>
    <tableColumn name="Column3" id="3"/>
    <tableColumn name="Column4" id="4"/>
  </tableColumns>
  <tableStyleInfo name="Sheet1-style 131" showColumnStripes="0" showFirstColumn="1" showLastColumn="1" showRowStripes="1"/>
</table>
</file>

<file path=xl/tables/table132.xml><?xml version="1.0" encoding="utf-8"?>
<table xmlns="http://schemas.openxmlformats.org/spreadsheetml/2006/main" headerRowCount="0" ref="B1992:E1993" displayName="Table_132" name="Table_132" id="132">
  <tableColumns count="4">
    <tableColumn name="Column1" id="1"/>
    <tableColumn name="Column2" id="2"/>
    <tableColumn name="Column3" id="3"/>
    <tableColumn name="Column4" id="4"/>
  </tableColumns>
  <tableStyleInfo name="Sheet1-style 132" showColumnStripes="0" showFirstColumn="1" showLastColumn="1" showRowStripes="1"/>
</table>
</file>

<file path=xl/tables/table133.xml><?xml version="1.0" encoding="utf-8"?>
<table xmlns="http://schemas.openxmlformats.org/spreadsheetml/2006/main" headerRowCount="0" ref="B2006:E2007" displayName="Table_133" name="Table_133" id="133">
  <tableColumns count="4">
    <tableColumn name="Column1" id="1"/>
    <tableColumn name="Column2" id="2"/>
    <tableColumn name="Column3" id="3"/>
    <tableColumn name="Column4" id="4"/>
  </tableColumns>
  <tableStyleInfo name="Sheet1-style 133" showColumnStripes="0" showFirstColumn="1" showLastColumn="1" showRowStripes="1"/>
</table>
</file>

<file path=xl/tables/table134.xml><?xml version="1.0" encoding="utf-8"?>
<table xmlns="http://schemas.openxmlformats.org/spreadsheetml/2006/main" headerRowCount="0" ref="B2020:E2021" displayName="Table_134" name="Table_134" id="134">
  <tableColumns count="4">
    <tableColumn name="Column1" id="1"/>
    <tableColumn name="Column2" id="2"/>
    <tableColumn name="Column3" id="3"/>
    <tableColumn name="Column4" id="4"/>
  </tableColumns>
  <tableStyleInfo name="Sheet1-style 134" showColumnStripes="0" showFirstColumn="1" showLastColumn="1" showRowStripes="1"/>
</table>
</file>

<file path=xl/tables/table135.xml><?xml version="1.0" encoding="utf-8"?>
<table xmlns="http://schemas.openxmlformats.org/spreadsheetml/2006/main" headerRowCount="0" ref="B2035:E2036" displayName="Table_135" name="Table_135" id="135">
  <tableColumns count="4">
    <tableColumn name="Column1" id="1"/>
    <tableColumn name="Column2" id="2"/>
    <tableColumn name="Column3" id="3"/>
    <tableColumn name="Column4" id="4"/>
  </tableColumns>
  <tableStyleInfo name="Sheet1-style 135" showColumnStripes="0" showFirstColumn="1" showLastColumn="1" showRowStripes="1"/>
</table>
</file>

<file path=xl/tables/table136.xml><?xml version="1.0" encoding="utf-8"?>
<table xmlns="http://schemas.openxmlformats.org/spreadsheetml/2006/main" headerRowCount="0" ref="B2051:E2052" displayName="Table_136" name="Table_136" id="136">
  <tableColumns count="4">
    <tableColumn name="Column1" id="1"/>
    <tableColumn name="Column2" id="2"/>
    <tableColumn name="Column3" id="3"/>
    <tableColumn name="Column4" id="4"/>
  </tableColumns>
  <tableStyleInfo name="Sheet1-style 136" showColumnStripes="0" showFirstColumn="1" showLastColumn="1" showRowStripes="1"/>
</table>
</file>

<file path=xl/tables/table137.xml><?xml version="1.0" encoding="utf-8"?>
<table xmlns="http://schemas.openxmlformats.org/spreadsheetml/2006/main" headerRowCount="0" ref="B2066:E2067" displayName="Table_137" name="Table_137" id="137">
  <tableColumns count="4">
    <tableColumn name="Column1" id="1"/>
    <tableColumn name="Column2" id="2"/>
    <tableColumn name="Column3" id="3"/>
    <tableColumn name="Column4" id="4"/>
  </tableColumns>
  <tableStyleInfo name="Sheet1-style 137" showColumnStripes="0" showFirstColumn="1" showLastColumn="1" showRowStripes="1"/>
</table>
</file>

<file path=xl/tables/table138.xml><?xml version="1.0" encoding="utf-8"?>
<table xmlns="http://schemas.openxmlformats.org/spreadsheetml/2006/main" headerRowCount="0" ref="B2081:E2082" displayName="Table_138" name="Table_138" id="138">
  <tableColumns count="4">
    <tableColumn name="Column1" id="1"/>
    <tableColumn name="Column2" id="2"/>
    <tableColumn name="Column3" id="3"/>
    <tableColumn name="Column4" id="4"/>
  </tableColumns>
  <tableStyleInfo name="Sheet1-style 138" showColumnStripes="0" showFirstColumn="1" showLastColumn="1" showRowStripes="1"/>
</table>
</file>

<file path=xl/tables/table139.xml><?xml version="1.0" encoding="utf-8"?>
<table xmlns="http://schemas.openxmlformats.org/spreadsheetml/2006/main" headerRowCount="0" ref="B2096:E2097" displayName="Table_139" name="Table_139" id="139">
  <tableColumns count="4">
    <tableColumn name="Column1" id="1"/>
    <tableColumn name="Column2" id="2"/>
    <tableColumn name="Column3" id="3"/>
    <tableColumn name="Column4" id="4"/>
  </tableColumns>
  <tableStyleInfo name="Sheet1-style 139" showColumnStripes="0" showFirstColumn="1" showLastColumn="1" showRowStripes="1"/>
</table>
</file>

<file path=xl/tables/table140.xml><?xml version="1.0" encoding="utf-8"?>
<table xmlns="http://schemas.openxmlformats.org/spreadsheetml/2006/main" headerRowCount="0" ref="B2111:E2112" displayName="Table_140" name="Table_140" id="140">
  <tableColumns count="4">
    <tableColumn name="Column1" id="1"/>
    <tableColumn name="Column2" id="2"/>
    <tableColumn name="Column3" id="3"/>
    <tableColumn name="Column4" id="4"/>
  </tableColumns>
  <tableStyleInfo name="Sheet1-style 140" showColumnStripes="0" showFirstColumn="1" showLastColumn="1" showRowStripes="1"/>
</table>
</file>

<file path=xl/tables/table141.xml><?xml version="1.0" encoding="utf-8"?>
<table xmlns="http://schemas.openxmlformats.org/spreadsheetml/2006/main" headerRowCount="0" ref="B2126:E2127" displayName="Table_141" name="Table_141" id="141">
  <tableColumns count="4">
    <tableColumn name="Column1" id="1"/>
    <tableColumn name="Column2" id="2"/>
    <tableColumn name="Column3" id="3"/>
    <tableColumn name="Column4" id="4"/>
  </tableColumns>
  <tableStyleInfo name="Sheet1-style 141" showColumnStripes="0" showFirstColumn="1" showLastColumn="1" showRowStripes="1"/>
</table>
</file>

<file path=xl/tables/table142.xml><?xml version="1.0" encoding="utf-8"?>
<table xmlns="http://schemas.openxmlformats.org/spreadsheetml/2006/main" headerRowCount="0" ref="B2141:E2142" displayName="Table_142" name="Table_142" id="142">
  <tableColumns count="4">
    <tableColumn name="Column1" id="1"/>
    <tableColumn name="Column2" id="2"/>
    <tableColumn name="Column3" id="3"/>
    <tableColumn name="Column4" id="4"/>
  </tableColumns>
  <tableStyleInfo name="Sheet1-style 142" showColumnStripes="0" showFirstColumn="1" showLastColumn="1" showRowStripes="1"/>
</table>
</file>

<file path=xl/tables/table143.xml><?xml version="1.0" encoding="utf-8"?>
<table xmlns="http://schemas.openxmlformats.org/spreadsheetml/2006/main" headerRowCount="0" ref="B2155:E2156" displayName="Table_143" name="Table_143" id="143">
  <tableColumns count="4">
    <tableColumn name="Column1" id="1"/>
    <tableColumn name="Column2" id="2"/>
    <tableColumn name="Column3" id="3"/>
    <tableColumn name="Column4" id="4"/>
  </tableColumns>
  <tableStyleInfo name="Sheet1-style 143" showColumnStripes="0" showFirstColumn="1" showLastColumn="1" showRowStripes="1"/>
</table>
</file>

<file path=xl/tables/table144.xml><?xml version="1.0" encoding="utf-8"?>
<table xmlns="http://schemas.openxmlformats.org/spreadsheetml/2006/main" headerRowCount="0" ref="B2170:E2171" displayName="Table_144" name="Table_144" id="144">
  <tableColumns count="4">
    <tableColumn name="Column1" id="1"/>
    <tableColumn name="Column2" id="2"/>
    <tableColumn name="Column3" id="3"/>
    <tableColumn name="Column4" id="4"/>
  </tableColumns>
  <tableStyleInfo name="Sheet1-style 144" showColumnStripes="0" showFirstColumn="1" showLastColumn="1" showRowStripes="1"/>
</table>
</file>

<file path=xl/tables/table145.xml><?xml version="1.0" encoding="utf-8"?>
<table xmlns="http://schemas.openxmlformats.org/spreadsheetml/2006/main" headerRowCount="0" ref="B2184:E2185" displayName="Table_145" name="Table_145" id="145">
  <tableColumns count="4">
    <tableColumn name="Column1" id="1"/>
    <tableColumn name="Column2" id="2"/>
    <tableColumn name="Column3" id="3"/>
    <tableColumn name="Column4" id="4"/>
  </tableColumns>
  <tableStyleInfo name="Sheet1-style 145" showColumnStripes="0" showFirstColumn="1" showLastColumn="1" showRowStripes="1"/>
</table>
</file>

<file path=xl/tables/table146.xml><?xml version="1.0" encoding="utf-8"?>
<table xmlns="http://schemas.openxmlformats.org/spreadsheetml/2006/main" headerRowCount="0" ref="B2203:E2204" displayName="Table_146" name="Table_146" id="146">
  <tableColumns count="4">
    <tableColumn name="Column1" id="1"/>
    <tableColumn name="Column2" id="2"/>
    <tableColumn name="Column3" id="3"/>
    <tableColumn name="Column4" id="4"/>
  </tableColumns>
  <tableStyleInfo name="Sheet1-style 146" showColumnStripes="0" showFirstColumn="1" showLastColumn="1" showRowStripes="1"/>
</table>
</file>

<file path=xl/tables/table147.xml><?xml version="1.0" encoding="utf-8"?>
<table xmlns="http://schemas.openxmlformats.org/spreadsheetml/2006/main" headerRowCount="0" ref="B2218:E2219" displayName="Table_147" name="Table_147" id="147">
  <tableColumns count="4">
    <tableColumn name="Column1" id="1"/>
    <tableColumn name="Column2" id="2"/>
    <tableColumn name="Column3" id="3"/>
    <tableColumn name="Column4" id="4"/>
  </tableColumns>
  <tableStyleInfo name="Sheet1-style 147" showColumnStripes="0" showFirstColumn="1" showLastColumn="1" showRowStripes="1"/>
</table>
</file>

<file path=xl/tables/table148.xml><?xml version="1.0" encoding="utf-8"?>
<table xmlns="http://schemas.openxmlformats.org/spreadsheetml/2006/main" headerRowCount="0" ref="B2235:E2236" displayName="Table_148" name="Table_148" id="148">
  <tableColumns count="4">
    <tableColumn name="Column1" id="1"/>
    <tableColumn name="Column2" id="2"/>
    <tableColumn name="Column3" id="3"/>
    <tableColumn name="Column4" id="4"/>
  </tableColumns>
  <tableStyleInfo name="Sheet1-style 148" showColumnStripes="0" showFirstColumn="1" showLastColumn="1" showRowStripes="1"/>
</table>
</file>

<file path=xl/tables/table149.xml><?xml version="1.0" encoding="utf-8"?>
<table xmlns="http://schemas.openxmlformats.org/spreadsheetml/2006/main" headerRowCount="0" ref="B2252:E2253" displayName="Table_149" name="Table_149" id="149">
  <tableColumns count="4">
    <tableColumn name="Column1" id="1"/>
    <tableColumn name="Column2" id="2"/>
    <tableColumn name="Column3" id="3"/>
    <tableColumn name="Column4" id="4"/>
  </tableColumns>
  <tableStyleInfo name="Sheet1-style 149" showColumnStripes="0" showFirstColumn="1" showLastColumn="1" showRowStripes="1"/>
</table>
</file>

<file path=xl/tables/table150.xml><?xml version="1.0" encoding="utf-8"?>
<table xmlns="http://schemas.openxmlformats.org/spreadsheetml/2006/main" headerRowCount="0" ref="B2268:E2269" displayName="Table_150" name="Table_150" id="150">
  <tableColumns count="4">
    <tableColumn name="Column1" id="1"/>
    <tableColumn name="Column2" id="2"/>
    <tableColumn name="Column3" id="3"/>
    <tableColumn name="Column4" id="4"/>
  </tableColumns>
  <tableStyleInfo name="Sheet1-style 150" showColumnStripes="0" showFirstColumn="1" showLastColumn="1" showRowStripes="1"/>
</table>
</file>

<file path=xl/tables/table151.xml><?xml version="1.0" encoding="utf-8"?>
<table xmlns="http://schemas.openxmlformats.org/spreadsheetml/2006/main" headerRowCount="0" ref="B2282:E2283" displayName="Table_151" name="Table_151" id="151">
  <tableColumns count="4">
    <tableColumn name="Column1" id="1"/>
    <tableColumn name="Column2" id="2"/>
    <tableColumn name="Column3" id="3"/>
    <tableColumn name="Column4" id="4"/>
  </tableColumns>
  <tableStyleInfo name="Sheet1-style 151" showColumnStripes="0" showFirstColumn="1" showLastColumn="1" showRowStripes="1"/>
</table>
</file>

<file path=xl/tables/table152.xml><?xml version="1.0" encoding="utf-8"?>
<table xmlns="http://schemas.openxmlformats.org/spreadsheetml/2006/main" headerRowCount="0" ref="B2295:E2296" displayName="Table_152" name="Table_152" id="152">
  <tableColumns count="4">
    <tableColumn name="Column1" id="1"/>
    <tableColumn name="Column2" id="2"/>
    <tableColumn name="Column3" id="3"/>
    <tableColumn name="Column4" id="4"/>
  </tableColumns>
  <tableStyleInfo name="Sheet1-style 152" showColumnStripes="0" showFirstColumn="1" showLastColumn="1" showRowStripes="1"/>
</table>
</file>

<file path=xl/tables/table153.xml><?xml version="1.0" encoding="utf-8"?>
<table xmlns="http://schemas.openxmlformats.org/spreadsheetml/2006/main" headerRowCount="0" ref="B2309:E2310" displayName="Table_153" name="Table_153" id="153">
  <tableColumns count="4">
    <tableColumn name="Column1" id="1"/>
    <tableColumn name="Column2" id="2"/>
    <tableColumn name="Column3" id="3"/>
    <tableColumn name="Column4" id="4"/>
  </tableColumns>
  <tableStyleInfo name="Sheet1-style 153" showColumnStripes="0" showFirstColumn="1" showLastColumn="1" showRowStripes="1"/>
</table>
</file>

<file path=xl/tables/table154.xml><?xml version="1.0" encoding="utf-8"?>
<table xmlns="http://schemas.openxmlformats.org/spreadsheetml/2006/main" headerRowCount="0" ref="B2324:E2325" displayName="Table_154" name="Table_154" id="154">
  <tableColumns count="4">
    <tableColumn name="Column1" id="1"/>
    <tableColumn name="Column2" id="2"/>
    <tableColumn name="Column3" id="3"/>
    <tableColumn name="Column4" id="4"/>
  </tableColumns>
  <tableStyleInfo name="Sheet1-style 154" showColumnStripes="0" showFirstColumn="1" showLastColumn="1" showRowStripes="1"/>
</table>
</file>

<file path=xl/tables/table155.xml><?xml version="1.0" encoding="utf-8"?>
<table xmlns="http://schemas.openxmlformats.org/spreadsheetml/2006/main" headerRowCount="0" ref="B2338:E2339" displayName="Table_155" name="Table_155" id="155">
  <tableColumns count="4">
    <tableColumn name="Column1" id="1"/>
    <tableColumn name="Column2" id="2"/>
    <tableColumn name="Column3" id="3"/>
    <tableColumn name="Column4" id="4"/>
  </tableColumns>
  <tableStyleInfo name="Sheet1-style 155" showColumnStripes="0" showFirstColumn="1" showLastColumn="1" showRowStripes="1"/>
</table>
</file>

<file path=xl/tables/table156.xml><?xml version="1.0" encoding="utf-8"?>
<table xmlns="http://schemas.openxmlformats.org/spreadsheetml/2006/main" headerRowCount="0" ref="B2352:E2353" displayName="Table_156" name="Table_156" id="156">
  <tableColumns count="4">
    <tableColumn name="Column1" id="1"/>
    <tableColumn name="Column2" id="2"/>
    <tableColumn name="Column3" id="3"/>
    <tableColumn name="Column4" id="4"/>
  </tableColumns>
  <tableStyleInfo name="Sheet1-style 156" showColumnStripes="0" showFirstColumn="1" showLastColumn="1" showRowStripes="1"/>
</table>
</file>

<file path=xl/tables/table157.xml><?xml version="1.0" encoding="utf-8"?>
<table xmlns="http://schemas.openxmlformats.org/spreadsheetml/2006/main" headerRowCount="0" ref="B2367:E2368" displayName="Table_157" name="Table_157" id="157">
  <tableColumns count="4">
    <tableColumn name="Column1" id="1"/>
    <tableColumn name="Column2" id="2"/>
    <tableColumn name="Column3" id="3"/>
    <tableColumn name="Column4" id="4"/>
  </tableColumns>
  <tableStyleInfo name="Sheet1-style 157" showColumnStripes="0" showFirstColumn="1" showLastColumn="1" showRowStripes="1"/>
</table>
</file>

<file path=xl/tables/table158.xml><?xml version="1.0" encoding="utf-8"?>
<table xmlns="http://schemas.openxmlformats.org/spreadsheetml/2006/main" headerRowCount="0" ref="B2382:E2383" displayName="Table_158" name="Table_158" id="158">
  <tableColumns count="4">
    <tableColumn name="Column1" id="1"/>
    <tableColumn name="Column2" id="2"/>
    <tableColumn name="Column3" id="3"/>
    <tableColumn name="Column4" id="4"/>
  </tableColumns>
  <tableStyleInfo name="Sheet1-style 158" showColumnStripes="0" showFirstColumn="1" showLastColumn="1" showRowStripes="1"/>
</table>
</file>

<file path=xl/tables/table159.xml><?xml version="1.0" encoding="utf-8"?>
<table xmlns="http://schemas.openxmlformats.org/spreadsheetml/2006/main" headerRowCount="0" ref="B2397:E2398" displayName="Table_159" name="Table_159" id="159">
  <tableColumns count="4">
    <tableColumn name="Column1" id="1"/>
    <tableColumn name="Column2" id="2"/>
    <tableColumn name="Column3" id="3"/>
    <tableColumn name="Column4" id="4"/>
  </tableColumns>
  <tableStyleInfo name="Sheet1-style 159" showColumnStripes="0" showFirstColumn="1" showLastColumn="1" showRowStripes="1"/>
</table>
</file>

<file path=xl/tables/table160.xml><?xml version="1.0" encoding="utf-8"?>
<table xmlns="http://schemas.openxmlformats.org/spreadsheetml/2006/main" headerRowCount="0" ref="B2412:E2413" displayName="Table_160" name="Table_160" id="160">
  <tableColumns count="4">
    <tableColumn name="Column1" id="1"/>
    <tableColumn name="Column2" id="2"/>
    <tableColumn name="Column3" id="3"/>
    <tableColumn name="Column4" id="4"/>
  </tableColumns>
  <tableStyleInfo name="Sheet1-style 160" showColumnStripes="0" showFirstColumn="1" showLastColumn="1" showRowStripes="1"/>
</table>
</file>

<file path=xl/tables/table161.xml><?xml version="1.0" encoding="utf-8"?>
<table xmlns="http://schemas.openxmlformats.org/spreadsheetml/2006/main" headerRowCount="0" ref="B2427:E2428" displayName="Table_161" name="Table_161" id="161">
  <tableColumns count="4">
    <tableColumn name="Column1" id="1"/>
    <tableColumn name="Column2" id="2"/>
    <tableColumn name="Column3" id="3"/>
    <tableColumn name="Column4" id="4"/>
  </tableColumns>
  <tableStyleInfo name="Sheet1-style 161" showColumnStripes="0" showFirstColumn="1" showLastColumn="1" showRowStripes="1"/>
</table>
</file>

<file path=xl/tables/table162.xml><?xml version="1.0" encoding="utf-8"?>
<table xmlns="http://schemas.openxmlformats.org/spreadsheetml/2006/main" headerRowCount="0" ref="B2441:E2442" displayName="Table_162" name="Table_162" id="162">
  <tableColumns count="4">
    <tableColumn name="Column1" id="1"/>
    <tableColumn name="Column2" id="2"/>
    <tableColumn name="Column3" id="3"/>
    <tableColumn name="Column4" id="4"/>
  </tableColumns>
  <tableStyleInfo name="Sheet1-style 162" showColumnStripes="0" showFirstColumn="1" showLastColumn="1" showRowStripes="1"/>
</table>
</file>

<file path=xl/tables/table163.xml><?xml version="1.0" encoding="utf-8"?>
<table xmlns="http://schemas.openxmlformats.org/spreadsheetml/2006/main" headerRowCount="0" ref="B2457:E2458" displayName="Table_163" name="Table_163" id="163">
  <tableColumns count="4">
    <tableColumn name="Column1" id="1"/>
    <tableColumn name="Column2" id="2"/>
    <tableColumn name="Column3" id="3"/>
    <tableColumn name="Column4" id="4"/>
  </tableColumns>
  <tableStyleInfo name="Sheet1-style 163" showColumnStripes="0" showFirstColumn="1" showLastColumn="1" showRowStripes="1"/>
</table>
</file>

<file path=xl/tables/table164.xml><?xml version="1.0" encoding="utf-8"?>
<table xmlns="http://schemas.openxmlformats.org/spreadsheetml/2006/main" headerRowCount="0" ref="B2471:E2472" displayName="Table_164" name="Table_164" id="164">
  <tableColumns count="4">
    <tableColumn name="Column1" id="1"/>
    <tableColumn name="Column2" id="2"/>
    <tableColumn name="Column3" id="3"/>
    <tableColumn name="Column4" id="4"/>
  </tableColumns>
  <tableStyleInfo name="Sheet1-style 164" showColumnStripes="0" showFirstColumn="1" showLastColumn="1" showRowStripes="1"/>
</table>
</file>

<file path=xl/tables/table165.xml><?xml version="1.0" encoding="utf-8"?>
<table xmlns="http://schemas.openxmlformats.org/spreadsheetml/2006/main" headerRowCount="0" ref="B2486:E2487" displayName="Table_165" name="Table_165" id="165">
  <tableColumns count="4">
    <tableColumn name="Column1" id="1"/>
    <tableColumn name="Column2" id="2"/>
    <tableColumn name="Column3" id="3"/>
    <tableColumn name="Column4" id="4"/>
  </tableColumns>
  <tableStyleInfo name="Sheet1-style 165" showColumnStripes="0" showFirstColumn="1" showLastColumn="1" showRowStripes="1"/>
</table>
</file>

<file path=xl/tables/table166.xml><?xml version="1.0" encoding="utf-8"?>
<table xmlns="http://schemas.openxmlformats.org/spreadsheetml/2006/main" headerRowCount="0" ref="B2501:E2502" displayName="Table_166" name="Table_166" id="166">
  <tableColumns count="4">
    <tableColumn name="Column1" id="1"/>
    <tableColumn name="Column2" id="2"/>
    <tableColumn name="Column3" id="3"/>
    <tableColumn name="Column4" id="4"/>
  </tableColumns>
  <tableStyleInfo name="Sheet1-style 166" showColumnStripes="0" showFirstColumn="1" showLastColumn="1" showRowStripes="1"/>
</table>
</file>

<file path=xl/tables/table167.xml><?xml version="1.0" encoding="utf-8"?>
<table xmlns="http://schemas.openxmlformats.org/spreadsheetml/2006/main" headerRowCount="0" ref="B2515:E2516" displayName="Table_167" name="Table_167" id="167">
  <tableColumns count="4">
    <tableColumn name="Column1" id="1"/>
    <tableColumn name="Column2" id="2"/>
    <tableColumn name="Column3" id="3"/>
    <tableColumn name="Column4" id="4"/>
  </tableColumns>
  <tableStyleInfo name="Sheet1-style 167" showColumnStripes="0" showFirstColumn="1" showLastColumn="1" showRowStripes="1"/>
</table>
</file>

<file path=xl/tables/table168.xml><?xml version="1.0" encoding="utf-8"?>
<table xmlns="http://schemas.openxmlformats.org/spreadsheetml/2006/main" headerRowCount="0" ref="B2530:E2531" displayName="Table_168" name="Table_168" id="168">
  <tableColumns count="4">
    <tableColumn name="Column1" id="1"/>
    <tableColumn name="Column2" id="2"/>
    <tableColumn name="Column3" id="3"/>
    <tableColumn name="Column4" id="4"/>
  </tableColumns>
  <tableStyleInfo name="Sheet1-style 168" showColumnStripes="0" showFirstColumn="1" showLastColumn="1" showRowStripes="1"/>
</table>
</file>

<file path=xl/tables/table169.xml><?xml version="1.0" encoding="utf-8"?>
<table xmlns="http://schemas.openxmlformats.org/spreadsheetml/2006/main" headerRowCount="0" ref="B2546:E2547" displayName="Table_169" name="Table_169" id="169">
  <tableColumns count="4">
    <tableColumn name="Column1" id="1"/>
    <tableColumn name="Column2" id="2"/>
    <tableColumn name="Column3" id="3"/>
    <tableColumn name="Column4" id="4"/>
  </tableColumns>
  <tableStyleInfo name="Sheet1-style 169" showColumnStripes="0" showFirstColumn="1" showLastColumn="1" showRowStripes="1"/>
</table>
</file>

<file path=xl/tables/table170.xml><?xml version="1.0" encoding="utf-8"?>
<table xmlns="http://schemas.openxmlformats.org/spreadsheetml/2006/main" headerRowCount="0" ref="B2560:E2561" displayName="Table_170" name="Table_170" id="170">
  <tableColumns count="4">
    <tableColumn name="Column1" id="1"/>
    <tableColumn name="Column2" id="2"/>
    <tableColumn name="Column3" id="3"/>
    <tableColumn name="Column4" id="4"/>
  </tableColumns>
  <tableStyleInfo name="Sheet1-style 170" showColumnStripes="0" showFirstColumn="1" showLastColumn="1" showRowStripes="1"/>
</table>
</file>

<file path=xl/tables/table171.xml><?xml version="1.0" encoding="utf-8"?>
<table xmlns="http://schemas.openxmlformats.org/spreadsheetml/2006/main" headerRowCount="0" ref="B2575:E2576" displayName="Table_171" name="Table_171" id="171">
  <tableColumns count="4">
    <tableColumn name="Column1" id="1"/>
    <tableColumn name="Column2" id="2"/>
    <tableColumn name="Column3" id="3"/>
    <tableColumn name="Column4" id="4"/>
  </tableColumns>
  <tableStyleInfo name="Sheet1-style 171" showColumnStripes="0" showFirstColumn="1" showLastColumn="1" showRowStripes="1"/>
</table>
</file>

<file path=xl/tables/table172.xml><?xml version="1.0" encoding="utf-8"?>
<table xmlns="http://schemas.openxmlformats.org/spreadsheetml/2006/main" headerRowCount="0" ref="B2590:E2591" displayName="Table_172" name="Table_172" id="172">
  <tableColumns count="4">
    <tableColumn name="Column1" id="1"/>
    <tableColumn name="Column2" id="2"/>
    <tableColumn name="Column3" id="3"/>
    <tableColumn name="Column4" id="4"/>
  </tableColumns>
  <tableStyleInfo name="Sheet1-style 172" showColumnStripes="0" showFirstColumn="1" showLastColumn="1" showRowStripes="1"/>
</table>
</file>

<file path=xl/tables/table173.xml><?xml version="1.0" encoding="utf-8"?>
<table xmlns="http://schemas.openxmlformats.org/spreadsheetml/2006/main" headerRowCount="0" ref="B2605:E2606" displayName="Table_173" name="Table_173" id="173">
  <tableColumns count="4">
    <tableColumn name="Column1" id="1"/>
    <tableColumn name="Column2" id="2"/>
    <tableColumn name="Column3" id="3"/>
    <tableColumn name="Column4" id="4"/>
  </tableColumns>
  <tableStyleInfo name="Sheet1-style 173" showColumnStripes="0" showFirstColumn="1" showLastColumn="1" showRowStripes="1"/>
</table>
</file>

<file path=xl/tables/table174.xml><?xml version="1.0" encoding="utf-8"?>
<table xmlns="http://schemas.openxmlformats.org/spreadsheetml/2006/main" headerRowCount="0" ref="B2620:E2621" displayName="Table_174" name="Table_174" id="174">
  <tableColumns count="4">
    <tableColumn name="Column1" id="1"/>
    <tableColumn name="Column2" id="2"/>
    <tableColumn name="Column3" id="3"/>
    <tableColumn name="Column4" id="4"/>
  </tableColumns>
  <tableStyleInfo name="Sheet1-style 174" showColumnStripes="0" showFirstColumn="1" showLastColumn="1" showRowStripes="1"/>
</table>
</file>

<file path=xl/tables/table175.xml><?xml version="1.0" encoding="utf-8"?>
<table xmlns="http://schemas.openxmlformats.org/spreadsheetml/2006/main" headerRowCount="0" ref="B2635:E2636" displayName="Table_175" name="Table_175" id="175">
  <tableColumns count="4">
    <tableColumn name="Column1" id="1"/>
    <tableColumn name="Column2" id="2"/>
    <tableColumn name="Column3" id="3"/>
    <tableColumn name="Column4" id="4"/>
  </tableColumns>
  <tableStyleInfo name="Sheet1-style 175" showColumnStripes="0" showFirstColumn="1" showLastColumn="1" showRowStripes="1"/>
</table>
</file>

<file path=xl/tables/table176.xml><?xml version="1.0" encoding="utf-8"?>
<table xmlns="http://schemas.openxmlformats.org/spreadsheetml/2006/main" headerRowCount="0" ref="B2649:E2650" displayName="Table_176" name="Table_176" id="176">
  <tableColumns count="4">
    <tableColumn name="Column1" id="1"/>
    <tableColumn name="Column2" id="2"/>
    <tableColumn name="Column3" id="3"/>
    <tableColumn name="Column4" id="4"/>
  </tableColumns>
  <tableStyleInfo name="Sheet1-style 176" showColumnStripes="0" showFirstColumn="1" showLastColumn="1" showRowStripes="1"/>
</table>
</file>

<file path=xl/tables/table177.xml><?xml version="1.0" encoding="utf-8"?>
<table xmlns="http://schemas.openxmlformats.org/spreadsheetml/2006/main" headerRowCount="0" ref="B2663:E2664" displayName="Table_177" name="Table_177" id="177">
  <tableColumns count="4">
    <tableColumn name="Column1" id="1"/>
    <tableColumn name="Column2" id="2"/>
    <tableColumn name="Column3" id="3"/>
    <tableColumn name="Column4" id="4"/>
  </tableColumns>
  <tableStyleInfo name="Sheet1-style 177" showColumnStripes="0" showFirstColumn="1" showLastColumn="1" showRowStripes="1"/>
</table>
</file>

<file path=xl/tables/table178.xml><?xml version="1.0" encoding="utf-8"?>
<table xmlns="http://schemas.openxmlformats.org/spreadsheetml/2006/main" headerRowCount="0" ref="B2678:E2679" displayName="Table_178" name="Table_178" id="178">
  <tableColumns count="4">
    <tableColumn name="Column1" id="1"/>
    <tableColumn name="Column2" id="2"/>
    <tableColumn name="Column3" id="3"/>
    <tableColumn name="Column4" id="4"/>
  </tableColumns>
  <tableStyleInfo name="Sheet1-style 178" showColumnStripes="0" showFirstColumn="1" showLastColumn="1" showRowStripes="1"/>
</table>
</file>

<file path=xl/tables/table179.xml><?xml version="1.0" encoding="utf-8"?>
<table xmlns="http://schemas.openxmlformats.org/spreadsheetml/2006/main" headerRowCount="0" ref="B2694:E2695" displayName="Table_179" name="Table_179" id="179">
  <tableColumns count="4">
    <tableColumn name="Column1" id="1"/>
    <tableColumn name="Column2" id="2"/>
    <tableColumn name="Column3" id="3"/>
    <tableColumn name="Column4" id="4"/>
  </tableColumns>
  <tableStyleInfo name="Sheet1-style 179" showColumnStripes="0" showFirstColumn="1" showLastColumn="1" showRowStripes="1"/>
</table>
</file>

<file path=xl/tables/table180.xml><?xml version="1.0" encoding="utf-8"?>
<table xmlns="http://schemas.openxmlformats.org/spreadsheetml/2006/main" headerRowCount="0" ref="B2710:E2711" displayName="Table_180" name="Table_180" id="180">
  <tableColumns count="4">
    <tableColumn name="Column1" id="1"/>
    <tableColumn name="Column2" id="2"/>
    <tableColumn name="Column3" id="3"/>
    <tableColumn name="Column4" id="4"/>
  </tableColumns>
  <tableStyleInfo name="Sheet1-style 180" showColumnStripes="0" showFirstColumn="1" showLastColumn="1" showRowStripes="1"/>
</table>
</file>

<file path=xl/tables/table181.xml><?xml version="1.0" encoding="utf-8"?>
<table xmlns="http://schemas.openxmlformats.org/spreadsheetml/2006/main" headerRowCount="0" ref="B2725:E2726" displayName="Table_181" name="Table_181" id="181">
  <tableColumns count="4">
    <tableColumn name="Column1" id="1"/>
    <tableColumn name="Column2" id="2"/>
    <tableColumn name="Column3" id="3"/>
    <tableColumn name="Column4" id="4"/>
  </tableColumns>
  <tableStyleInfo name="Sheet1-style 181" showColumnStripes="0" showFirstColumn="1" showLastColumn="1" showRowStripes="1"/>
</table>
</file>

<file path=xl/tables/table182.xml><?xml version="1.0" encoding="utf-8"?>
<table xmlns="http://schemas.openxmlformats.org/spreadsheetml/2006/main" headerRowCount="0" ref="B2741:E2742" displayName="Table_182" name="Table_182" id="182">
  <tableColumns count="4">
    <tableColumn name="Column1" id="1"/>
    <tableColumn name="Column2" id="2"/>
    <tableColumn name="Column3" id="3"/>
    <tableColumn name="Column4" id="4"/>
  </tableColumns>
  <tableStyleInfo name="Sheet1-style 182" showColumnStripes="0" showFirstColumn="1" showLastColumn="1" showRowStripes="1"/>
</table>
</file>

<file path=xl/tables/table183.xml><?xml version="1.0" encoding="utf-8"?>
<table xmlns="http://schemas.openxmlformats.org/spreadsheetml/2006/main" headerRowCount="0" ref="B2756:E2757" displayName="Table_183" name="Table_183" id="183">
  <tableColumns count="4">
    <tableColumn name="Column1" id="1"/>
    <tableColumn name="Column2" id="2"/>
    <tableColumn name="Column3" id="3"/>
    <tableColumn name="Column4" id="4"/>
  </tableColumns>
  <tableStyleInfo name="Sheet1-style 183" showColumnStripes="0" showFirstColumn="1" showLastColumn="1" showRowStripes="1"/>
</table>
</file>

<file path=xl/tables/table184.xml><?xml version="1.0" encoding="utf-8"?>
<table xmlns="http://schemas.openxmlformats.org/spreadsheetml/2006/main" headerRowCount="0" ref="B2770:E2771" displayName="Table_184" name="Table_184" id="184">
  <tableColumns count="4">
    <tableColumn name="Column1" id="1"/>
    <tableColumn name="Column2" id="2"/>
    <tableColumn name="Column3" id="3"/>
    <tableColumn name="Column4" id="4"/>
  </tableColumns>
  <tableStyleInfo name="Sheet1-style 184" showColumnStripes="0" showFirstColumn="1" showLastColumn="1" showRowStripes="1"/>
</table>
</file>

<file path=xl/tables/table185.xml><?xml version="1.0" encoding="utf-8"?>
<table xmlns="http://schemas.openxmlformats.org/spreadsheetml/2006/main" headerRowCount="0" ref="B2785:E2786" displayName="Table_185" name="Table_185" id="185">
  <tableColumns count="4">
    <tableColumn name="Column1" id="1"/>
    <tableColumn name="Column2" id="2"/>
    <tableColumn name="Column3" id="3"/>
    <tableColumn name="Column4" id="4"/>
  </tableColumns>
  <tableStyleInfo name="Sheet1-style 185" showColumnStripes="0" showFirstColumn="1" showLastColumn="1" showRowStripes="1"/>
</table>
</file>

<file path=xl/tables/table186.xml><?xml version="1.0" encoding="utf-8"?>
<table xmlns="http://schemas.openxmlformats.org/spreadsheetml/2006/main" headerRowCount="0" ref="B2799:E2800" displayName="Table_186" name="Table_186" id="186">
  <tableColumns count="4">
    <tableColumn name="Column1" id="1"/>
    <tableColumn name="Column2" id="2"/>
    <tableColumn name="Column3" id="3"/>
    <tableColumn name="Column4" id="4"/>
  </tableColumns>
  <tableStyleInfo name="Sheet1-style 186" showColumnStripes="0" showFirstColumn="1" showLastColumn="1" showRowStripes="1"/>
</table>
</file>

<file path=xl/tables/table187.xml><?xml version="1.0" encoding="utf-8"?>
<table xmlns="http://schemas.openxmlformats.org/spreadsheetml/2006/main" headerRowCount="0" ref="B2814:E2815" displayName="Table_187" name="Table_187" id="187">
  <tableColumns count="4">
    <tableColumn name="Column1" id="1"/>
    <tableColumn name="Column2" id="2"/>
    <tableColumn name="Column3" id="3"/>
    <tableColumn name="Column4" id="4"/>
  </tableColumns>
  <tableStyleInfo name="Sheet1-style 187" showColumnStripes="0" showFirstColumn="1" showLastColumn="1" showRowStripes="1"/>
</table>
</file>

<file path=xl/tables/table188.xml><?xml version="1.0" encoding="utf-8"?>
<table xmlns="http://schemas.openxmlformats.org/spreadsheetml/2006/main" headerRowCount="0" ref="B2830:E2831" displayName="Table_188" name="Table_188" id="188">
  <tableColumns count="4">
    <tableColumn name="Column1" id="1"/>
    <tableColumn name="Column2" id="2"/>
    <tableColumn name="Column3" id="3"/>
    <tableColumn name="Column4" id="4"/>
  </tableColumns>
  <tableStyleInfo name="Sheet1-style 188" showColumnStripes="0" showFirstColumn="1" showLastColumn="1" showRowStripes="1"/>
</table>
</file>

<file path=xl/tables/table189.xml><?xml version="1.0" encoding="utf-8"?>
<table xmlns="http://schemas.openxmlformats.org/spreadsheetml/2006/main" headerRowCount="0" ref="B2846:E2847" displayName="Table_189" name="Table_189" id="189">
  <tableColumns count="4">
    <tableColumn name="Column1" id="1"/>
    <tableColumn name="Column2" id="2"/>
    <tableColumn name="Column3" id="3"/>
    <tableColumn name="Column4" id="4"/>
  </tableColumns>
  <tableStyleInfo name="Sheet1-style 189" showColumnStripes="0" showFirstColumn="1" showLastColumn="1" showRowStripes="1"/>
</table>
</file>

<file path=xl/tables/table190.xml><?xml version="1.0" encoding="utf-8"?>
<table xmlns="http://schemas.openxmlformats.org/spreadsheetml/2006/main" headerRowCount="0" ref="B2862:E2863" displayName="Table_190" name="Table_190" id="190">
  <tableColumns count="4">
    <tableColumn name="Column1" id="1"/>
    <tableColumn name="Column2" id="2"/>
    <tableColumn name="Column3" id="3"/>
    <tableColumn name="Column4" id="4"/>
  </tableColumns>
  <tableStyleInfo name="Sheet1-style 190" showColumnStripes="0" showFirstColumn="1" showLastColumn="1" showRowStripes="1"/>
</table>
</file>

<file path=xl/tables/table191.xml><?xml version="1.0" encoding="utf-8"?>
<table xmlns="http://schemas.openxmlformats.org/spreadsheetml/2006/main" headerRowCount="0" ref="B2878:E2879" displayName="Table_191" name="Table_191" id="191">
  <tableColumns count="4">
    <tableColumn name="Column1" id="1"/>
    <tableColumn name="Column2" id="2"/>
    <tableColumn name="Column3" id="3"/>
    <tableColumn name="Column4" id="4"/>
  </tableColumns>
  <tableStyleInfo name="Sheet1-style 191" showColumnStripes="0" showFirstColumn="1" showLastColumn="1" showRowStripes="1"/>
</table>
</file>

<file path=xl/tables/table192.xml><?xml version="1.0" encoding="utf-8"?>
<table xmlns="http://schemas.openxmlformats.org/spreadsheetml/2006/main" headerRowCount="0" ref="B2892:E2893" displayName="Table_192" name="Table_192" id="192">
  <tableColumns count="4">
    <tableColumn name="Column1" id="1"/>
    <tableColumn name="Column2" id="2"/>
    <tableColumn name="Column3" id="3"/>
    <tableColumn name="Column4" id="4"/>
  </tableColumns>
  <tableStyleInfo name="Sheet1-style 192" showColumnStripes="0" showFirstColumn="1" showLastColumn="1" showRowStripes="1"/>
</table>
</file>

<file path=xl/tables/table193.xml><?xml version="1.0" encoding="utf-8"?>
<table xmlns="http://schemas.openxmlformats.org/spreadsheetml/2006/main" headerRowCount="0" ref="B2907:E2908" displayName="Table_193" name="Table_193" id="193">
  <tableColumns count="4">
    <tableColumn name="Column1" id="1"/>
    <tableColumn name="Column2" id="2"/>
    <tableColumn name="Column3" id="3"/>
    <tableColumn name="Column4" id="4"/>
  </tableColumns>
  <tableStyleInfo name="Sheet1-style 193" showColumnStripes="0" showFirstColumn="1" showLastColumn="1" showRowStripes="1"/>
</table>
</file>

<file path=xl/tables/table194.xml><?xml version="1.0" encoding="utf-8"?>
<table xmlns="http://schemas.openxmlformats.org/spreadsheetml/2006/main" headerRowCount="0" ref="B2921:E2922" displayName="Table_194" name="Table_194" id="194">
  <tableColumns count="4">
    <tableColumn name="Column1" id="1"/>
    <tableColumn name="Column2" id="2"/>
    <tableColumn name="Column3" id="3"/>
    <tableColumn name="Column4" id="4"/>
  </tableColumns>
  <tableStyleInfo name="Sheet1-style 194" showColumnStripes="0" showFirstColumn="1" showLastColumn="1" showRowStripes="1"/>
</table>
</file>

<file path=xl/tables/table195.xml><?xml version="1.0" encoding="utf-8"?>
<table xmlns="http://schemas.openxmlformats.org/spreadsheetml/2006/main" headerRowCount="0" ref="B2934:E2935" displayName="Table_195" name="Table_195" id="195">
  <tableColumns count="4">
    <tableColumn name="Column1" id="1"/>
    <tableColumn name="Column2" id="2"/>
    <tableColumn name="Column3" id="3"/>
    <tableColumn name="Column4" id="4"/>
  </tableColumns>
  <tableStyleInfo name="Sheet1-style 195" showColumnStripes="0" showFirstColumn="1" showLastColumn="1" showRowStripes="1"/>
</table>
</file>

<file path=xl/tables/table196.xml><?xml version="1.0" encoding="utf-8"?>
<table xmlns="http://schemas.openxmlformats.org/spreadsheetml/2006/main" headerRowCount="0" ref="B2949:E2950" displayName="Table_196" name="Table_196" id="196">
  <tableColumns count="4">
    <tableColumn name="Column1" id="1"/>
    <tableColumn name="Column2" id="2"/>
    <tableColumn name="Column3" id="3"/>
    <tableColumn name="Column4" id="4"/>
  </tableColumns>
  <tableStyleInfo name="Sheet1-style 196" showColumnStripes="0" showFirstColumn="1" showLastColumn="1" showRowStripes="1"/>
</table>
</file>

<file path=xl/tables/table197.xml><?xml version="1.0" encoding="utf-8"?>
<table xmlns="http://schemas.openxmlformats.org/spreadsheetml/2006/main" headerRowCount="0" ref="B2963:E2964" displayName="Table_197" name="Table_197" id="197">
  <tableColumns count="4">
    <tableColumn name="Column1" id="1"/>
    <tableColumn name="Column2" id="2"/>
    <tableColumn name="Column3" id="3"/>
    <tableColumn name="Column4" id="4"/>
  </tableColumns>
  <tableStyleInfo name="Sheet1-style 197" showColumnStripes="0" showFirstColumn="1" showLastColumn="1" showRowStripes="1"/>
</table>
</file>

<file path=xl/tables/table198.xml><?xml version="1.0" encoding="utf-8"?>
<table xmlns="http://schemas.openxmlformats.org/spreadsheetml/2006/main" headerRowCount="0" ref="B2978:E2979" displayName="Table_198" name="Table_198" id="198">
  <tableColumns count="4">
    <tableColumn name="Column1" id="1"/>
    <tableColumn name="Column2" id="2"/>
    <tableColumn name="Column3" id="3"/>
    <tableColumn name="Column4" id="4"/>
  </tableColumns>
  <tableStyleInfo name="Sheet1-style 198" showColumnStripes="0" showFirstColumn="1" showLastColumn="1" showRowStripes="1"/>
</table>
</file>

<file path=xl/tables/table199.xml><?xml version="1.0" encoding="utf-8"?>
<table xmlns="http://schemas.openxmlformats.org/spreadsheetml/2006/main" headerRowCount="0" ref="B2992:E2993" displayName="Table_199" name="Table_199" id="199">
  <tableColumns count="4">
    <tableColumn name="Column1" id="1"/>
    <tableColumn name="Column2" id="2"/>
    <tableColumn name="Column3" id="3"/>
    <tableColumn name="Column4" id="4"/>
  </tableColumns>
  <tableStyleInfo name="Sheet1-style 199" showColumnStripes="0" showFirstColumn="1" showLastColumn="1" showRowStripes="1"/>
</table>
</file>

<file path=xl/tables/table200.xml><?xml version="1.0" encoding="utf-8"?>
<table xmlns="http://schemas.openxmlformats.org/spreadsheetml/2006/main" headerRowCount="0" ref="B3008:E3009" displayName="Table_200" name="Table_200" id="200">
  <tableColumns count="4">
    <tableColumn name="Column1" id="1"/>
    <tableColumn name="Column2" id="2"/>
    <tableColumn name="Column3" id="3"/>
    <tableColumn name="Column4" id="4"/>
  </tableColumns>
  <tableStyleInfo name="Sheet1-style 200" showColumnStripes="0" showFirstColumn="1" showLastColumn="1" showRowStripes="1"/>
</table>
</file>

<file path=xl/tables/table201.xml><?xml version="1.0" encoding="utf-8"?>
<table xmlns="http://schemas.openxmlformats.org/spreadsheetml/2006/main" headerRowCount="0" ref="B3024:E3025" displayName="Table_201" name="Table_201" id="201">
  <tableColumns count="4">
    <tableColumn name="Column1" id="1"/>
    <tableColumn name="Column2" id="2"/>
    <tableColumn name="Column3" id="3"/>
    <tableColumn name="Column4" id="4"/>
  </tableColumns>
  <tableStyleInfo name="Sheet1-style 201" showColumnStripes="0" showFirstColumn="1" showLastColumn="1" showRowStripes="1"/>
</table>
</file>

<file path=xl/tables/table202.xml><?xml version="1.0" encoding="utf-8"?>
<table xmlns="http://schemas.openxmlformats.org/spreadsheetml/2006/main" headerRowCount="0" ref="B3041:E3042" displayName="Table_202" name="Table_202" id="202">
  <tableColumns count="4">
    <tableColumn name="Column1" id="1"/>
    <tableColumn name="Column2" id="2"/>
    <tableColumn name="Column3" id="3"/>
    <tableColumn name="Column4" id="4"/>
  </tableColumns>
  <tableStyleInfo name="Sheet1-style 202" showColumnStripes="0" showFirstColumn="1" showLastColumn="1" showRowStripes="1"/>
</table>
</file>

<file path=xl/tables/table203.xml><?xml version="1.0" encoding="utf-8"?>
<table xmlns="http://schemas.openxmlformats.org/spreadsheetml/2006/main" headerRowCount="0" ref="B3055:E3056" displayName="Table_203" name="Table_203" id="203">
  <tableColumns count="4">
    <tableColumn name="Column1" id="1"/>
    <tableColumn name="Column2" id="2"/>
    <tableColumn name="Column3" id="3"/>
    <tableColumn name="Column4" id="4"/>
  </tableColumns>
  <tableStyleInfo name="Sheet1-style 203" showColumnStripes="0" showFirstColumn="1" showLastColumn="1" showRowStripes="1"/>
</table>
</file>

<file path=xl/tables/table204.xml><?xml version="1.0" encoding="utf-8"?>
<table xmlns="http://schemas.openxmlformats.org/spreadsheetml/2006/main" headerRowCount="0" ref="B3071:E3072" displayName="Table_204" name="Table_204" id="204">
  <tableColumns count="4">
    <tableColumn name="Column1" id="1"/>
    <tableColumn name="Column2" id="2"/>
    <tableColumn name="Column3" id="3"/>
    <tableColumn name="Column4" id="4"/>
  </tableColumns>
  <tableStyleInfo name="Sheet1-style 204" showColumnStripes="0" showFirstColumn="1" showLastColumn="1" showRowStripes="1"/>
</table>
</file>

<file path=xl/tables/table205.xml><?xml version="1.0" encoding="utf-8"?>
<table xmlns="http://schemas.openxmlformats.org/spreadsheetml/2006/main" headerRowCount="0" ref="B3086:E3087" displayName="Table_205" name="Table_205" id="205">
  <tableColumns count="4">
    <tableColumn name="Column1" id="1"/>
    <tableColumn name="Column2" id="2"/>
    <tableColumn name="Column3" id="3"/>
    <tableColumn name="Column4" id="4"/>
  </tableColumns>
  <tableStyleInfo name="Sheet1-style 205" showColumnStripes="0" showFirstColumn="1" showLastColumn="1" showRowStripes="1"/>
</table>
</file>

<file path=xl/tables/table206.xml><?xml version="1.0" encoding="utf-8"?>
<table xmlns="http://schemas.openxmlformats.org/spreadsheetml/2006/main" headerRowCount="0" ref="B3101:E3102" displayName="Table_206" name="Table_206" id="206">
  <tableColumns count="4">
    <tableColumn name="Column1" id="1"/>
    <tableColumn name="Column2" id="2"/>
    <tableColumn name="Column3" id="3"/>
    <tableColumn name="Column4" id="4"/>
  </tableColumns>
  <tableStyleInfo name="Sheet1-style 206" showColumnStripes="0" showFirstColumn="1" showLastColumn="1" showRowStripes="1"/>
</table>
</file>

<file path=xl/tables/table207.xml><?xml version="1.0" encoding="utf-8"?>
<table xmlns="http://schemas.openxmlformats.org/spreadsheetml/2006/main" headerRowCount="0" ref="B3119:E3120" displayName="Table_207" name="Table_207" id="207">
  <tableColumns count="4">
    <tableColumn name="Column1" id="1"/>
    <tableColumn name="Column2" id="2"/>
    <tableColumn name="Column3" id="3"/>
    <tableColumn name="Column4" id="4"/>
  </tableColumns>
  <tableStyleInfo name="Sheet1-style 207" showColumnStripes="0" showFirstColumn="1" showLastColumn="1" showRowStripes="1"/>
</table>
</file>

<file path=xl/tables/table208.xml><?xml version="1.0" encoding="utf-8"?>
<table xmlns="http://schemas.openxmlformats.org/spreadsheetml/2006/main" headerRowCount="0" ref="B3133:E3134" displayName="Table_208" name="Table_208" id="208">
  <tableColumns count="4">
    <tableColumn name="Column1" id="1"/>
    <tableColumn name="Column2" id="2"/>
    <tableColumn name="Column3" id="3"/>
    <tableColumn name="Column4" id="4"/>
  </tableColumns>
  <tableStyleInfo name="Sheet1-style 208" showColumnStripes="0" showFirstColumn="1" showLastColumn="1" showRowStripes="1"/>
</table>
</file>

<file path=xl/tables/table209.xml><?xml version="1.0" encoding="utf-8"?>
<table xmlns="http://schemas.openxmlformats.org/spreadsheetml/2006/main" headerRowCount="0" ref="B3150:E3151" displayName="Table_209" name="Table_209" id="209">
  <tableColumns count="4">
    <tableColumn name="Column1" id="1"/>
    <tableColumn name="Column2" id="2"/>
    <tableColumn name="Column3" id="3"/>
    <tableColumn name="Column4" id="4"/>
  </tableColumns>
  <tableStyleInfo name="Sheet1-style 209" showColumnStripes="0" showFirstColumn="1" showLastColumn="1" showRowStripes="1"/>
</table>
</file>

<file path=xl/tables/table210.xml><?xml version="1.0" encoding="utf-8"?>
<table xmlns="http://schemas.openxmlformats.org/spreadsheetml/2006/main" headerRowCount="0" ref="B3166:E3167" displayName="Table_210" name="Table_210" id="210">
  <tableColumns count="4">
    <tableColumn name="Column1" id="1"/>
    <tableColumn name="Column2" id="2"/>
    <tableColumn name="Column3" id="3"/>
    <tableColumn name="Column4" id="4"/>
  </tableColumns>
  <tableStyleInfo name="Sheet1-style 210" showColumnStripes="0" showFirstColumn="1" showLastColumn="1" showRowStripes="1"/>
</table>
</file>

<file path=xl/tables/table211.xml><?xml version="1.0" encoding="utf-8"?>
<table xmlns="http://schemas.openxmlformats.org/spreadsheetml/2006/main" headerRowCount="0" ref="B3180:E3181" displayName="Table_211" name="Table_211" id="211">
  <tableColumns count="4">
    <tableColumn name="Column1" id="1"/>
    <tableColumn name="Column2" id="2"/>
    <tableColumn name="Column3" id="3"/>
    <tableColumn name="Column4" id="4"/>
  </tableColumns>
  <tableStyleInfo name="Sheet1-style 211" showColumnStripes="0" showFirstColumn="1" showLastColumn="1" showRowStripes="1"/>
</table>
</file>

<file path=xl/tables/table212.xml><?xml version="1.0" encoding="utf-8"?>
<table xmlns="http://schemas.openxmlformats.org/spreadsheetml/2006/main" headerRowCount="0" ref="B3195:E3196" displayName="Table_212" name="Table_212" id="212">
  <tableColumns count="4">
    <tableColumn name="Column1" id="1"/>
    <tableColumn name="Column2" id="2"/>
    <tableColumn name="Column3" id="3"/>
    <tableColumn name="Column4" id="4"/>
  </tableColumns>
  <tableStyleInfo name="Sheet1-style 212" showColumnStripes="0" showFirstColumn="1" showLastColumn="1" showRowStripes="1"/>
</table>
</file>

<file path=xl/tables/table213.xml><?xml version="1.0" encoding="utf-8"?>
<table xmlns="http://schemas.openxmlformats.org/spreadsheetml/2006/main" headerRowCount="0" ref="B3211:E3212" displayName="Table_213" name="Table_213" id="213">
  <tableColumns count="4">
    <tableColumn name="Column1" id="1"/>
    <tableColumn name="Column2" id="2"/>
    <tableColumn name="Column3" id="3"/>
    <tableColumn name="Column4" id="4"/>
  </tableColumns>
  <tableStyleInfo name="Sheet1-style 213" showColumnStripes="0" showFirstColumn="1" showLastColumn="1" showRowStripes="1"/>
</table>
</file>

<file path=xl/tables/table214.xml><?xml version="1.0" encoding="utf-8"?>
<table xmlns="http://schemas.openxmlformats.org/spreadsheetml/2006/main" headerRowCount="0" ref="B3227:E3228" displayName="Table_214" name="Table_214" id="214">
  <tableColumns count="4">
    <tableColumn name="Column1" id="1"/>
    <tableColumn name="Column2" id="2"/>
    <tableColumn name="Column3" id="3"/>
    <tableColumn name="Column4" id="4"/>
  </tableColumns>
  <tableStyleInfo name="Sheet1-style 214" showColumnStripes="0" showFirstColumn="1" showLastColumn="1" showRowStripes="1"/>
</table>
</file>

<file path=xl/tables/table215.xml><?xml version="1.0" encoding="utf-8"?>
<table xmlns="http://schemas.openxmlformats.org/spreadsheetml/2006/main" headerRowCount="0" ref="B3242:E3243" displayName="Table_215" name="Table_215" id="215">
  <tableColumns count="4">
    <tableColumn name="Column1" id="1"/>
    <tableColumn name="Column2" id="2"/>
    <tableColumn name="Column3" id="3"/>
    <tableColumn name="Column4" id="4"/>
  </tableColumns>
  <tableStyleInfo name="Sheet1-style 215" showColumnStripes="0" showFirstColumn="1" showLastColumn="1" showRowStripes="1"/>
</table>
</file>

<file path=xl/tables/table216.xml><?xml version="1.0" encoding="utf-8"?>
<table xmlns="http://schemas.openxmlformats.org/spreadsheetml/2006/main" headerRowCount="0" ref="B3257:E3258" displayName="Table_216" name="Table_216" id="216">
  <tableColumns count="4">
    <tableColumn name="Column1" id="1"/>
    <tableColumn name="Column2" id="2"/>
    <tableColumn name="Column3" id="3"/>
    <tableColumn name="Column4" id="4"/>
  </tableColumns>
  <tableStyleInfo name="Sheet1-style 216" showColumnStripes="0" showFirstColumn="1" showLastColumn="1" showRowStripes="1"/>
</table>
</file>

<file path=xl/tables/table217.xml><?xml version="1.0" encoding="utf-8"?>
<table xmlns="http://schemas.openxmlformats.org/spreadsheetml/2006/main" headerRowCount="0" ref="B3272:E3273" displayName="Table_217" name="Table_217" id="217">
  <tableColumns count="4">
    <tableColumn name="Column1" id="1"/>
    <tableColumn name="Column2" id="2"/>
    <tableColumn name="Column3" id="3"/>
    <tableColumn name="Column4" id="4"/>
  </tableColumns>
  <tableStyleInfo name="Sheet1-style 217" showColumnStripes="0" showFirstColumn="1" showLastColumn="1" showRowStripes="1"/>
</table>
</file>

<file path=xl/tables/table218.xml><?xml version="1.0" encoding="utf-8"?>
<table xmlns="http://schemas.openxmlformats.org/spreadsheetml/2006/main" headerRowCount="0" ref="B3287:E3288" displayName="Table_218" name="Table_218" id="218">
  <tableColumns count="4">
    <tableColumn name="Column1" id="1"/>
    <tableColumn name="Column2" id="2"/>
    <tableColumn name="Column3" id="3"/>
    <tableColumn name="Column4" id="4"/>
  </tableColumns>
  <tableStyleInfo name="Sheet1-style 218" showColumnStripes="0" showFirstColumn="1" showLastColumn="1" showRowStripes="1"/>
</table>
</file>

<file path=xl/tables/table219.xml><?xml version="1.0" encoding="utf-8"?>
<table xmlns="http://schemas.openxmlformats.org/spreadsheetml/2006/main" headerRowCount="0" ref="B3301:E3302" displayName="Table_219" name="Table_219" id="219">
  <tableColumns count="4">
    <tableColumn name="Column1" id="1"/>
    <tableColumn name="Column2" id="2"/>
    <tableColumn name="Column3" id="3"/>
    <tableColumn name="Column4" id="4"/>
  </tableColumns>
  <tableStyleInfo name="Sheet1-style 219" showColumnStripes="0" showFirstColumn="1" showLastColumn="1" showRowStripes="1"/>
</table>
</file>

<file path=xl/tables/table220.xml><?xml version="1.0" encoding="utf-8"?>
<table xmlns="http://schemas.openxmlformats.org/spreadsheetml/2006/main" headerRowCount="0" ref="B3315:E3316" displayName="Table_220" name="Table_220" id="220">
  <tableColumns count="4">
    <tableColumn name="Column1" id="1"/>
    <tableColumn name="Column2" id="2"/>
    <tableColumn name="Column3" id="3"/>
    <tableColumn name="Column4" id="4"/>
  </tableColumns>
  <tableStyleInfo name="Sheet1-style 220" showColumnStripes="0" showFirstColumn="1" showLastColumn="1" showRowStripes="1"/>
</table>
</file>

<file path=xl/tables/table221.xml><?xml version="1.0" encoding="utf-8"?>
<table xmlns="http://schemas.openxmlformats.org/spreadsheetml/2006/main" headerRowCount="0" ref="B3330:E3331" displayName="Table_221" name="Table_221" id="221">
  <tableColumns count="4">
    <tableColumn name="Column1" id="1"/>
    <tableColumn name="Column2" id="2"/>
    <tableColumn name="Column3" id="3"/>
    <tableColumn name="Column4" id="4"/>
  </tableColumns>
  <tableStyleInfo name="Sheet1-style 221" showColumnStripes="0" showFirstColumn="1" showLastColumn="1" showRowStripes="1"/>
</table>
</file>

<file path=xl/tables/table222.xml><?xml version="1.0" encoding="utf-8"?>
<table xmlns="http://schemas.openxmlformats.org/spreadsheetml/2006/main" headerRowCount="0" ref="B3345:E3346" displayName="Table_222" name="Table_222" id="222">
  <tableColumns count="4">
    <tableColumn name="Column1" id="1"/>
    <tableColumn name="Column2" id="2"/>
    <tableColumn name="Column3" id="3"/>
    <tableColumn name="Column4" id="4"/>
  </tableColumns>
  <tableStyleInfo name="Sheet1-style 222" showColumnStripes="0" showFirstColumn="1" showLastColumn="1" showRowStripes="1"/>
</table>
</file>

<file path=xl/tables/table223.xml><?xml version="1.0" encoding="utf-8"?>
<table xmlns="http://schemas.openxmlformats.org/spreadsheetml/2006/main" headerRowCount="0" ref="B3363:E3364" displayName="Table_223" name="Table_223" id="223">
  <tableColumns count="4">
    <tableColumn name="Column1" id="1"/>
    <tableColumn name="Column2" id="2"/>
    <tableColumn name="Column3" id="3"/>
    <tableColumn name="Column4" id="4"/>
  </tableColumns>
  <tableStyleInfo name="Sheet1-style 223" showColumnStripes="0" showFirstColumn="1" showLastColumn="1" showRowStripes="1"/>
</table>
</file>

<file path=xl/tables/table224.xml><?xml version="1.0" encoding="utf-8"?>
<table xmlns="http://schemas.openxmlformats.org/spreadsheetml/2006/main" headerRowCount="0" ref="B3378:E3379" displayName="Table_224" name="Table_224" id="224">
  <tableColumns count="4">
    <tableColumn name="Column1" id="1"/>
    <tableColumn name="Column2" id="2"/>
    <tableColumn name="Column3" id="3"/>
    <tableColumn name="Column4" id="4"/>
  </tableColumns>
  <tableStyleInfo name="Sheet1-style 224" showColumnStripes="0" showFirstColumn="1" showLastColumn="1" showRowStripes="1"/>
</table>
</file>

<file path=xl/tables/table225.xml><?xml version="1.0" encoding="utf-8"?>
<table xmlns="http://schemas.openxmlformats.org/spreadsheetml/2006/main" headerRowCount="0" ref="B3393:E3394" displayName="Table_225" name="Table_225" id="225">
  <tableColumns count="4">
    <tableColumn name="Column1" id="1"/>
    <tableColumn name="Column2" id="2"/>
    <tableColumn name="Column3" id="3"/>
    <tableColumn name="Column4" id="4"/>
  </tableColumns>
  <tableStyleInfo name="Sheet1-style 225" showColumnStripes="0" showFirstColumn="1" showLastColumn="1" showRowStripes="1"/>
</table>
</file>

<file path=xl/tables/table226.xml><?xml version="1.0" encoding="utf-8"?>
<table xmlns="http://schemas.openxmlformats.org/spreadsheetml/2006/main" headerRowCount="0" ref="B3408:E3409" displayName="Table_226" name="Table_226" id="226">
  <tableColumns count="4">
    <tableColumn name="Column1" id="1"/>
    <tableColumn name="Column2" id="2"/>
    <tableColumn name="Column3" id="3"/>
    <tableColumn name="Column4" id="4"/>
  </tableColumns>
  <tableStyleInfo name="Sheet1-style 226" showColumnStripes="0" showFirstColumn="1" showLastColumn="1" showRowStripes="1"/>
</table>
</file>

<file path=xl/tables/table227.xml><?xml version="1.0" encoding="utf-8"?>
<table xmlns="http://schemas.openxmlformats.org/spreadsheetml/2006/main" headerRowCount="0" ref="B3423:E3424" displayName="Table_227" name="Table_227" id="227">
  <tableColumns count="4">
    <tableColumn name="Column1" id="1"/>
    <tableColumn name="Column2" id="2"/>
    <tableColumn name="Column3" id="3"/>
    <tableColumn name="Column4" id="4"/>
  </tableColumns>
  <tableStyleInfo name="Sheet1-style 227" showColumnStripes="0" showFirstColumn="1" showLastColumn="1" showRowStripes="1"/>
</table>
</file>

<file path=xl/tables/table228.xml><?xml version="1.0" encoding="utf-8"?>
<table xmlns="http://schemas.openxmlformats.org/spreadsheetml/2006/main" headerRowCount="0" ref="B3437:E3438" displayName="Table_228" name="Table_228" id="228">
  <tableColumns count="4">
    <tableColumn name="Column1" id="1"/>
    <tableColumn name="Column2" id="2"/>
    <tableColumn name="Column3" id="3"/>
    <tableColumn name="Column4" id="4"/>
  </tableColumns>
  <tableStyleInfo name="Sheet1-style 228" showColumnStripes="0" showFirstColumn="1" showLastColumn="1" showRowStripes="1"/>
</table>
</file>

<file path=xl/tables/table229.xml><?xml version="1.0" encoding="utf-8"?>
<table xmlns="http://schemas.openxmlformats.org/spreadsheetml/2006/main" headerRowCount="0" ref="B3454:E3455" displayName="Table_229" name="Table_229" id="229">
  <tableColumns count="4">
    <tableColumn name="Column1" id="1"/>
    <tableColumn name="Column2" id="2"/>
    <tableColumn name="Column3" id="3"/>
    <tableColumn name="Column4" id="4"/>
  </tableColumns>
  <tableStyleInfo name="Sheet1-style 229" showColumnStripes="0" showFirstColumn="1" showLastColumn="1" showRowStripes="1"/>
</table>
</file>

<file path=xl/tables/table230.xml><?xml version="1.0" encoding="utf-8"?>
<table xmlns="http://schemas.openxmlformats.org/spreadsheetml/2006/main" headerRowCount="0" ref="B3471:E3472" displayName="Table_230" name="Table_230" id="230">
  <tableColumns count="4">
    <tableColumn name="Column1" id="1"/>
    <tableColumn name="Column2" id="2"/>
    <tableColumn name="Column3" id="3"/>
    <tableColumn name="Column4" id="4"/>
  </tableColumns>
  <tableStyleInfo name="Sheet1-style 230" showColumnStripes="0" showFirstColumn="1" showLastColumn="1" showRowStripes="1"/>
</table>
</file>

<file path=xl/tables/table231.xml><?xml version="1.0" encoding="utf-8"?>
<table xmlns="http://schemas.openxmlformats.org/spreadsheetml/2006/main" headerRowCount="0" ref="B3488:E3489" displayName="Table_231" name="Table_231" id="231">
  <tableColumns count="4">
    <tableColumn name="Column1" id="1"/>
    <tableColumn name="Column2" id="2"/>
    <tableColumn name="Column3" id="3"/>
    <tableColumn name="Column4" id="4"/>
  </tableColumns>
  <tableStyleInfo name="Sheet1-style 231" showColumnStripes="0" showFirstColumn="1" showLastColumn="1" showRowStripes="1"/>
</table>
</file>

<file path=xl/tables/table232.xml><?xml version="1.0" encoding="utf-8"?>
<table xmlns="http://schemas.openxmlformats.org/spreadsheetml/2006/main" headerRowCount="0" ref="B3504:E3505" displayName="Table_232" name="Table_232" id="232">
  <tableColumns count="4">
    <tableColumn name="Column1" id="1"/>
    <tableColumn name="Column2" id="2"/>
    <tableColumn name="Column3" id="3"/>
    <tableColumn name="Column4" id="4"/>
  </tableColumns>
  <tableStyleInfo name="Sheet1-style 232" showColumnStripes="0" showFirstColumn="1" showLastColumn="1" showRowStripes="1"/>
</table>
</file>

<file path=xl/tables/table233.xml><?xml version="1.0" encoding="utf-8"?>
<table xmlns="http://schemas.openxmlformats.org/spreadsheetml/2006/main" headerRowCount="0" ref="B3520:E3521" displayName="Table_233" name="Table_233" id="233">
  <tableColumns count="4">
    <tableColumn name="Column1" id="1"/>
    <tableColumn name="Column2" id="2"/>
    <tableColumn name="Column3" id="3"/>
    <tableColumn name="Column4" id="4"/>
  </tableColumns>
  <tableStyleInfo name="Sheet1-style 233" showColumnStripes="0" showFirstColumn="1" showLastColumn="1" showRowStripes="1"/>
</table>
</file>

<file path=xl/tables/table234.xml><?xml version="1.0" encoding="utf-8"?>
<table xmlns="http://schemas.openxmlformats.org/spreadsheetml/2006/main" headerRowCount="0" ref="B3535:E3536" displayName="Table_234" name="Table_234" id="234">
  <tableColumns count="4">
    <tableColumn name="Column1" id="1"/>
    <tableColumn name="Column2" id="2"/>
    <tableColumn name="Column3" id="3"/>
    <tableColumn name="Column4" id="4"/>
  </tableColumns>
  <tableStyleInfo name="Sheet1-style 234" showColumnStripes="0" showFirstColumn="1" showLastColumn="1" showRowStripes="1"/>
</table>
</file>

<file path=xl/tables/table235.xml><?xml version="1.0" encoding="utf-8"?>
<table xmlns="http://schemas.openxmlformats.org/spreadsheetml/2006/main" headerRowCount="0" ref="B3552:E3553" displayName="Table_235" name="Table_235" id="235">
  <tableColumns count="4">
    <tableColumn name="Column1" id="1"/>
    <tableColumn name="Column2" id="2"/>
    <tableColumn name="Column3" id="3"/>
    <tableColumn name="Column4" id="4"/>
  </tableColumns>
  <tableStyleInfo name="Sheet1-style 235" showColumnStripes="0" showFirstColumn="1" showLastColumn="1" showRowStripes="1"/>
</table>
</file>

<file path=xl/tables/table236.xml><?xml version="1.0" encoding="utf-8"?>
<table xmlns="http://schemas.openxmlformats.org/spreadsheetml/2006/main" headerRowCount="0" ref="B3570:E3571" displayName="Table_236" name="Table_236" id="236">
  <tableColumns count="4">
    <tableColumn name="Column1" id="1"/>
    <tableColumn name="Column2" id="2"/>
    <tableColumn name="Column3" id="3"/>
    <tableColumn name="Column4" id="4"/>
  </tableColumns>
  <tableStyleInfo name="Sheet1-style 236" showColumnStripes="0" showFirstColumn="1" showLastColumn="1" showRowStripes="1"/>
</table>
</file>

<file path=xl/tables/table237.xml><?xml version="1.0" encoding="utf-8"?>
<table xmlns="http://schemas.openxmlformats.org/spreadsheetml/2006/main" headerRowCount="0" ref="B3585:E3586" displayName="Table_237" name="Table_237" id="237">
  <tableColumns count="4">
    <tableColumn name="Column1" id="1"/>
    <tableColumn name="Column2" id="2"/>
    <tableColumn name="Column3" id="3"/>
    <tableColumn name="Column4" id="4"/>
  </tableColumns>
  <tableStyleInfo name="Sheet1-style 237" showColumnStripes="0" showFirstColumn="1" showLastColumn="1" showRowStripes="1"/>
</table>
</file>

<file path=xl/tables/table238.xml><?xml version="1.0" encoding="utf-8"?>
<table xmlns="http://schemas.openxmlformats.org/spreadsheetml/2006/main" headerRowCount="0" ref="B3599:E3600" displayName="Table_238" name="Table_238" id="238">
  <tableColumns count="4">
    <tableColumn name="Column1" id="1"/>
    <tableColumn name="Column2" id="2"/>
    <tableColumn name="Column3" id="3"/>
    <tableColumn name="Column4" id="4"/>
  </tableColumns>
  <tableStyleInfo name="Sheet1-style 238" showColumnStripes="0" showFirstColumn="1" showLastColumn="1" showRowStripes="1"/>
</table>
</file>

<file path=xl/tables/table239.xml><?xml version="1.0" encoding="utf-8"?>
<table xmlns="http://schemas.openxmlformats.org/spreadsheetml/2006/main" headerRowCount="0" ref="B3613:E3614" displayName="Table_239" name="Table_239" id="239">
  <tableColumns count="4">
    <tableColumn name="Column1" id="1"/>
    <tableColumn name="Column2" id="2"/>
    <tableColumn name="Column3" id="3"/>
    <tableColumn name="Column4" id="4"/>
  </tableColumns>
  <tableStyleInfo name="Sheet1-style 239" showColumnStripes="0" showFirstColumn="1" showLastColumn="1" showRowStripes="1"/>
</table>
</file>

<file path=xl/tables/table240.xml><?xml version="1.0" encoding="utf-8"?>
<table xmlns="http://schemas.openxmlformats.org/spreadsheetml/2006/main" headerRowCount="0" ref="B3627:E3628" displayName="Table_240" name="Table_240" id="240">
  <tableColumns count="4">
    <tableColumn name="Column1" id="1"/>
    <tableColumn name="Column2" id="2"/>
    <tableColumn name="Column3" id="3"/>
    <tableColumn name="Column4" id="4"/>
  </tableColumns>
  <tableStyleInfo name="Sheet1-style 240" showColumnStripes="0" showFirstColumn="1" showLastColumn="1" showRowStripes="1"/>
</table>
</file>

<file path=xl/tables/table241.xml><?xml version="1.0" encoding="utf-8"?>
<table xmlns="http://schemas.openxmlformats.org/spreadsheetml/2006/main" headerRowCount="0" ref="B3646:E3647" displayName="Table_241" name="Table_241" id="241">
  <tableColumns count="4">
    <tableColumn name="Column1" id="1"/>
    <tableColumn name="Column2" id="2"/>
    <tableColumn name="Column3" id="3"/>
    <tableColumn name="Column4" id="4"/>
  </tableColumns>
  <tableStyleInfo name="Sheet1-style 241" showColumnStripes="0" showFirstColumn="1" showLastColumn="1" showRowStripes="1"/>
</table>
</file>

<file path=xl/tables/table242.xml><?xml version="1.0" encoding="utf-8"?>
<table xmlns="http://schemas.openxmlformats.org/spreadsheetml/2006/main" headerRowCount="0" ref="B3661:E3662" displayName="Table_242" name="Table_242" id="242">
  <tableColumns count="4">
    <tableColumn name="Column1" id="1"/>
    <tableColumn name="Column2" id="2"/>
    <tableColumn name="Column3" id="3"/>
    <tableColumn name="Column4" id="4"/>
  </tableColumns>
  <tableStyleInfo name="Sheet1-style 242" showColumnStripes="0" showFirstColumn="1" showLastColumn="1" showRowStripes="1"/>
</table>
</file>

<file path=xl/tables/table243.xml><?xml version="1.0" encoding="utf-8"?>
<table xmlns="http://schemas.openxmlformats.org/spreadsheetml/2006/main" headerRowCount="0" ref="B3676:E3677" displayName="Table_243" name="Table_243" id="243">
  <tableColumns count="4">
    <tableColumn name="Column1" id="1"/>
    <tableColumn name="Column2" id="2"/>
    <tableColumn name="Column3" id="3"/>
    <tableColumn name="Column4" id="4"/>
  </tableColumns>
  <tableStyleInfo name="Sheet1-style 243" showColumnStripes="0" showFirstColumn="1" showLastColumn="1" showRowStripes="1"/>
</table>
</file>

<file path=xl/tables/table244.xml><?xml version="1.0" encoding="utf-8"?>
<table xmlns="http://schemas.openxmlformats.org/spreadsheetml/2006/main" headerRowCount="0" ref="B3690:E3691" displayName="Table_244" name="Table_244" id="244">
  <tableColumns count="4">
    <tableColumn name="Column1" id="1"/>
    <tableColumn name="Column2" id="2"/>
    <tableColumn name="Column3" id="3"/>
    <tableColumn name="Column4" id="4"/>
  </tableColumns>
  <tableStyleInfo name="Sheet1-style 244" showColumnStripes="0" showFirstColumn="1" showLastColumn="1" showRowStripes="1"/>
</table>
</file>

<file path=xl/tables/table245.xml><?xml version="1.0" encoding="utf-8"?>
<table xmlns="http://schemas.openxmlformats.org/spreadsheetml/2006/main" headerRowCount="0" ref="B3704:E3705" displayName="Table_245" name="Table_245" id="245">
  <tableColumns count="4">
    <tableColumn name="Column1" id="1"/>
    <tableColumn name="Column2" id="2"/>
    <tableColumn name="Column3" id="3"/>
    <tableColumn name="Column4" id="4"/>
  </tableColumns>
  <tableStyleInfo name="Sheet1-style 245" showColumnStripes="0" showFirstColumn="1" showLastColumn="1" showRowStripes="1"/>
</table>
</file>

<file path=xl/tables/table246.xml><?xml version="1.0" encoding="utf-8"?>
<table xmlns="http://schemas.openxmlformats.org/spreadsheetml/2006/main" headerRowCount="0" ref="B3718:E3719" displayName="Table_246" name="Table_246" id="246">
  <tableColumns count="4">
    <tableColumn name="Column1" id="1"/>
    <tableColumn name="Column2" id="2"/>
    <tableColumn name="Column3" id="3"/>
    <tableColumn name="Column4" id="4"/>
  </tableColumns>
  <tableStyleInfo name="Sheet1-style 246" showColumnStripes="0" showFirstColumn="1" showLastColumn="1" showRowStripes="1"/>
</table>
</file>

<file path=xl/tables/table247.xml><?xml version="1.0" encoding="utf-8"?>
<table xmlns="http://schemas.openxmlformats.org/spreadsheetml/2006/main" headerRowCount="0" ref="B3734:E3735" displayName="Table_247" name="Table_247" id="247">
  <tableColumns count="4">
    <tableColumn name="Column1" id="1"/>
    <tableColumn name="Column2" id="2"/>
    <tableColumn name="Column3" id="3"/>
    <tableColumn name="Column4" id="4"/>
  </tableColumns>
  <tableStyleInfo name="Sheet1-style 247" showColumnStripes="0" showFirstColumn="1" showLastColumn="1" showRowStripes="1"/>
</table>
</file>

<file path=xl/tables/table248.xml><?xml version="1.0" encoding="utf-8"?>
<table xmlns="http://schemas.openxmlformats.org/spreadsheetml/2006/main" headerRowCount="0" ref="B3748:E3749" displayName="Table_248" name="Table_248" id="248">
  <tableColumns count="4">
    <tableColumn name="Column1" id="1"/>
    <tableColumn name="Column2" id="2"/>
    <tableColumn name="Column3" id="3"/>
    <tableColumn name="Column4" id="4"/>
  </tableColumns>
  <tableStyleInfo name="Sheet1-style 248" showColumnStripes="0" showFirstColumn="1" showLastColumn="1" showRowStripes="1"/>
</table>
</file>

<file path=xl/tables/table249.xml><?xml version="1.0" encoding="utf-8"?>
<table xmlns="http://schemas.openxmlformats.org/spreadsheetml/2006/main" headerRowCount="0" ref="B3763:E3764" displayName="Table_249" name="Table_249" id="249">
  <tableColumns count="4">
    <tableColumn name="Column1" id="1"/>
    <tableColumn name="Column2" id="2"/>
    <tableColumn name="Column3" id="3"/>
    <tableColumn name="Column4" id="4"/>
  </tableColumns>
  <tableStyleInfo name="Sheet1-style 249" showColumnStripes="0" showFirstColumn="1" showLastColumn="1" showRowStripes="1"/>
</table>
</file>

<file path=xl/tables/table250.xml><?xml version="1.0" encoding="utf-8"?>
<table xmlns="http://schemas.openxmlformats.org/spreadsheetml/2006/main" headerRowCount="0" ref="B3779:E3780" displayName="Table_250" name="Table_250" id="250">
  <tableColumns count="4">
    <tableColumn name="Column1" id="1"/>
    <tableColumn name="Column2" id="2"/>
    <tableColumn name="Column3" id="3"/>
    <tableColumn name="Column4" id="4"/>
  </tableColumns>
  <tableStyleInfo name="Sheet1-style 250" showColumnStripes="0" showFirstColumn="1" showLastColumn="1" showRowStripes="1"/>
</table>
</file>

<file path=xl/tables/table251.xml><?xml version="1.0" encoding="utf-8"?>
<table xmlns="http://schemas.openxmlformats.org/spreadsheetml/2006/main" headerRowCount="0" ref="B3793:E3794" displayName="Table_251" name="Table_251" id="251">
  <tableColumns count="4">
    <tableColumn name="Column1" id="1"/>
    <tableColumn name="Column2" id="2"/>
    <tableColumn name="Column3" id="3"/>
    <tableColumn name="Column4" id="4"/>
  </tableColumns>
  <tableStyleInfo name="Sheet1-style 251" showColumnStripes="0" showFirstColumn="1" showLastColumn="1" showRowStripes="1"/>
</table>
</file>

<file path=xl/tables/table252.xml><?xml version="1.0" encoding="utf-8"?>
<table xmlns="http://schemas.openxmlformats.org/spreadsheetml/2006/main" headerRowCount="0" ref="B3808:E3809" displayName="Table_252" name="Table_252" id="252">
  <tableColumns count="4">
    <tableColumn name="Column1" id="1"/>
    <tableColumn name="Column2" id="2"/>
    <tableColumn name="Column3" id="3"/>
    <tableColumn name="Column4" id="4"/>
  </tableColumns>
  <tableStyleInfo name="Sheet1-style 252" showColumnStripes="0" showFirstColumn="1" showLastColumn="1" showRowStripes="1"/>
</table>
</file>

<file path=xl/tables/table253.xml><?xml version="1.0" encoding="utf-8"?>
<table xmlns="http://schemas.openxmlformats.org/spreadsheetml/2006/main" headerRowCount="0" ref="B3822:E3823" displayName="Table_253" name="Table_253" id="253">
  <tableColumns count="4">
    <tableColumn name="Column1" id="1"/>
    <tableColumn name="Column2" id="2"/>
    <tableColumn name="Column3" id="3"/>
    <tableColumn name="Column4" id="4"/>
  </tableColumns>
  <tableStyleInfo name="Sheet1-style 253" showColumnStripes="0" showFirstColumn="1" showLastColumn="1" showRowStripes="1"/>
</table>
</file>

<file path=xl/tables/table254.xml><?xml version="1.0" encoding="utf-8"?>
<table xmlns="http://schemas.openxmlformats.org/spreadsheetml/2006/main" headerRowCount="0" ref="B3837:E3838" displayName="Table_254" name="Table_254" id="254">
  <tableColumns count="4">
    <tableColumn name="Column1" id="1"/>
    <tableColumn name="Column2" id="2"/>
    <tableColumn name="Column3" id="3"/>
    <tableColumn name="Column4" id="4"/>
  </tableColumns>
  <tableStyleInfo name="Sheet1-style 254" showColumnStripes="0" showFirstColumn="1" showLastColumn="1" showRowStripes="1"/>
</table>
</file>

<file path=xl/tables/table255.xml><?xml version="1.0" encoding="utf-8"?>
<table xmlns="http://schemas.openxmlformats.org/spreadsheetml/2006/main" headerRowCount="0" ref="B3853:E3854" displayName="Table_255" name="Table_255" id="255">
  <tableColumns count="4">
    <tableColumn name="Column1" id="1"/>
    <tableColumn name="Column2" id="2"/>
    <tableColumn name="Column3" id="3"/>
    <tableColumn name="Column4" id="4"/>
  </tableColumns>
  <tableStyleInfo name="Sheet1-style 255" showColumnStripes="0" showFirstColumn="1" showLastColumn="1" showRowStripes="1"/>
</table>
</file>

<file path=xl/tables/table256.xml><?xml version="1.0" encoding="utf-8"?>
<table xmlns="http://schemas.openxmlformats.org/spreadsheetml/2006/main" headerRowCount="0" ref="B3870:E3871" displayName="Table_256" name="Table_256" id="256">
  <tableColumns count="4">
    <tableColumn name="Column1" id="1"/>
    <tableColumn name="Column2" id="2"/>
    <tableColumn name="Column3" id="3"/>
    <tableColumn name="Column4" id="4"/>
  </tableColumns>
  <tableStyleInfo name="Sheet1-style 256" showColumnStripes="0" showFirstColumn="1" showLastColumn="1" showRowStripes="1"/>
</table>
</file>

<file path=xl/tables/table257.xml><?xml version="1.0" encoding="utf-8"?>
<table xmlns="http://schemas.openxmlformats.org/spreadsheetml/2006/main" headerRowCount="0" ref="B3886:E3887" displayName="Table_257" name="Table_257" id="257">
  <tableColumns count="4">
    <tableColumn name="Column1" id="1"/>
    <tableColumn name="Column2" id="2"/>
    <tableColumn name="Column3" id="3"/>
    <tableColumn name="Column4" id="4"/>
  </tableColumns>
  <tableStyleInfo name="Sheet1-style 257" showColumnStripes="0" showFirstColumn="1" showLastColumn="1" showRowStripes="1"/>
</table>
</file>

<file path=xl/tables/table258.xml><?xml version="1.0" encoding="utf-8"?>
<table xmlns="http://schemas.openxmlformats.org/spreadsheetml/2006/main" headerRowCount="0" ref="B3902:E3903" displayName="Table_258" name="Table_258" id="258">
  <tableColumns count="4">
    <tableColumn name="Column1" id="1"/>
    <tableColumn name="Column2" id="2"/>
    <tableColumn name="Column3" id="3"/>
    <tableColumn name="Column4" id="4"/>
  </tableColumns>
  <tableStyleInfo name="Sheet1-style 258" showColumnStripes="0" showFirstColumn="1" showLastColumn="1" showRowStripes="1"/>
</table>
</file>

<file path=xl/tables/table259.xml><?xml version="1.0" encoding="utf-8"?>
<table xmlns="http://schemas.openxmlformats.org/spreadsheetml/2006/main" headerRowCount="0" ref="B3917:E3918" displayName="Table_259" name="Table_259" id="259">
  <tableColumns count="4">
    <tableColumn name="Column1" id="1"/>
    <tableColumn name="Column2" id="2"/>
    <tableColumn name="Column3" id="3"/>
    <tableColumn name="Column4" id="4"/>
  </tableColumns>
  <tableStyleInfo name="Sheet1-style 259" showColumnStripes="0" showFirstColumn="1" showLastColumn="1" showRowStripes="1"/>
</table>
</file>

<file path=xl/tables/table260.xml><?xml version="1.0" encoding="utf-8"?>
<table xmlns="http://schemas.openxmlformats.org/spreadsheetml/2006/main" headerRowCount="0" ref="B3932:E3933" displayName="Table_260" name="Table_260" id="260">
  <tableColumns count="4">
    <tableColumn name="Column1" id="1"/>
    <tableColumn name="Column2" id="2"/>
    <tableColumn name="Column3" id="3"/>
    <tableColumn name="Column4" id="4"/>
  </tableColumns>
  <tableStyleInfo name="Sheet1-style 260" showColumnStripes="0" showFirstColumn="1" showLastColumn="1" showRowStripes="1"/>
</table>
</file>

<file path=xl/tables/table261.xml><?xml version="1.0" encoding="utf-8"?>
<table xmlns="http://schemas.openxmlformats.org/spreadsheetml/2006/main" headerRowCount="0" ref="B3948:E3949" displayName="Table_261" name="Table_261" id="261">
  <tableColumns count="4">
    <tableColumn name="Column1" id="1"/>
    <tableColumn name="Column2" id="2"/>
    <tableColumn name="Column3" id="3"/>
    <tableColumn name="Column4" id="4"/>
  </tableColumns>
  <tableStyleInfo name="Sheet1-style 261" showColumnStripes="0" showFirstColumn="1" showLastColumn="1" showRowStripes="1"/>
</table>
</file>

<file path=xl/tables/table262.xml><?xml version="1.0" encoding="utf-8"?>
<table xmlns="http://schemas.openxmlformats.org/spreadsheetml/2006/main" headerRowCount="0" ref="B3963:E3964" displayName="Table_262" name="Table_262" id="262">
  <tableColumns count="4">
    <tableColumn name="Column1" id="1"/>
    <tableColumn name="Column2" id="2"/>
    <tableColumn name="Column3" id="3"/>
    <tableColumn name="Column4" id="4"/>
  </tableColumns>
  <tableStyleInfo name="Sheet1-style 262" showColumnStripes="0" showFirstColumn="1" showLastColumn="1" showRowStripes="1"/>
</table>
</file>

<file path=xl/tables/table263.xml><?xml version="1.0" encoding="utf-8"?>
<table xmlns="http://schemas.openxmlformats.org/spreadsheetml/2006/main" headerRowCount="0" ref="B3976:E3977" displayName="Table_263" name="Table_263" id="263">
  <tableColumns count="4">
    <tableColumn name="Column1" id="1"/>
    <tableColumn name="Column2" id="2"/>
    <tableColumn name="Column3" id="3"/>
    <tableColumn name="Column4" id="4"/>
  </tableColumns>
  <tableStyleInfo name="Sheet1-style 263" showColumnStripes="0" showFirstColumn="1" showLastColumn="1" showRowStripes="1"/>
</table>
</file>

<file path=xl/tables/table264.xml><?xml version="1.0" encoding="utf-8"?>
<table xmlns="http://schemas.openxmlformats.org/spreadsheetml/2006/main" headerRowCount="0" ref="B3989:E3990" displayName="Table_264" name="Table_264" id="264">
  <tableColumns count="4">
    <tableColumn name="Column1" id="1"/>
    <tableColumn name="Column2" id="2"/>
    <tableColumn name="Column3" id="3"/>
    <tableColumn name="Column4" id="4"/>
  </tableColumns>
  <tableStyleInfo name="Sheet1-style 264" showColumnStripes="0" showFirstColumn="1" showLastColumn="1" showRowStripes="1"/>
</table>
</file>

<file path=xl/tables/table265.xml><?xml version="1.0" encoding="utf-8"?>
<table xmlns="http://schemas.openxmlformats.org/spreadsheetml/2006/main" headerRowCount="0" ref="B4003:E4004" displayName="Table_265" name="Table_265" id="265">
  <tableColumns count="4">
    <tableColumn name="Column1" id="1"/>
    <tableColumn name="Column2" id="2"/>
    <tableColumn name="Column3" id="3"/>
    <tableColumn name="Column4" id="4"/>
  </tableColumns>
  <tableStyleInfo name="Sheet1-style 265" showColumnStripes="0" showFirstColumn="1" showLastColumn="1" showRowStripes="1"/>
</table>
</file>

<file path=xl/tables/table266.xml><?xml version="1.0" encoding="utf-8"?>
<table xmlns="http://schemas.openxmlformats.org/spreadsheetml/2006/main" headerRowCount="0" ref="B4017:E4018" displayName="Table_266" name="Table_266" id="266">
  <tableColumns count="4">
    <tableColumn name="Column1" id="1"/>
    <tableColumn name="Column2" id="2"/>
    <tableColumn name="Column3" id="3"/>
    <tableColumn name="Column4" id="4"/>
  </tableColumns>
  <tableStyleInfo name="Sheet1-style 266" showColumnStripes="0" showFirstColumn="1" showLastColumn="1" showRowStripes="1"/>
</table>
</file>

<file path=xl/tables/table267.xml><?xml version="1.0" encoding="utf-8"?>
<table xmlns="http://schemas.openxmlformats.org/spreadsheetml/2006/main" headerRowCount="0" ref="B4032:E4033" displayName="Table_267" name="Table_267" id="267">
  <tableColumns count="4">
    <tableColumn name="Column1" id="1"/>
    <tableColumn name="Column2" id="2"/>
    <tableColumn name="Column3" id="3"/>
    <tableColumn name="Column4" id="4"/>
  </tableColumns>
  <tableStyleInfo name="Sheet1-style 267" showColumnStripes="0" showFirstColumn="1" showLastColumn="1" showRowStripes="1"/>
</table>
</file>

<file path=xl/tables/table268.xml><?xml version="1.0" encoding="utf-8"?>
<table xmlns="http://schemas.openxmlformats.org/spreadsheetml/2006/main" headerRowCount="0" ref="B4048:E4049" displayName="Table_268" name="Table_268" id="268">
  <tableColumns count="4">
    <tableColumn name="Column1" id="1"/>
    <tableColumn name="Column2" id="2"/>
    <tableColumn name="Column3" id="3"/>
    <tableColumn name="Column4" id="4"/>
  </tableColumns>
  <tableStyleInfo name="Sheet1-style 268" showColumnStripes="0" showFirstColumn="1" showLastColumn="1" showRowStripes="1"/>
</table>
</file>

<file path=xl/tables/table269.xml><?xml version="1.0" encoding="utf-8"?>
<table xmlns="http://schemas.openxmlformats.org/spreadsheetml/2006/main" headerRowCount="0" ref="B4064:E4065" displayName="Table_269" name="Table_269" id="269">
  <tableColumns count="4">
    <tableColumn name="Column1" id="1"/>
    <tableColumn name="Column2" id="2"/>
    <tableColumn name="Column3" id="3"/>
    <tableColumn name="Column4" id="4"/>
  </tableColumns>
  <tableStyleInfo name="Sheet1-style 269" showColumnStripes="0" showFirstColumn="1" showLastColumn="1" showRowStripes="1"/>
</table>
</file>

<file path=xl/tables/table270.xml><?xml version="1.0" encoding="utf-8"?>
<table xmlns="http://schemas.openxmlformats.org/spreadsheetml/2006/main" headerRowCount="0" ref="B4079:E4080" displayName="Table_270" name="Table_270" id="270">
  <tableColumns count="4">
    <tableColumn name="Column1" id="1"/>
    <tableColumn name="Column2" id="2"/>
    <tableColumn name="Column3" id="3"/>
    <tableColumn name="Column4" id="4"/>
  </tableColumns>
  <tableStyleInfo name="Sheet1-style 270" showColumnStripes="0" showFirstColumn="1" showLastColumn="1" showRowStripes="1"/>
</table>
</file>

<file path=xl/tables/table271.xml><?xml version="1.0" encoding="utf-8"?>
<table xmlns="http://schemas.openxmlformats.org/spreadsheetml/2006/main" headerRowCount="0" ref="B4094:E4095" displayName="Table_271" name="Table_271" id="271">
  <tableColumns count="4">
    <tableColumn name="Column1" id="1"/>
    <tableColumn name="Column2" id="2"/>
    <tableColumn name="Column3" id="3"/>
    <tableColumn name="Column4" id="4"/>
  </tableColumns>
  <tableStyleInfo name="Sheet1-style 271" showColumnStripes="0" showFirstColumn="1" showLastColumn="1" showRowStripes="1"/>
</table>
</file>

<file path=xl/tables/table272.xml><?xml version="1.0" encoding="utf-8"?>
<table xmlns="http://schemas.openxmlformats.org/spreadsheetml/2006/main" headerRowCount="0" ref="B4109:E4110" displayName="Table_272" name="Table_272" id="272">
  <tableColumns count="4">
    <tableColumn name="Column1" id="1"/>
    <tableColumn name="Column2" id="2"/>
    <tableColumn name="Column3" id="3"/>
    <tableColumn name="Column4" id="4"/>
  </tableColumns>
  <tableStyleInfo name="Sheet1-style 272" showColumnStripes="0" showFirstColumn="1" showLastColumn="1" showRowStripes="1"/>
</table>
</file>

<file path=xl/tables/table273.xml><?xml version="1.0" encoding="utf-8"?>
<table xmlns="http://schemas.openxmlformats.org/spreadsheetml/2006/main" headerRowCount="0" ref="B4125:E4126" displayName="Table_273" name="Table_273" id="273">
  <tableColumns count="4">
    <tableColumn name="Column1" id="1"/>
    <tableColumn name="Column2" id="2"/>
    <tableColumn name="Column3" id="3"/>
    <tableColumn name="Column4" id="4"/>
  </tableColumns>
  <tableStyleInfo name="Sheet1-style 273" showColumnStripes="0" showFirstColumn="1" showLastColumn="1" showRowStripes="1"/>
</table>
</file>

<file path=xl/tables/table274.xml><?xml version="1.0" encoding="utf-8"?>
<table xmlns="http://schemas.openxmlformats.org/spreadsheetml/2006/main" headerRowCount="0" ref="B4140:E4141" displayName="Table_274" name="Table_274" id="274">
  <tableColumns count="4">
    <tableColumn name="Column1" id="1"/>
    <tableColumn name="Column2" id="2"/>
    <tableColumn name="Column3" id="3"/>
    <tableColumn name="Column4" id="4"/>
  </tableColumns>
  <tableStyleInfo name="Sheet1-style 274" showColumnStripes="0" showFirstColumn="1" showLastColumn="1" showRowStripes="1"/>
</table>
</file>

<file path=xl/tables/table275.xml><?xml version="1.0" encoding="utf-8"?>
<table xmlns="http://schemas.openxmlformats.org/spreadsheetml/2006/main" headerRowCount="0" ref="B4155:E4156" displayName="Table_275" name="Table_275" id="275">
  <tableColumns count="4">
    <tableColumn name="Column1" id="1"/>
    <tableColumn name="Column2" id="2"/>
    <tableColumn name="Column3" id="3"/>
    <tableColumn name="Column4" id="4"/>
  </tableColumns>
  <tableStyleInfo name="Sheet1-style 275" showColumnStripes="0" showFirstColumn="1" showLastColumn="1" showRowStripes="1"/>
</table>
</file>

<file path=xl/tables/table276.xml><?xml version="1.0" encoding="utf-8"?>
<table xmlns="http://schemas.openxmlformats.org/spreadsheetml/2006/main" headerRowCount="0" ref="B4171:E4172" displayName="Table_276" name="Table_276" id="276">
  <tableColumns count="4">
    <tableColumn name="Column1" id="1"/>
    <tableColumn name="Column2" id="2"/>
    <tableColumn name="Column3" id="3"/>
    <tableColumn name="Column4" id="4"/>
  </tableColumns>
  <tableStyleInfo name="Sheet1-style 276" showColumnStripes="0" showFirstColumn="1" showLastColumn="1" showRowStripes="1"/>
</table>
</file>

<file path=xl/tables/table277.xml><?xml version="1.0" encoding="utf-8"?>
<table xmlns="http://schemas.openxmlformats.org/spreadsheetml/2006/main" headerRowCount="0" ref="B4187:E4188" displayName="Table_277" name="Table_277" id="277">
  <tableColumns count="4">
    <tableColumn name="Column1" id="1"/>
    <tableColumn name="Column2" id="2"/>
    <tableColumn name="Column3" id="3"/>
    <tableColumn name="Column4" id="4"/>
  </tableColumns>
  <tableStyleInfo name="Sheet1-style 277" showColumnStripes="0" showFirstColumn="1" showLastColumn="1" showRowStripes="1"/>
</table>
</file>

<file path=xl/tables/table278.xml><?xml version="1.0" encoding="utf-8"?>
<table xmlns="http://schemas.openxmlformats.org/spreadsheetml/2006/main" headerRowCount="0" ref="B4202:E4203" displayName="Table_278" name="Table_278" id="278">
  <tableColumns count="4">
    <tableColumn name="Column1" id="1"/>
    <tableColumn name="Column2" id="2"/>
    <tableColumn name="Column3" id="3"/>
    <tableColumn name="Column4" id="4"/>
  </tableColumns>
  <tableStyleInfo name="Sheet1-style 278" showColumnStripes="0" showFirstColumn="1" showLastColumn="1" showRowStripes="1"/>
</table>
</file>

<file path=xl/tables/table279.xml><?xml version="1.0" encoding="utf-8"?>
<table xmlns="http://schemas.openxmlformats.org/spreadsheetml/2006/main" headerRowCount="0" ref="B4217:E4218" displayName="Table_279" name="Table_279" id="279">
  <tableColumns count="4">
    <tableColumn name="Column1" id="1"/>
    <tableColumn name="Column2" id="2"/>
    <tableColumn name="Column3" id="3"/>
    <tableColumn name="Column4" id="4"/>
  </tableColumns>
  <tableStyleInfo name="Sheet1-style 279" showColumnStripes="0" showFirstColumn="1" showLastColumn="1" showRowStripes="1"/>
</table>
</file>

<file path=xl/tables/table280.xml><?xml version="1.0" encoding="utf-8"?>
<table xmlns="http://schemas.openxmlformats.org/spreadsheetml/2006/main" headerRowCount="0" ref="B4232:E4233" displayName="Table_280" name="Table_280" id="280">
  <tableColumns count="4">
    <tableColumn name="Column1" id="1"/>
    <tableColumn name="Column2" id="2"/>
    <tableColumn name="Column3" id="3"/>
    <tableColumn name="Column4" id="4"/>
  </tableColumns>
  <tableStyleInfo name="Sheet1-style 280" showColumnStripes="0" showFirstColumn="1" showLastColumn="1" showRowStripes="1"/>
</table>
</file>

<file path=xl/tables/table281.xml><?xml version="1.0" encoding="utf-8"?>
<table xmlns="http://schemas.openxmlformats.org/spreadsheetml/2006/main" headerRowCount="0" ref="B4246:E4247" displayName="Table_281" name="Table_281" id="281">
  <tableColumns count="4">
    <tableColumn name="Column1" id="1"/>
    <tableColumn name="Column2" id="2"/>
    <tableColumn name="Column3" id="3"/>
    <tableColumn name="Column4" id="4"/>
  </tableColumns>
  <tableStyleInfo name="Sheet1-style 281" showColumnStripes="0" showFirstColumn="1" showLastColumn="1" showRowStripes="1"/>
</table>
</file>

<file path=xl/tables/table282.xml><?xml version="1.0" encoding="utf-8"?>
<table xmlns="http://schemas.openxmlformats.org/spreadsheetml/2006/main" headerRowCount="0" ref="B4261:E4262" displayName="Table_282" name="Table_282" id="282">
  <tableColumns count="4">
    <tableColumn name="Column1" id="1"/>
    <tableColumn name="Column2" id="2"/>
    <tableColumn name="Column3" id="3"/>
    <tableColumn name="Column4" id="4"/>
  </tableColumns>
  <tableStyleInfo name="Sheet1-style 282" showColumnStripes="0" showFirstColumn="1" showLastColumn="1" showRowStripes="1"/>
</table>
</file>

<file path=xl/tables/table283.xml><?xml version="1.0" encoding="utf-8"?>
<table xmlns="http://schemas.openxmlformats.org/spreadsheetml/2006/main" headerRowCount="0" ref="B4276:E4277" displayName="Table_283" name="Table_283" id="283">
  <tableColumns count="4">
    <tableColumn name="Column1" id="1"/>
    <tableColumn name="Column2" id="2"/>
    <tableColumn name="Column3" id="3"/>
    <tableColumn name="Column4" id="4"/>
  </tableColumns>
  <tableStyleInfo name="Sheet1-style 283" showColumnStripes="0" showFirstColumn="1" showLastColumn="1" showRowStripes="1"/>
</table>
</file>

<file path=xl/tables/table284.xml><?xml version="1.0" encoding="utf-8"?>
<table xmlns="http://schemas.openxmlformats.org/spreadsheetml/2006/main" headerRowCount="0" ref="B4291:E4292" displayName="Table_284" name="Table_284" id="284">
  <tableColumns count="4">
    <tableColumn name="Column1" id="1"/>
    <tableColumn name="Column2" id="2"/>
    <tableColumn name="Column3" id="3"/>
    <tableColumn name="Column4" id="4"/>
  </tableColumns>
  <tableStyleInfo name="Sheet1-style 284" showColumnStripes="0" showFirstColumn="1" showLastColumn="1" showRowStripes="1"/>
</table>
</file>

<file path=xl/tables/table285.xml><?xml version="1.0" encoding="utf-8"?>
<table xmlns="http://schemas.openxmlformats.org/spreadsheetml/2006/main" headerRowCount="0" ref="B4305:E4306" displayName="Table_285" name="Table_285" id="285">
  <tableColumns count="4">
    <tableColumn name="Column1" id="1"/>
    <tableColumn name="Column2" id="2"/>
    <tableColumn name="Column3" id="3"/>
    <tableColumn name="Column4" id="4"/>
  </tableColumns>
  <tableStyleInfo name="Sheet1-style 285" showColumnStripes="0" showFirstColumn="1" showLastColumn="1" showRowStripes="1"/>
</table>
</file>

<file path=xl/tables/table286.xml><?xml version="1.0" encoding="utf-8"?>
<table xmlns="http://schemas.openxmlformats.org/spreadsheetml/2006/main" headerRowCount="0" ref="B4319:E4320" displayName="Table_286" name="Table_286" id="286">
  <tableColumns count="4">
    <tableColumn name="Column1" id="1"/>
    <tableColumn name="Column2" id="2"/>
    <tableColumn name="Column3" id="3"/>
    <tableColumn name="Column4" id="4"/>
  </tableColumns>
  <tableStyleInfo name="Sheet1-style 286" showColumnStripes="0" showFirstColumn="1" showLastColumn="1" showRowStripes="1"/>
</table>
</file>

<file path=xl/tables/table287.xml><?xml version="1.0" encoding="utf-8"?>
<table xmlns="http://schemas.openxmlformats.org/spreadsheetml/2006/main" headerRowCount="0" ref="B4333:E4334" displayName="Table_287" name="Table_287" id="287">
  <tableColumns count="4">
    <tableColumn name="Column1" id="1"/>
    <tableColumn name="Column2" id="2"/>
    <tableColumn name="Column3" id="3"/>
    <tableColumn name="Column4" id="4"/>
  </tableColumns>
  <tableStyleInfo name="Sheet1-style 287" showColumnStripes="0" showFirstColumn="1" showLastColumn="1" showRowStripes="1"/>
</table>
</file>

<file path=xl/tables/table288.xml><?xml version="1.0" encoding="utf-8"?>
<table xmlns="http://schemas.openxmlformats.org/spreadsheetml/2006/main" headerRowCount="0" ref="B4348:E4349" displayName="Table_288" name="Table_288" id="288">
  <tableColumns count="4">
    <tableColumn name="Column1" id="1"/>
    <tableColumn name="Column2" id="2"/>
    <tableColumn name="Column3" id="3"/>
    <tableColumn name="Column4" id="4"/>
  </tableColumns>
  <tableStyleInfo name="Sheet1-style 288" showColumnStripes="0" showFirstColumn="1" showLastColumn="1" showRowStripes="1"/>
</table>
</file>

<file path=xl/tables/table289.xml><?xml version="1.0" encoding="utf-8"?>
<table xmlns="http://schemas.openxmlformats.org/spreadsheetml/2006/main" headerRowCount="0" ref="B4361:E4362" displayName="Table_289" name="Table_289" id="289">
  <tableColumns count="4">
    <tableColumn name="Column1" id="1"/>
    <tableColumn name="Column2" id="2"/>
    <tableColumn name="Column3" id="3"/>
    <tableColumn name="Column4" id="4"/>
  </tableColumns>
  <tableStyleInfo name="Sheet1-style 289" showColumnStripes="0" showFirstColumn="1" showLastColumn="1" showRowStripes="1"/>
</table>
</file>

<file path=xl/tables/table290.xml><?xml version="1.0" encoding="utf-8"?>
<table xmlns="http://schemas.openxmlformats.org/spreadsheetml/2006/main" headerRowCount="0" ref="B4375:E4376" displayName="Table_290" name="Table_290" id="290">
  <tableColumns count="4">
    <tableColumn name="Column1" id="1"/>
    <tableColumn name="Column2" id="2"/>
    <tableColumn name="Column3" id="3"/>
    <tableColumn name="Column4" id="4"/>
  </tableColumns>
  <tableStyleInfo name="Sheet1-style 290" showColumnStripes="0" showFirstColumn="1" showLastColumn="1" showRowStripes="1"/>
</table>
</file>

<file path=xl/tables/table291.xml><?xml version="1.0" encoding="utf-8"?>
<table xmlns="http://schemas.openxmlformats.org/spreadsheetml/2006/main" headerRowCount="0" ref="B4389:E4390" displayName="Table_291" name="Table_291" id="291">
  <tableColumns count="4">
    <tableColumn name="Column1" id="1"/>
    <tableColumn name="Column2" id="2"/>
    <tableColumn name="Column3" id="3"/>
    <tableColumn name="Column4" id="4"/>
  </tableColumns>
  <tableStyleInfo name="Sheet1-style 291" showColumnStripes="0" showFirstColumn="1" showLastColumn="1" showRowStripes="1"/>
</table>
</file>

<file path=xl/tables/table292.xml><?xml version="1.0" encoding="utf-8"?>
<table xmlns="http://schemas.openxmlformats.org/spreadsheetml/2006/main" headerRowCount="0" ref="B4404:E4405" displayName="Table_292" name="Table_292" id="292">
  <tableColumns count="4">
    <tableColumn name="Column1" id="1"/>
    <tableColumn name="Column2" id="2"/>
    <tableColumn name="Column3" id="3"/>
    <tableColumn name="Column4" id="4"/>
  </tableColumns>
  <tableStyleInfo name="Sheet1-style 292" showColumnStripes="0" showFirstColumn="1" showLastColumn="1" showRowStripes="1"/>
</table>
</file>

<file path=xl/tables/table293.xml><?xml version="1.0" encoding="utf-8"?>
<table xmlns="http://schemas.openxmlformats.org/spreadsheetml/2006/main" headerRowCount="0" ref="B4419:E4420" displayName="Table_293" name="Table_293" id="293">
  <tableColumns count="4">
    <tableColumn name="Column1" id="1"/>
    <tableColumn name="Column2" id="2"/>
    <tableColumn name="Column3" id="3"/>
    <tableColumn name="Column4" id="4"/>
  </tableColumns>
  <tableStyleInfo name="Sheet1-style 293" showColumnStripes="0" showFirstColumn="1" showLastColumn="1" showRowStripes="1"/>
</table>
</file>

<file path=xl/tables/table294.xml><?xml version="1.0" encoding="utf-8"?>
<table xmlns="http://schemas.openxmlformats.org/spreadsheetml/2006/main" headerRowCount="0" ref="B4433:E4434" displayName="Table_294" name="Table_294" id="294">
  <tableColumns count="4">
    <tableColumn name="Column1" id="1"/>
    <tableColumn name="Column2" id="2"/>
    <tableColumn name="Column3" id="3"/>
    <tableColumn name="Column4" id="4"/>
  </tableColumns>
  <tableStyleInfo name="Sheet1-style 294" showColumnStripes="0" showFirstColumn="1" showLastColumn="1" showRowStripes="1"/>
</table>
</file>

<file path=xl/tables/table295.xml><?xml version="1.0" encoding="utf-8"?>
<table xmlns="http://schemas.openxmlformats.org/spreadsheetml/2006/main" headerRowCount="0" ref="B4447:E4448" displayName="Table_295" name="Table_295" id="295">
  <tableColumns count="4">
    <tableColumn name="Column1" id="1"/>
    <tableColumn name="Column2" id="2"/>
    <tableColumn name="Column3" id="3"/>
    <tableColumn name="Column4" id="4"/>
  </tableColumns>
  <tableStyleInfo name="Sheet1-style 295" showColumnStripes="0" showFirstColumn="1" showLastColumn="1" showRowStripes="1"/>
</table>
</file>

<file path=xl/tables/table296.xml><?xml version="1.0" encoding="utf-8"?>
<table xmlns="http://schemas.openxmlformats.org/spreadsheetml/2006/main" headerRowCount="0" ref="B4461:E4462" displayName="Table_296" name="Table_296" id="296">
  <tableColumns count="4">
    <tableColumn name="Column1" id="1"/>
    <tableColumn name="Column2" id="2"/>
    <tableColumn name="Column3" id="3"/>
    <tableColumn name="Column4" id="4"/>
  </tableColumns>
  <tableStyleInfo name="Sheet1-style 296" showColumnStripes="0" showFirstColumn="1" showLastColumn="1" showRowStripes="1"/>
</table>
</file>

<file path=xl/tables/table297.xml><?xml version="1.0" encoding="utf-8"?>
<table xmlns="http://schemas.openxmlformats.org/spreadsheetml/2006/main" headerRowCount="0" ref="B4474:E4475" displayName="Table_297" name="Table_297" id="297">
  <tableColumns count="4">
    <tableColumn name="Column1" id="1"/>
    <tableColumn name="Column2" id="2"/>
    <tableColumn name="Column3" id="3"/>
    <tableColumn name="Column4" id="4"/>
  </tableColumns>
  <tableStyleInfo name="Sheet1-style 297" showColumnStripes="0" showFirstColumn="1" showLastColumn="1" showRowStripes="1"/>
</table>
</file>

<file path=xl/tables/table298.xml><?xml version="1.0" encoding="utf-8"?>
<table xmlns="http://schemas.openxmlformats.org/spreadsheetml/2006/main" headerRowCount="0" ref="B4488:E4489" displayName="Table_298" name="Table_298" id="298">
  <tableColumns count="4">
    <tableColumn name="Column1" id="1"/>
    <tableColumn name="Column2" id="2"/>
    <tableColumn name="Column3" id="3"/>
    <tableColumn name="Column4" id="4"/>
  </tableColumns>
  <tableStyleInfo name="Sheet1-style 298" showColumnStripes="0" showFirstColumn="1" showLastColumn="1" showRowStripes="1"/>
</table>
</file>

<file path=xl/tables/table299.xml><?xml version="1.0" encoding="utf-8"?>
<table xmlns="http://schemas.openxmlformats.org/spreadsheetml/2006/main" headerRowCount="0" ref="B4502:E4503" displayName="Table_299" name="Table_299" id="299">
  <tableColumns count="4">
    <tableColumn name="Column1" id="1"/>
    <tableColumn name="Column2" id="2"/>
    <tableColumn name="Column3" id="3"/>
    <tableColumn name="Column4" id="4"/>
  </tableColumns>
  <tableStyleInfo name="Sheet1-style 299" showColumnStripes="0" showFirstColumn="1" showLastColumn="1" showRowStripes="1"/>
</table>
</file>

<file path=xl/tables/table300.xml><?xml version="1.0" encoding="utf-8"?>
<table xmlns="http://schemas.openxmlformats.org/spreadsheetml/2006/main" headerRowCount="0" ref="B4516:E4517" displayName="Table_300" name="Table_300" id="300">
  <tableColumns count="4">
    <tableColumn name="Column1" id="1"/>
    <tableColumn name="Column2" id="2"/>
    <tableColumn name="Column3" id="3"/>
    <tableColumn name="Column4" id="4"/>
  </tableColumns>
  <tableStyleInfo name="Sheet1-style 300" showColumnStripes="0" showFirstColumn="1" showLastColumn="1" showRowStripes="1"/>
</table>
</file>

<file path=xl/tables/table301.xml><?xml version="1.0" encoding="utf-8"?>
<table xmlns="http://schemas.openxmlformats.org/spreadsheetml/2006/main" headerRowCount="0" ref="B4530:E4531" displayName="Table_301" name="Table_301" id="301">
  <tableColumns count="4">
    <tableColumn name="Column1" id="1"/>
    <tableColumn name="Column2" id="2"/>
    <tableColumn name="Column3" id="3"/>
    <tableColumn name="Column4" id="4"/>
  </tableColumns>
  <tableStyleInfo name="Sheet1-style 301" showColumnStripes="0" showFirstColumn="1" showLastColumn="1" showRowStripes="1"/>
</table>
</file>

<file path=xl/tables/table302.xml><?xml version="1.0" encoding="utf-8"?>
<table xmlns="http://schemas.openxmlformats.org/spreadsheetml/2006/main" headerRowCount="0" ref="B4544:E4545" displayName="Table_302" name="Table_302" id="302">
  <tableColumns count="4">
    <tableColumn name="Column1" id="1"/>
    <tableColumn name="Column2" id="2"/>
    <tableColumn name="Column3" id="3"/>
    <tableColumn name="Column4" id="4"/>
  </tableColumns>
  <tableStyleInfo name="Sheet1-style 302" showColumnStripes="0" showFirstColumn="1" showLastColumn="1" showRowStripes="1"/>
</table>
</file>

<file path=xl/tables/table303.xml><?xml version="1.0" encoding="utf-8"?>
<table xmlns="http://schemas.openxmlformats.org/spreadsheetml/2006/main" headerRowCount="0" ref="B4558:E4559" displayName="Table_303" name="Table_303" id="303">
  <tableColumns count="4">
    <tableColumn name="Column1" id="1"/>
    <tableColumn name="Column2" id="2"/>
    <tableColumn name="Column3" id="3"/>
    <tableColumn name="Column4" id="4"/>
  </tableColumns>
  <tableStyleInfo name="Sheet1-style 303" showColumnStripes="0" showFirstColumn="1" showLastColumn="1" showRowStripes="1"/>
</table>
</file>

<file path=xl/tables/table304.xml><?xml version="1.0" encoding="utf-8"?>
<table xmlns="http://schemas.openxmlformats.org/spreadsheetml/2006/main" headerRowCount="0" ref="B4572:E4573" displayName="Table_304" name="Table_304" id="304">
  <tableColumns count="4">
    <tableColumn name="Column1" id="1"/>
    <tableColumn name="Column2" id="2"/>
    <tableColumn name="Column3" id="3"/>
    <tableColumn name="Column4" id="4"/>
  </tableColumns>
  <tableStyleInfo name="Sheet1-style 304" showColumnStripes="0" showFirstColumn="1" showLastColumn="1" showRowStripes="1"/>
</table>
</file>

<file path=xl/tables/table305.xml><?xml version="1.0" encoding="utf-8"?>
<table xmlns="http://schemas.openxmlformats.org/spreadsheetml/2006/main" headerRowCount="0" ref="B4586:E4587" displayName="Table_305" name="Table_305" id="305">
  <tableColumns count="4">
    <tableColumn name="Column1" id="1"/>
    <tableColumn name="Column2" id="2"/>
    <tableColumn name="Column3" id="3"/>
    <tableColumn name="Column4" id="4"/>
  </tableColumns>
  <tableStyleInfo name="Sheet1-style 305" showColumnStripes="0" showFirstColumn="1" showLastColumn="1" showRowStripes="1"/>
</table>
</file>

<file path=xl/tables/table306.xml><?xml version="1.0" encoding="utf-8"?>
<table xmlns="http://schemas.openxmlformats.org/spreadsheetml/2006/main" headerRowCount="0" ref="B4601:E4602" displayName="Table_306" name="Table_306" id="306">
  <tableColumns count="4">
    <tableColumn name="Column1" id="1"/>
    <tableColumn name="Column2" id="2"/>
    <tableColumn name="Column3" id="3"/>
    <tableColumn name="Column4" id="4"/>
  </tableColumns>
  <tableStyleInfo name="Sheet1-style 306" showColumnStripes="0" showFirstColumn="1" showLastColumn="1" showRowStripes="1"/>
</table>
</file>

<file path=xl/tables/table307.xml><?xml version="1.0" encoding="utf-8"?>
<table xmlns="http://schemas.openxmlformats.org/spreadsheetml/2006/main" headerRowCount="0" ref="B4617:E4618" displayName="Table_307" name="Table_307" id="307">
  <tableColumns count="4">
    <tableColumn name="Column1" id="1"/>
    <tableColumn name="Column2" id="2"/>
    <tableColumn name="Column3" id="3"/>
    <tableColumn name="Column4" id="4"/>
  </tableColumns>
  <tableStyleInfo name="Sheet1-style 307" showColumnStripes="0" showFirstColumn="1" showLastColumn="1" showRowStripes="1"/>
</table>
</file>

<file path=xl/tables/table308.xml><?xml version="1.0" encoding="utf-8"?>
<table xmlns="http://schemas.openxmlformats.org/spreadsheetml/2006/main" headerRowCount="0" ref="B4632:E4633" displayName="Table_308" name="Table_308" id="308">
  <tableColumns count="4">
    <tableColumn name="Column1" id="1"/>
    <tableColumn name="Column2" id="2"/>
    <tableColumn name="Column3" id="3"/>
    <tableColumn name="Column4" id="4"/>
  </tableColumns>
  <tableStyleInfo name="Sheet1-style 308" showColumnStripes="0" showFirstColumn="1" showLastColumn="1" showRowStripes="1"/>
</table>
</file>

<file path=xl/tables/table309.xml><?xml version="1.0" encoding="utf-8"?>
<table xmlns="http://schemas.openxmlformats.org/spreadsheetml/2006/main" headerRowCount="0" ref="B4647:E4648" displayName="Table_309" name="Table_309" id="309">
  <tableColumns count="4">
    <tableColumn name="Column1" id="1"/>
    <tableColumn name="Column2" id="2"/>
    <tableColumn name="Column3" id="3"/>
    <tableColumn name="Column4" id="4"/>
  </tableColumns>
  <tableStyleInfo name="Sheet1-style 309" showColumnStripes="0" showFirstColumn="1" showLastColumn="1" showRowStripes="1"/>
</table>
</file>

<file path=xl/tables/table310.xml><?xml version="1.0" encoding="utf-8"?>
<table xmlns="http://schemas.openxmlformats.org/spreadsheetml/2006/main" headerRowCount="0" ref="B4662:E4663" displayName="Table_310" name="Table_310" id="310">
  <tableColumns count="4">
    <tableColumn name="Column1" id="1"/>
    <tableColumn name="Column2" id="2"/>
    <tableColumn name="Column3" id="3"/>
    <tableColumn name="Column4" id="4"/>
  </tableColumns>
  <tableStyleInfo name="Sheet1-style 310" showColumnStripes="0" showFirstColumn="1" showLastColumn="1" showRowStripes="1"/>
</table>
</file>

<file path=xl/tables/table311.xml><?xml version="1.0" encoding="utf-8"?>
<table xmlns="http://schemas.openxmlformats.org/spreadsheetml/2006/main" headerRowCount="0" ref="B4676:E4677" displayName="Table_311" name="Table_311" id="311">
  <tableColumns count="4">
    <tableColumn name="Column1" id="1"/>
    <tableColumn name="Column2" id="2"/>
    <tableColumn name="Column3" id="3"/>
    <tableColumn name="Column4" id="4"/>
  </tableColumns>
  <tableStyleInfo name="Sheet1-style 311" showColumnStripes="0" showFirstColumn="1" showLastColumn="1" showRowStripes="1"/>
</table>
</file>

<file path=xl/tables/table312.xml><?xml version="1.0" encoding="utf-8"?>
<table xmlns="http://schemas.openxmlformats.org/spreadsheetml/2006/main" headerRowCount="0" ref="B4690:E4691" displayName="Table_312" name="Table_312" id="312">
  <tableColumns count="4">
    <tableColumn name="Column1" id="1"/>
    <tableColumn name="Column2" id="2"/>
    <tableColumn name="Column3" id="3"/>
    <tableColumn name="Column4" id="4"/>
  </tableColumns>
  <tableStyleInfo name="Sheet1-style 312" showColumnStripes="0" showFirstColumn="1" showLastColumn="1" showRowStripes="1"/>
</table>
</file>

<file path=xl/tables/table313.xml><?xml version="1.0" encoding="utf-8"?>
<table xmlns="http://schemas.openxmlformats.org/spreadsheetml/2006/main" headerRowCount="0" ref="B4705:E4706" displayName="Table_313" name="Table_313" id="313">
  <tableColumns count="4">
    <tableColumn name="Column1" id="1"/>
    <tableColumn name="Column2" id="2"/>
    <tableColumn name="Column3" id="3"/>
    <tableColumn name="Column4" id="4"/>
  </tableColumns>
  <tableStyleInfo name="Sheet1-style 313" showColumnStripes="0" showFirstColumn="1" showLastColumn="1" showRowStripes="1"/>
</table>
</file>

<file path=xl/tables/table314.xml><?xml version="1.0" encoding="utf-8"?>
<table xmlns="http://schemas.openxmlformats.org/spreadsheetml/2006/main" headerRowCount="0" ref="B4721:E4722" displayName="Table_314" name="Table_314" id="314">
  <tableColumns count="4">
    <tableColumn name="Column1" id="1"/>
    <tableColumn name="Column2" id="2"/>
    <tableColumn name="Column3" id="3"/>
    <tableColumn name="Column4" id="4"/>
  </tableColumns>
  <tableStyleInfo name="Sheet1-style 314" showColumnStripes="0" showFirstColumn="1" showLastColumn="1" showRowStripes="1"/>
</table>
</file>

<file path=xl/tables/table315.xml><?xml version="1.0" encoding="utf-8"?>
<table xmlns="http://schemas.openxmlformats.org/spreadsheetml/2006/main" headerRowCount="0" ref="B4737:E4738" displayName="Table_315" name="Table_315" id="315">
  <tableColumns count="4">
    <tableColumn name="Column1" id="1"/>
    <tableColumn name="Column2" id="2"/>
    <tableColumn name="Column3" id="3"/>
    <tableColumn name="Column4" id="4"/>
  </tableColumns>
  <tableStyleInfo name="Sheet1-style 315" showColumnStripes="0" showFirstColumn="1" showLastColumn="1" showRowStripes="1"/>
</table>
</file>

<file path=xl/tables/table316.xml><?xml version="1.0" encoding="utf-8"?>
<table xmlns="http://schemas.openxmlformats.org/spreadsheetml/2006/main" headerRowCount="0" ref="B4754:E4755" displayName="Table_316" name="Table_316" id="316">
  <tableColumns count="4">
    <tableColumn name="Column1" id="1"/>
    <tableColumn name="Column2" id="2"/>
    <tableColumn name="Column3" id="3"/>
    <tableColumn name="Column4" id="4"/>
  </tableColumns>
  <tableStyleInfo name="Sheet1-style 316" showColumnStripes="0" showFirstColumn="1" showLastColumn="1" showRowStripes="1"/>
</table>
</file>

<file path=xl/tables/table317.xml><?xml version="1.0" encoding="utf-8"?>
<table xmlns="http://schemas.openxmlformats.org/spreadsheetml/2006/main" headerRowCount="0" ref="B4770:E4771" displayName="Table_317" name="Table_317" id="317">
  <tableColumns count="4">
    <tableColumn name="Column1" id="1"/>
    <tableColumn name="Column2" id="2"/>
    <tableColumn name="Column3" id="3"/>
    <tableColumn name="Column4" id="4"/>
  </tableColumns>
  <tableStyleInfo name="Sheet1-style 317" showColumnStripes="0" showFirstColumn="1" showLastColumn="1" showRowStripes="1"/>
</table>
</file>

<file path=xl/tables/table318.xml><?xml version="1.0" encoding="utf-8"?>
<table xmlns="http://schemas.openxmlformats.org/spreadsheetml/2006/main" headerRowCount="0" ref="B4785:E4786" displayName="Table_318" name="Table_318" id="318">
  <tableColumns count="4">
    <tableColumn name="Column1" id="1"/>
    <tableColumn name="Column2" id="2"/>
    <tableColumn name="Column3" id="3"/>
    <tableColumn name="Column4" id="4"/>
  </tableColumns>
  <tableStyleInfo name="Sheet1-style 318" showColumnStripes="0" showFirstColumn="1" showLastColumn="1" showRowStripes="1"/>
</table>
</file>

<file path=xl/tables/table319.xml><?xml version="1.0" encoding="utf-8"?>
<table xmlns="http://schemas.openxmlformats.org/spreadsheetml/2006/main" headerRowCount="0" ref="B4801:E4802" displayName="Table_319" name="Table_319" id="319">
  <tableColumns count="4">
    <tableColumn name="Column1" id="1"/>
    <tableColumn name="Column2" id="2"/>
    <tableColumn name="Column3" id="3"/>
    <tableColumn name="Column4" id="4"/>
  </tableColumns>
  <tableStyleInfo name="Sheet1-style 319" showColumnStripes="0" showFirstColumn="1" showLastColumn="1" showRowStripes="1"/>
</table>
</file>

<file path=xl/tables/table320.xml><?xml version="1.0" encoding="utf-8"?>
<table xmlns="http://schemas.openxmlformats.org/spreadsheetml/2006/main" headerRowCount="0" ref="B4817:E4818" displayName="Table_320" name="Table_320" id="320">
  <tableColumns count="4">
    <tableColumn name="Column1" id="1"/>
    <tableColumn name="Column2" id="2"/>
    <tableColumn name="Column3" id="3"/>
    <tableColumn name="Column4" id="4"/>
  </tableColumns>
  <tableStyleInfo name="Sheet1-style 320" showColumnStripes="0" showFirstColumn="1" showLastColumn="1" showRowStripes="1"/>
</table>
</file>

<file path=xl/tables/table321.xml><?xml version="1.0" encoding="utf-8"?>
<table xmlns="http://schemas.openxmlformats.org/spreadsheetml/2006/main" headerRowCount="0" ref="B4831:E4832" displayName="Table_321" name="Table_321" id="321">
  <tableColumns count="4">
    <tableColumn name="Column1" id="1"/>
    <tableColumn name="Column2" id="2"/>
    <tableColumn name="Column3" id="3"/>
    <tableColumn name="Column4" id="4"/>
  </tableColumns>
  <tableStyleInfo name="Sheet1-style 321" showColumnStripes="0" showFirstColumn="1" showLastColumn="1" showRowStripes="1"/>
</table>
</file>

<file path=xl/tables/table322.xml><?xml version="1.0" encoding="utf-8"?>
<table xmlns="http://schemas.openxmlformats.org/spreadsheetml/2006/main" headerRowCount="0" ref="B4846:E4847" displayName="Table_322" name="Table_322" id="322">
  <tableColumns count="4">
    <tableColumn name="Column1" id="1"/>
    <tableColumn name="Column2" id="2"/>
    <tableColumn name="Column3" id="3"/>
    <tableColumn name="Column4" id="4"/>
  </tableColumns>
  <tableStyleInfo name="Sheet1-style 322" showColumnStripes="0" showFirstColumn="1" showLastColumn="1" showRowStripes="1"/>
</table>
</file>

<file path=xl/tables/table323.xml><?xml version="1.0" encoding="utf-8"?>
<table xmlns="http://schemas.openxmlformats.org/spreadsheetml/2006/main" headerRowCount="0" ref="B4862:E4863" displayName="Table_323" name="Table_323" id="323">
  <tableColumns count="4">
    <tableColumn name="Column1" id="1"/>
    <tableColumn name="Column2" id="2"/>
    <tableColumn name="Column3" id="3"/>
    <tableColumn name="Column4" id="4"/>
  </tableColumns>
  <tableStyleInfo name="Sheet1-style 323" showColumnStripes="0" showFirstColumn="1" showLastColumn="1" showRowStripes="1"/>
</table>
</file>

<file path=xl/tables/table324.xml><?xml version="1.0" encoding="utf-8"?>
<table xmlns="http://schemas.openxmlformats.org/spreadsheetml/2006/main" headerRowCount="0" ref="B4876:E4877" displayName="Table_324" name="Table_324" id="324">
  <tableColumns count="4">
    <tableColumn name="Column1" id="1"/>
    <tableColumn name="Column2" id="2"/>
    <tableColumn name="Column3" id="3"/>
    <tableColumn name="Column4" id="4"/>
  </tableColumns>
  <tableStyleInfo name="Sheet1-style 324" showColumnStripes="0" showFirstColumn="1" showLastColumn="1" showRowStripes="1"/>
</table>
</file>

<file path=xl/tables/table325.xml><?xml version="1.0" encoding="utf-8"?>
<table xmlns="http://schemas.openxmlformats.org/spreadsheetml/2006/main" headerRowCount="0" ref="B4891:E4892" displayName="Table_325" name="Table_325" id="325">
  <tableColumns count="4">
    <tableColumn name="Column1" id="1"/>
    <tableColumn name="Column2" id="2"/>
    <tableColumn name="Column3" id="3"/>
    <tableColumn name="Column4" id="4"/>
  </tableColumns>
  <tableStyleInfo name="Sheet1-style 325" showColumnStripes="0" showFirstColumn="1" showLastColumn="1" showRowStripes="1"/>
</table>
</file>

<file path=xl/tables/table326.xml><?xml version="1.0" encoding="utf-8"?>
<table xmlns="http://schemas.openxmlformats.org/spreadsheetml/2006/main" headerRowCount="0" ref="B4905:E4906" displayName="Table_326" name="Table_326" id="326">
  <tableColumns count="4">
    <tableColumn name="Column1" id="1"/>
    <tableColumn name="Column2" id="2"/>
    <tableColumn name="Column3" id="3"/>
    <tableColumn name="Column4" id="4"/>
  </tableColumns>
  <tableStyleInfo name="Sheet1-style 326" showColumnStripes="0" showFirstColumn="1" showLastColumn="1" showRowStripes="1"/>
</table>
</file>

<file path=xl/tables/table327.xml><?xml version="1.0" encoding="utf-8"?>
<table xmlns="http://schemas.openxmlformats.org/spreadsheetml/2006/main" headerRowCount="0" ref="B4921:E4922" displayName="Table_327" name="Table_327" id="327">
  <tableColumns count="4">
    <tableColumn name="Column1" id="1"/>
    <tableColumn name="Column2" id="2"/>
    <tableColumn name="Column3" id="3"/>
    <tableColumn name="Column4" id="4"/>
  </tableColumns>
  <tableStyleInfo name="Sheet1-style 327" showColumnStripes="0" showFirstColumn="1" showLastColumn="1" showRowStripes="1"/>
</table>
</file>

<file path=xl/tables/table328.xml><?xml version="1.0" encoding="utf-8"?>
<table xmlns="http://schemas.openxmlformats.org/spreadsheetml/2006/main" headerRowCount="0" ref="B4934:E4935" displayName="Table_328" name="Table_328" id="328">
  <tableColumns count="4">
    <tableColumn name="Column1" id="1"/>
    <tableColumn name="Column2" id="2"/>
    <tableColumn name="Column3" id="3"/>
    <tableColumn name="Column4" id="4"/>
  </tableColumns>
  <tableStyleInfo name="Sheet1-style 328" showColumnStripes="0" showFirstColumn="1" showLastColumn="1" showRowStripes="1"/>
</table>
</file>

<file path=xl/tables/table329.xml><?xml version="1.0" encoding="utf-8"?>
<table xmlns="http://schemas.openxmlformats.org/spreadsheetml/2006/main" headerRowCount="0" ref="B4949:E4950" displayName="Table_329" name="Table_329" id="329">
  <tableColumns count="4">
    <tableColumn name="Column1" id="1"/>
    <tableColumn name="Column2" id="2"/>
    <tableColumn name="Column3" id="3"/>
    <tableColumn name="Column4" id="4"/>
  </tableColumns>
  <tableStyleInfo name="Sheet1-style 329" showColumnStripes="0" showFirstColumn="1" showLastColumn="1" showRowStripes="1"/>
</table>
</file>

<file path=xl/tables/table330.xml><?xml version="1.0" encoding="utf-8"?>
<table xmlns="http://schemas.openxmlformats.org/spreadsheetml/2006/main" headerRowCount="0" ref="B4965:E4966" displayName="Table_330" name="Table_330" id="330">
  <tableColumns count="4">
    <tableColumn name="Column1" id="1"/>
    <tableColumn name="Column2" id="2"/>
    <tableColumn name="Column3" id="3"/>
    <tableColumn name="Column4" id="4"/>
  </tableColumns>
  <tableStyleInfo name="Sheet1-style 330" showColumnStripes="0" showFirstColumn="1" showLastColumn="1" showRowStripes="1"/>
</table>
</file>

<file path=xl/tables/table331.xml><?xml version="1.0" encoding="utf-8"?>
<table xmlns="http://schemas.openxmlformats.org/spreadsheetml/2006/main" headerRowCount="0" ref="B4979:E4980" displayName="Table_331" name="Table_331" id="331">
  <tableColumns count="4">
    <tableColumn name="Column1" id="1"/>
    <tableColumn name="Column2" id="2"/>
    <tableColumn name="Column3" id="3"/>
    <tableColumn name="Column4" id="4"/>
  </tableColumns>
  <tableStyleInfo name="Sheet1-style 331" showColumnStripes="0" showFirstColumn="1" showLastColumn="1" showRowStripes="1"/>
</table>
</file>

<file path=xl/tables/table332.xml><?xml version="1.0" encoding="utf-8"?>
<table xmlns="http://schemas.openxmlformats.org/spreadsheetml/2006/main" headerRowCount="0" ref="B4994:E4995" displayName="Table_332" name="Table_332" id="332">
  <tableColumns count="4">
    <tableColumn name="Column1" id="1"/>
    <tableColumn name="Column2" id="2"/>
    <tableColumn name="Column3" id="3"/>
    <tableColumn name="Column4" id="4"/>
  </tableColumns>
  <tableStyleInfo name="Sheet1-style 332" showColumnStripes="0" showFirstColumn="1" showLastColumn="1" showRowStripes="1"/>
</table>
</file>

<file path=xl/tables/table333.xml><?xml version="1.0" encoding="utf-8"?>
<table xmlns="http://schemas.openxmlformats.org/spreadsheetml/2006/main" headerRowCount="0" ref="B5009:E5010" displayName="Table_333" name="Table_333" id="333">
  <tableColumns count="4">
    <tableColumn name="Column1" id="1"/>
    <tableColumn name="Column2" id="2"/>
    <tableColumn name="Column3" id="3"/>
    <tableColumn name="Column4" id="4"/>
  </tableColumns>
  <tableStyleInfo name="Sheet1-style 333" showColumnStripes="0" showFirstColumn="1" showLastColumn="1" showRowStripes="1"/>
</table>
</file>

<file path=xl/tables/table334.xml><?xml version="1.0" encoding="utf-8"?>
<table xmlns="http://schemas.openxmlformats.org/spreadsheetml/2006/main" headerRowCount="0" ref="B5025:E5026" displayName="Table_334" name="Table_334" id="334">
  <tableColumns count="4">
    <tableColumn name="Column1" id="1"/>
    <tableColumn name="Column2" id="2"/>
    <tableColumn name="Column3" id="3"/>
    <tableColumn name="Column4" id="4"/>
  </tableColumns>
  <tableStyleInfo name="Sheet1-style 334" showColumnStripes="0" showFirstColumn="1" showLastColumn="1" showRowStripes="1"/>
</table>
</file>

<file path=xl/tables/table335.xml><?xml version="1.0" encoding="utf-8"?>
<table xmlns="http://schemas.openxmlformats.org/spreadsheetml/2006/main" headerRowCount="0" ref="B5038:E5039" displayName="Table_335" name="Table_335" id="335">
  <tableColumns count="4">
    <tableColumn name="Column1" id="1"/>
    <tableColumn name="Column2" id="2"/>
    <tableColumn name="Column3" id="3"/>
    <tableColumn name="Column4" id="4"/>
  </tableColumns>
  <tableStyleInfo name="Sheet1-style 335" showColumnStripes="0" showFirstColumn="1" showLastColumn="1" showRowStripes="1"/>
</table>
</file>

<file path=xl/tables/table336.xml><?xml version="1.0" encoding="utf-8"?>
<table xmlns="http://schemas.openxmlformats.org/spreadsheetml/2006/main" headerRowCount="0" ref="B5052:E5053" displayName="Table_336" name="Table_336" id="336">
  <tableColumns count="4">
    <tableColumn name="Column1" id="1"/>
    <tableColumn name="Column2" id="2"/>
    <tableColumn name="Column3" id="3"/>
    <tableColumn name="Column4" id="4"/>
  </tableColumns>
  <tableStyleInfo name="Sheet1-style 336" showColumnStripes="0" showFirstColumn="1" showLastColumn="1" showRowStripes="1"/>
</table>
</file>

<file path=xl/tables/table337.xml><?xml version="1.0" encoding="utf-8"?>
<table xmlns="http://schemas.openxmlformats.org/spreadsheetml/2006/main" headerRowCount="0" ref="B5067:E5068" displayName="Table_337" name="Table_337" id="337">
  <tableColumns count="4">
    <tableColumn name="Column1" id="1"/>
    <tableColumn name="Column2" id="2"/>
    <tableColumn name="Column3" id="3"/>
    <tableColumn name="Column4" id="4"/>
  </tableColumns>
  <tableStyleInfo name="Sheet1-style 337" showColumnStripes="0" showFirstColumn="1" showLastColumn="1" showRowStripes="1"/>
</table>
</file>

<file path=xl/tables/table338.xml><?xml version="1.0" encoding="utf-8"?>
<table xmlns="http://schemas.openxmlformats.org/spreadsheetml/2006/main" headerRowCount="0" ref="B5083:E5084" displayName="Table_338" name="Table_338" id="338">
  <tableColumns count="4">
    <tableColumn name="Column1" id="1"/>
    <tableColumn name="Column2" id="2"/>
    <tableColumn name="Column3" id="3"/>
    <tableColumn name="Column4" id="4"/>
  </tableColumns>
  <tableStyleInfo name="Sheet1-style 338" showColumnStripes="0" showFirstColumn="1" showLastColumn="1" showRowStripes="1"/>
</table>
</file>

<file path=xl/tables/table339.xml><?xml version="1.0" encoding="utf-8"?>
<table xmlns="http://schemas.openxmlformats.org/spreadsheetml/2006/main" headerRowCount="0" ref="B5098:E5099" displayName="Table_339" name="Table_339" id="339">
  <tableColumns count="4">
    <tableColumn name="Column1" id="1"/>
    <tableColumn name="Column2" id="2"/>
    <tableColumn name="Column3" id="3"/>
    <tableColumn name="Column4" id="4"/>
  </tableColumns>
  <tableStyleInfo name="Sheet1-style 339" showColumnStripes="0" showFirstColumn="1" showLastColumn="1" showRowStripes="1"/>
</table>
</file>

<file path=xl/tables/table340.xml><?xml version="1.0" encoding="utf-8"?>
<table xmlns="http://schemas.openxmlformats.org/spreadsheetml/2006/main" headerRowCount="0" ref="B5114:E5115" displayName="Table_340" name="Table_340" id="340">
  <tableColumns count="4">
    <tableColumn name="Column1" id="1"/>
    <tableColumn name="Column2" id="2"/>
    <tableColumn name="Column3" id="3"/>
    <tableColumn name="Column4" id="4"/>
  </tableColumns>
  <tableStyleInfo name="Sheet1-style 340" showColumnStripes="0" showFirstColumn="1" showLastColumn="1" showRowStripes="1"/>
</table>
</file>

<file path=xl/tables/table341.xml><?xml version="1.0" encoding="utf-8"?>
<table xmlns="http://schemas.openxmlformats.org/spreadsheetml/2006/main" headerRowCount="0" ref="B5130:E5131" displayName="Table_341" name="Table_341" id="341">
  <tableColumns count="4">
    <tableColumn name="Column1" id="1"/>
    <tableColumn name="Column2" id="2"/>
    <tableColumn name="Column3" id="3"/>
    <tableColumn name="Column4" id="4"/>
  </tableColumns>
  <tableStyleInfo name="Sheet1-style 341" showColumnStripes="0" showFirstColumn="1" showLastColumn="1" showRowStripes="1"/>
</table>
</file>

<file path=xl/tables/table342.xml><?xml version="1.0" encoding="utf-8"?>
<table xmlns="http://schemas.openxmlformats.org/spreadsheetml/2006/main" headerRowCount="0" ref="B5146:E5147" displayName="Table_342" name="Table_342" id="342">
  <tableColumns count="4">
    <tableColumn name="Column1" id="1"/>
    <tableColumn name="Column2" id="2"/>
    <tableColumn name="Column3" id="3"/>
    <tableColumn name="Column4" id="4"/>
  </tableColumns>
  <tableStyleInfo name="Sheet1-style 342" showColumnStripes="0" showFirstColumn="1" showLastColumn="1" showRowStripes="1"/>
</table>
</file>

<file path=xl/tables/table343.xml><?xml version="1.0" encoding="utf-8"?>
<table xmlns="http://schemas.openxmlformats.org/spreadsheetml/2006/main" headerRowCount="0" ref="B5161:E5162" displayName="Table_343" name="Table_343" id="343">
  <tableColumns count="4">
    <tableColumn name="Column1" id="1"/>
    <tableColumn name="Column2" id="2"/>
    <tableColumn name="Column3" id="3"/>
    <tableColumn name="Column4" id="4"/>
  </tableColumns>
  <tableStyleInfo name="Sheet1-style 343" showColumnStripes="0" showFirstColumn="1" showLastColumn="1" showRowStripes="1"/>
</table>
</file>

<file path=xl/tables/table344.xml><?xml version="1.0" encoding="utf-8"?>
<table xmlns="http://schemas.openxmlformats.org/spreadsheetml/2006/main" headerRowCount="0" ref="B5176:E5177" displayName="Table_344" name="Table_344" id="344">
  <tableColumns count="4">
    <tableColumn name="Column1" id="1"/>
    <tableColumn name="Column2" id="2"/>
    <tableColumn name="Column3" id="3"/>
    <tableColumn name="Column4" id="4"/>
  </tableColumns>
  <tableStyleInfo name="Sheet1-style 344" showColumnStripes="0" showFirstColumn="1" showLastColumn="1" showRowStripes="1"/>
</table>
</file>

<file path=xl/tables/table345.xml><?xml version="1.0" encoding="utf-8"?>
<table xmlns="http://schemas.openxmlformats.org/spreadsheetml/2006/main" headerRowCount="0" ref="B5191:E5192" displayName="Table_345" name="Table_345" id="345">
  <tableColumns count="4">
    <tableColumn name="Column1" id="1"/>
    <tableColumn name="Column2" id="2"/>
    <tableColumn name="Column3" id="3"/>
    <tableColumn name="Column4" id="4"/>
  </tableColumns>
  <tableStyleInfo name="Sheet1-style 345" showColumnStripes="0" showFirstColumn="1" showLastColumn="1" showRowStripes="1"/>
</table>
</file>

<file path=xl/tables/table346.xml><?xml version="1.0" encoding="utf-8"?>
<table xmlns="http://schemas.openxmlformats.org/spreadsheetml/2006/main" headerRowCount="0" ref="B5205:E5206" displayName="Table_346" name="Table_346" id="346">
  <tableColumns count="4">
    <tableColumn name="Column1" id="1"/>
    <tableColumn name="Column2" id="2"/>
    <tableColumn name="Column3" id="3"/>
    <tableColumn name="Column4" id="4"/>
  </tableColumns>
  <tableStyleInfo name="Sheet1-style 346" showColumnStripes="0" showFirstColumn="1" showLastColumn="1" showRowStripes="1"/>
</table>
</file>

<file path=xl/tables/table347.xml><?xml version="1.0" encoding="utf-8"?>
<table xmlns="http://schemas.openxmlformats.org/spreadsheetml/2006/main" headerRowCount="0" ref="B5219:E5220" displayName="Table_347" name="Table_347" id="347">
  <tableColumns count="4">
    <tableColumn name="Column1" id="1"/>
    <tableColumn name="Column2" id="2"/>
    <tableColumn name="Column3" id="3"/>
    <tableColumn name="Column4" id="4"/>
  </tableColumns>
  <tableStyleInfo name="Sheet1-style 347" showColumnStripes="0" showFirstColumn="1" showLastColumn="1" showRowStripes="1"/>
</table>
</file>

<file path=xl/tables/table348.xml><?xml version="1.0" encoding="utf-8"?>
<table xmlns="http://schemas.openxmlformats.org/spreadsheetml/2006/main" headerRowCount="0" ref="B5233:E5234" displayName="Table_348" name="Table_348" id="348">
  <tableColumns count="4">
    <tableColumn name="Column1" id="1"/>
    <tableColumn name="Column2" id="2"/>
    <tableColumn name="Column3" id="3"/>
    <tableColumn name="Column4" id="4"/>
  </tableColumns>
  <tableStyleInfo name="Sheet1-style 348" showColumnStripes="0" showFirstColumn="1" showLastColumn="1" showRowStripes="1"/>
</table>
</file>

<file path=xl/tables/table349.xml><?xml version="1.0" encoding="utf-8"?>
<table xmlns="http://schemas.openxmlformats.org/spreadsheetml/2006/main" headerRowCount="0" ref="B5247:E5248" displayName="Table_349" name="Table_349" id="349">
  <tableColumns count="4">
    <tableColumn name="Column1" id="1"/>
    <tableColumn name="Column2" id="2"/>
    <tableColumn name="Column3" id="3"/>
    <tableColumn name="Column4" id="4"/>
  </tableColumns>
  <tableStyleInfo name="Sheet1-style 349" showColumnStripes="0" showFirstColumn="1" showLastColumn="1" showRowStripes="1"/>
</table>
</file>

<file path=xl/tables/table350.xml><?xml version="1.0" encoding="utf-8"?>
<table xmlns="http://schemas.openxmlformats.org/spreadsheetml/2006/main" headerRowCount="0" ref="B5262:E5263" displayName="Table_350" name="Table_350" id="350">
  <tableColumns count="4">
    <tableColumn name="Column1" id="1"/>
    <tableColumn name="Column2" id="2"/>
    <tableColumn name="Column3" id="3"/>
    <tableColumn name="Column4" id="4"/>
  </tableColumns>
  <tableStyleInfo name="Sheet1-style 350" showColumnStripes="0" showFirstColumn="1" showLastColumn="1" showRowStripes="1"/>
</table>
</file>

<file path=xl/tables/table351.xml><?xml version="1.0" encoding="utf-8"?>
<table xmlns="http://schemas.openxmlformats.org/spreadsheetml/2006/main" headerRowCount="0" ref="B5277:E5278" displayName="Table_351" name="Table_351" id="351">
  <tableColumns count="4">
    <tableColumn name="Column1" id="1"/>
    <tableColumn name="Column2" id="2"/>
    <tableColumn name="Column3" id="3"/>
    <tableColumn name="Column4" id="4"/>
  </tableColumns>
  <tableStyleInfo name="Sheet1-style 351" showColumnStripes="0" showFirstColumn="1" showLastColumn="1" showRowStripes="1"/>
</table>
</file>

<file path=xl/tables/table352.xml><?xml version="1.0" encoding="utf-8"?>
<table xmlns="http://schemas.openxmlformats.org/spreadsheetml/2006/main" headerRowCount="0" ref="B5292:E5293" displayName="Table_352" name="Table_352" id="352">
  <tableColumns count="4">
    <tableColumn name="Column1" id="1"/>
    <tableColumn name="Column2" id="2"/>
    <tableColumn name="Column3" id="3"/>
    <tableColumn name="Column4" id="4"/>
  </tableColumns>
  <tableStyleInfo name="Sheet1-style 352" showColumnStripes="0" showFirstColumn="1" showLastColumn="1" showRowStripes="1"/>
</table>
</file>

<file path=xl/tables/table353.xml><?xml version="1.0" encoding="utf-8"?>
<table xmlns="http://schemas.openxmlformats.org/spreadsheetml/2006/main" headerRowCount="0" ref="B5309:E5310" displayName="Table_353" name="Table_353" id="353">
  <tableColumns count="4">
    <tableColumn name="Column1" id="1"/>
    <tableColumn name="Column2" id="2"/>
    <tableColumn name="Column3" id="3"/>
    <tableColumn name="Column4" id="4"/>
  </tableColumns>
  <tableStyleInfo name="Sheet1-style 353" showColumnStripes="0" showFirstColumn="1" showLastColumn="1" showRowStripes="1"/>
</table>
</file>

<file path=xl/tables/table354.xml><?xml version="1.0" encoding="utf-8"?>
<table xmlns="http://schemas.openxmlformats.org/spreadsheetml/2006/main" headerRowCount="0" ref="B5324:E5325" displayName="Table_354" name="Table_354" id="354">
  <tableColumns count="4">
    <tableColumn name="Column1" id="1"/>
    <tableColumn name="Column2" id="2"/>
    <tableColumn name="Column3" id="3"/>
    <tableColumn name="Column4" id="4"/>
  </tableColumns>
  <tableStyleInfo name="Sheet1-style 354" showColumnStripes="0" showFirstColumn="1" showLastColumn="1" showRowStripes="1"/>
</table>
</file>

<file path=xl/tables/table355.xml><?xml version="1.0" encoding="utf-8"?>
<table xmlns="http://schemas.openxmlformats.org/spreadsheetml/2006/main" headerRowCount="0" ref="B5339:E5340" displayName="Table_355" name="Table_355" id="355">
  <tableColumns count="4">
    <tableColumn name="Column1" id="1"/>
    <tableColumn name="Column2" id="2"/>
    <tableColumn name="Column3" id="3"/>
    <tableColumn name="Column4" id="4"/>
  </tableColumns>
  <tableStyleInfo name="Sheet1-style 355" showColumnStripes="0" showFirstColumn="1" showLastColumn="1" showRowStripes="1"/>
</table>
</file>

<file path=xl/tables/table356.xml><?xml version="1.0" encoding="utf-8"?>
<table xmlns="http://schemas.openxmlformats.org/spreadsheetml/2006/main" headerRowCount="0" ref="B5355:E5356" displayName="Table_356" name="Table_356" id="356">
  <tableColumns count="4">
    <tableColumn name="Column1" id="1"/>
    <tableColumn name="Column2" id="2"/>
    <tableColumn name="Column3" id="3"/>
    <tableColumn name="Column4" id="4"/>
  </tableColumns>
  <tableStyleInfo name="Sheet1-style 356" showColumnStripes="0" showFirstColumn="1" showLastColumn="1" showRowStripes="1"/>
</table>
</file>

<file path=xl/tables/table357.xml><?xml version="1.0" encoding="utf-8"?>
<table xmlns="http://schemas.openxmlformats.org/spreadsheetml/2006/main" headerRowCount="0" ref="B5371:E5372" displayName="Table_357" name="Table_357" id="357">
  <tableColumns count="4">
    <tableColumn name="Column1" id="1"/>
    <tableColumn name="Column2" id="2"/>
    <tableColumn name="Column3" id="3"/>
    <tableColumn name="Column4" id="4"/>
  </tableColumns>
  <tableStyleInfo name="Sheet1-style 357" showColumnStripes="0" showFirstColumn="1" showLastColumn="1" showRowStripes="1"/>
</table>
</file>

<file path=xl/tables/table358.xml><?xml version="1.0" encoding="utf-8"?>
<table xmlns="http://schemas.openxmlformats.org/spreadsheetml/2006/main" headerRowCount="0" ref="B5388:E5389" displayName="Table_358" name="Table_358" id="358">
  <tableColumns count="4">
    <tableColumn name="Column1" id="1"/>
    <tableColumn name="Column2" id="2"/>
    <tableColumn name="Column3" id="3"/>
    <tableColumn name="Column4" id="4"/>
  </tableColumns>
  <tableStyleInfo name="Sheet1-style 358" showColumnStripes="0" showFirstColumn="1" showLastColumn="1" showRowStripes="1"/>
</table>
</file>

<file path=xl/tables/table359.xml><?xml version="1.0" encoding="utf-8"?>
<table xmlns="http://schemas.openxmlformats.org/spreadsheetml/2006/main" headerRowCount="0" ref="B5405:E5406" displayName="Table_359" name="Table_359" id="359">
  <tableColumns count="4">
    <tableColumn name="Column1" id="1"/>
    <tableColumn name="Column2" id="2"/>
    <tableColumn name="Column3" id="3"/>
    <tableColumn name="Column4" id="4"/>
  </tableColumns>
  <tableStyleInfo name="Sheet1-style 359" showColumnStripes="0" showFirstColumn="1" showLastColumn="1" showRowStripes="1"/>
</table>
</file>

<file path=xl/tables/table360.xml><?xml version="1.0" encoding="utf-8"?>
<table xmlns="http://schemas.openxmlformats.org/spreadsheetml/2006/main" headerRowCount="0" ref="B5420:E5421" displayName="Table_360" name="Table_360" id="360">
  <tableColumns count="4">
    <tableColumn name="Column1" id="1"/>
    <tableColumn name="Column2" id="2"/>
    <tableColumn name="Column3" id="3"/>
    <tableColumn name="Column4" id="4"/>
  </tableColumns>
  <tableStyleInfo name="Sheet1-style 360" showColumnStripes="0" showFirstColumn="1" showLastColumn="1" showRowStripes="1"/>
</table>
</file>

<file path=xl/tables/table361.xml><?xml version="1.0" encoding="utf-8"?>
<table xmlns="http://schemas.openxmlformats.org/spreadsheetml/2006/main" headerRowCount="0" ref="B5436:E5437" displayName="Table_361" name="Table_361" id="361">
  <tableColumns count="4">
    <tableColumn name="Column1" id="1"/>
    <tableColumn name="Column2" id="2"/>
    <tableColumn name="Column3" id="3"/>
    <tableColumn name="Column4" id="4"/>
  </tableColumns>
  <tableStyleInfo name="Sheet1-style 361" showColumnStripes="0" showFirstColumn="1" showLastColumn="1" showRowStripes="1"/>
</table>
</file>

<file path=xl/tables/table362.xml><?xml version="1.0" encoding="utf-8"?>
<table xmlns="http://schemas.openxmlformats.org/spreadsheetml/2006/main" headerRowCount="0" ref="B5451:E5452" displayName="Table_362" name="Table_362" id="362">
  <tableColumns count="4">
    <tableColumn name="Column1" id="1"/>
    <tableColumn name="Column2" id="2"/>
    <tableColumn name="Column3" id="3"/>
    <tableColumn name="Column4" id="4"/>
  </tableColumns>
  <tableStyleInfo name="Sheet1-style 362" showColumnStripes="0" showFirstColumn="1" showLastColumn="1" showRowStripes="1"/>
</table>
</file>

<file path=xl/tables/table363.xml><?xml version="1.0" encoding="utf-8"?>
<table xmlns="http://schemas.openxmlformats.org/spreadsheetml/2006/main" headerRowCount="0" ref="B5466:E5467" displayName="Table_363" name="Table_363" id="363">
  <tableColumns count="4">
    <tableColumn name="Column1" id="1"/>
    <tableColumn name="Column2" id="2"/>
    <tableColumn name="Column3" id="3"/>
    <tableColumn name="Column4" id="4"/>
  </tableColumns>
  <tableStyleInfo name="Sheet1-style 363" showColumnStripes="0" showFirstColumn="1" showLastColumn="1" showRowStripes="1"/>
</table>
</file>

<file path=xl/tables/table364.xml><?xml version="1.0" encoding="utf-8"?>
<table xmlns="http://schemas.openxmlformats.org/spreadsheetml/2006/main" headerRowCount="0" ref="B5481:E5482" displayName="Table_364" name="Table_364" id="364">
  <tableColumns count="4">
    <tableColumn name="Column1" id="1"/>
    <tableColumn name="Column2" id="2"/>
    <tableColumn name="Column3" id="3"/>
    <tableColumn name="Column4" id="4"/>
  </tableColumns>
  <tableStyleInfo name="Sheet1-style 364" showColumnStripes="0" showFirstColumn="1" showLastColumn="1" showRowStripes="1"/>
</table>
</file>

<file path=xl/tables/table365.xml><?xml version="1.0" encoding="utf-8"?>
<table xmlns="http://schemas.openxmlformats.org/spreadsheetml/2006/main" headerRowCount="0" ref="B5496:E5497" displayName="Table_365" name="Table_365" id="365">
  <tableColumns count="4">
    <tableColumn name="Column1" id="1"/>
    <tableColumn name="Column2" id="2"/>
    <tableColumn name="Column3" id="3"/>
    <tableColumn name="Column4" id="4"/>
  </tableColumns>
  <tableStyleInfo name="Sheet1-style 365" showColumnStripes="0" showFirstColumn="1" showLastColumn="1" showRowStripes="1"/>
</table>
</file>

<file path=xl/tables/table366.xml><?xml version="1.0" encoding="utf-8"?>
<table xmlns="http://schemas.openxmlformats.org/spreadsheetml/2006/main" headerRowCount="0" ref="B5511:E5512" displayName="Table_366" name="Table_366" id="366">
  <tableColumns count="4">
    <tableColumn name="Column1" id="1"/>
    <tableColumn name="Column2" id="2"/>
    <tableColumn name="Column3" id="3"/>
    <tableColumn name="Column4" id="4"/>
  </tableColumns>
  <tableStyleInfo name="Sheet1-style 366" showColumnStripes="0" showFirstColumn="1" showLastColumn="1" showRowStripes="1"/>
</table>
</file>

<file path=xl/tables/table367.xml><?xml version="1.0" encoding="utf-8"?>
<table xmlns="http://schemas.openxmlformats.org/spreadsheetml/2006/main" headerRowCount="0" ref="B5526:E5527" displayName="Table_367" name="Table_367" id="367">
  <tableColumns count="4">
    <tableColumn name="Column1" id="1"/>
    <tableColumn name="Column2" id="2"/>
    <tableColumn name="Column3" id="3"/>
    <tableColumn name="Column4" id="4"/>
  </tableColumns>
  <tableStyleInfo name="Sheet1-style 367" showColumnStripes="0" showFirstColumn="1" showLastColumn="1" showRowStripes="1"/>
</table>
</file>

<file path=xl/tables/table368.xml><?xml version="1.0" encoding="utf-8"?>
<table xmlns="http://schemas.openxmlformats.org/spreadsheetml/2006/main" headerRowCount="0" ref="B5541:E5542" displayName="Table_368" name="Table_368" id="368">
  <tableColumns count="4">
    <tableColumn name="Column1" id="1"/>
    <tableColumn name="Column2" id="2"/>
    <tableColumn name="Column3" id="3"/>
    <tableColumn name="Column4" id="4"/>
  </tableColumns>
  <tableStyleInfo name="Sheet1-style 368" showColumnStripes="0" showFirstColumn="1" showLastColumn="1" showRowStripes="1"/>
</table>
</file>

<file path=xl/tables/table369.xml><?xml version="1.0" encoding="utf-8"?>
<table xmlns="http://schemas.openxmlformats.org/spreadsheetml/2006/main" headerRowCount="0" ref="B5557:E5558" displayName="Table_369" name="Table_369" id="369">
  <tableColumns count="4">
    <tableColumn name="Column1" id="1"/>
    <tableColumn name="Column2" id="2"/>
    <tableColumn name="Column3" id="3"/>
    <tableColumn name="Column4" id="4"/>
  </tableColumns>
  <tableStyleInfo name="Sheet1-style 369" showColumnStripes="0" showFirstColumn="1" showLastColumn="1" showRowStripes="1"/>
</table>
</file>

<file path=xl/tables/table370.xml><?xml version="1.0" encoding="utf-8"?>
<table xmlns="http://schemas.openxmlformats.org/spreadsheetml/2006/main" headerRowCount="0" ref="B5572:E5573" displayName="Table_370" name="Table_370" id="370">
  <tableColumns count="4">
    <tableColumn name="Column1" id="1"/>
    <tableColumn name="Column2" id="2"/>
    <tableColumn name="Column3" id="3"/>
    <tableColumn name="Column4" id="4"/>
  </tableColumns>
  <tableStyleInfo name="Sheet1-style 370" showColumnStripes="0" showFirstColumn="1" showLastColumn="1" showRowStripes="1"/>
</table>
</file>

<file path=xl/tables/table371.xml><?xml version="1.0" encoding="utf-8"?>
<table xmlns="http://schemas.openxmlformats.org/spreadsheetml/2006/main" headerRowCount="0" ref="B5586:E5587" displayName="Table_371" name="Table_371" id="371">
  <tableColumns count="4">
    <tableColumn name="Column1" id="1"/>
    <tableColumn name="Column2" id="2"/>
    <tableColumn name="Column3" id="3"/>
    <tableColumn name="Column4" id="4"/>
  </tableColumns>
  <tableStyleInfo name="Sheet1-style 371" showColumnStripes="0" showFirstColumn="1" showLastColumn="1" showRowStripes="1"/>
</table>
</file>

<file path=xl/tables/table372.xml><?xml version="1.0" encoding="utf-8"?>
<table xmlns="http://schemas.openxmlformats.org/spreadsheetml/2006/main" headerRowCount="0" ref="B5601:E5602" displayName="Table_372" name="Table_372" id="372">
  <tableColumns count="4">
    <tableColumn name="Column1" id="1"/>
    <tableColumn name="Column2" id="2"/>
    <tableColumn name="Column3" id="3"/>
    <tableColumn name="Column4" id="4"/>
  </tableColumns>
  <tableStyleInfo name="Sheet1-style 372" showColumnStripes="0" showFirstColumn="1" showLastColumn="1" showRowStripes="1"/>
</table>
</file>

<file path=xl/tables/table373.xml><?xml version="1.0" encoding="utf-8"?>
<table xmlns="http://schemas.openxmlformats.org/spreadsheetml/2006/main" headerRowCount="0" ref="B5616:E5617" displayName="Table_373" name="Table_373" id="373">
  <tableColumns count="4">
    <tableColumn name="Column1" id="1"/>
    <tableColumn name="Column2" id="2"/>
    <tableColumn name="Column3" id="3"/>
    <tableColumn name="Column4" id="4"/>
  </tableColumns>
  <tableStyleInfo name="Sheet1-style 373" showColumnStripes="0" showFirstColumn="1" showLastColumn="1" showRowStripes="1"/>
</table>
</file>

<file path=xl/tables/table374.xml><?xml version="1.0" encoding="utf-8"?>
<table xmlns="http://schemas.openxmlformats.org/spreadsheetml/2006/main" headerRowCount="0" ref="B5631:E5632" displayName="Table_374" name="Table_374" id="374">
  <tableColumns count="4">
    <tableColumn name="Column1" id="1"/>
    <tableColumn name="Column2" id="2"/>
    <tableColumn name="Column3" id="3"/>
    <tableColumn name="Column4" id="4"/>
  </tableColumns>
  <tableStyleInfo name="Sheet1-style 374" showColumnStripes="0" showFirstColumn="1" showLastColumn="1" showRowStripes="1"/>
</table>
</file>

<file path=xl/tables/table375.xml><?xml version="1.0" encoding="utf-8"?>
<table xmlns="http://schemas.openxmlformats.org/spreadsheetml/2006/main" headerRowCount="0" ref="B5645:E5646" displayName="Table_375" name="Table_375" id="375">
  <tableColumns count="4">
    <tableColumn name="Column1" id="1"/>
    <tableColumn name="Column2" id="2"/>
    <tableColumn name="Column3" id="3"/>
    <tableColumn name="Column4" id="4"/>
  </tableColumns>
  <tableStyleInfo name="Sheet1-style 375" showColumnStripes="0" showFirstColumn="1" showLastColumn="1" showRowStripes="1"/>
</table>
</file>

<file path=xl/tables/table376.xml><?xml version="1.0" encoding="utf-8"?>
<table xmlns="http://schemas.openxmlformats.org/spreadsheetml/2006/main" headerRowCount="0" ref="B5659:E5660" displayName="Table_376" name="Table_376" id="376">
  <tableColumns count="4">
    <tableColumn name="Column1" id="1"/>
    <tableColumn name="Column2" id="2"/>
    <tableColumn name="Column3" id="3"/>
    <tableColumn name="Column4" id="4"/>
  </tableColumns>
  <tableStyleInfo name="Sheet1-style 376" showColumnStripes="0" showFirstColumn="1" showLastColumn="1" showRowStripes="1"/>
</table>
</file>

<file path=xl/tables/table377.xml><?xml version="1.0" encoding="utf-8"?>
<table xmlns="http://schemas.openxmlformats.org/spreadsheetml/2006/main" headerRowCount="0" ref="B5674:E5675" displayName="Table_377" name="Table_377" id="377">
  <tableColumns count="4">
    <tableColumn name="Column1" id="1"/>
    <tableColumn name="Column2" id="2"/>
    <tableColumn name="Column3" id="3"/>
    <tableColumn name="Column4" id="4"/>
  </tableColumns>
  <tableStyleInfo name="Sheet1-style 377" showColumnStripes="0" showFirstColumn="1" showLastColumn="1" showRowStripes="1"/>
</table>
</file>

<file path=xl/tables/table378.xml><?xml version="1.0" encoding="utf-8"?>
<table xmlns="http://schemas.openxmlformats.org/spreadsheetml/2006/main" headerRowCount="0" ref="B5691:E5692" displayName="Table_378" name="Table_378" id="378">
  <tableColumns count="4">
    <tableColumn name="Column1" id="1"/>
    <tableColumn name="Column2" id="2"/>
    <tableColumn name="Column3" id="3"/>
    <tableColumn name="Column4" id="4"/>
  </tableColumns>
  <tableStyleInfo name="Sheet1-style 378" showColumnStripes="0" showFirstColumn="1" showLastColumn="1" showRowStripes="1"/>
</table>
</file>

<file path=xl/tables/table379.xml><?xml version="1.0" encoding="utf-8"?>
<table xmlns="http://schemas.openxmlformats.org/spreadsheetml/2006/main" headerRowCount="0" ref="B5708:E5709" displayName="Table_379" name="Table_379" id="379">
  <tableColumns count="4">
    <tableColumn name="Column1" id="1"/>
    <tableColumn name="Column2" id="2"/>
    <tableColumn name="Column3" id="3"/>
    <tableColumn name="Column4" id="4"/>
  </tableColumns>
  <tableStyleInfo name="Sheet1-style 379" showColumnStripes="0" showFirstColumn="1" showLastColumn="1" showRowStripes="1"/>
</table>
</file>

<file path=xl/tables/table380.xml><?xml version="1.0" encoding="utf-8"?>
<table xmlns="http://schemas.openxmlformats.org/spreadsheetml/2006/main" headerRowCount="0" ref="B5724:E5725" displayName="Table_380" name="Table_380" id="380">
  <tableColumns count="4">
    <tableColumn name="Column1" id="1"/>
    <tableColumn name="Column2" id="2"/>
    <tableColumn name="Column3" id="3"/>
    <tableColumn name="Column4" id="4"/>
  </tableColumns>
  <tableStyleInfo name="Sheet1-style 380" showColumnStripes="0" showFirstColumn="1" showLastColumn="1" showRowStripes="1"/>
</table>
</file>

<file path=xl/tables/table381.xml><?xml version="1.0" encoding="utf-8"?>
<table xmlns="http://schemas.openxmlformats.org/spreadsheetml/2006/main" headerRowCount="0" ref="B5739:E5740" displayName="Table_381" name="Table_381" id="381">
  <tableColumns count="4">
    <tableColumn name="Column1" id="1"/>
    <tableColumn name="Column2" id="2"/>
    <tableColumn name="Column3" id="3"/>
    <tableColumn name="Column4" id="4"/>
  </tableColumns>
  <tableStyleInfo name="Sheet1-style 381" showColumnStripes="0" showFirstColumn="1" showLastColumn="1" showRowStripes="1"/>
</table>
</file>

<file path=xl/tables/table382.xml><?xml version="1.0" encoding="utf-8"?>
<table xmlns="http://schemas.openxmlformats.org/spreadsheetml/2006/main" headerRowCount="0" ref="B5753:E5754" displayName="Table_382" name="Table_382" id="382">
  <tableColumns count="4">
    <tableColumn name="Column1" id="1"/>
    <tableColumn name="Column2" id="2"/>
    <tableColumn name="Column3" id="3"/>
    <tableColumn name="Column4" id="4"/>
  </tableColumns>
  <tableStyleInfo name="Sheet1-style 382" showColumnStripes="0" showFirstColumn="1" showLastColumn="1" showRowStripes="1"/>
</table>
</file>

<file path=xl/tables/table383.xml><?xml version="1.0" encoding="utf-8"?>
<table xmlns="http://schemas.openxmlformats.org/spreadsheetml/2006/main" headerRowCount="0" ref="B5768:E5769" displayName="Table_383" name="Table_383" id="383">
  <tableColumns count="4">
    <tableColumn name="Column1" id="1"/>
    <tableColumn name="Column2" id="2"/>
    <tableColumn name="Column3" id="3"/>
    <tableColumn name="Column4" id="4"/>
  </tableColumns>
  <tableStyleInfo name="Sheet1-style 383" showColumnStripes="0" showFirstColumn="1" showLastColumn="1" showRowStripes="1"/>
</table>
</file>

<file path=xl/tables/table384.xml><?xml version="1.0" encoding="utf-8"?>
<table xmlns="http://schemas.openxmlformats.org/spreadsheetml/2006/main" headerRowCount="0" ref="B5783:E5784" displayName="Table_384" name="Table_384" id="384">
  <tableColumns count="4">
    <tableColumn name="Column1" id="1"/>
    <tableColumn name="Column2" id="2"/>
    <tableColumn name="Column3" id="3"/>
    <tableColumn name="Column4" id="4"/>
  </tableColumns>
  <tableStyleInfo name="Sheet1-style 384" showColumnStripes="0" showFirstColumn="1" showLastColumn="1" showRowStripes="1"/>
</table>
</file>

<file path=xl/tables/table385.xml><?xml version="1.0" encoding="utf-8"?>
<table xmlns="http://schemas.openxmlformats.org/spreadsheetml/2006/main" headerRowCount="0" ref="B5799:E5800" displayName="Table_385" name="Table_385" id="385">
  <tableColumns count="4">
    <tableColumn name="Column1" id="1"/>
    <tableColumn name="Column2" id="2"/>
    <tableColumn name="Column3" id="3"/>
    <tableColumn name="Column4" id="4"/>
  </tableColumns>
  <tableStyleInfo name="Sheet1-style 385" showColumnStripes="0" showFirstColumn="1" showLastColumn="1" showRowStripes="1"/>
</table>
</file>

<file path=xl/tables/table386.xml><?xml version="1.0" encoding="utf-8"?>
<table xmlns="http://schemas.openxmlformats.org/spreadsheetml/2006/main" headerRowCount="0" ref="B5814:E5815" displayName="Table_386" name="Table_386" id="386">
  <tableColumns count="4">
    <tableColumn name="Column1" id="1"/>
    <tableColumn name="Column2" id="2"/>
    <tableColumn name="Column3" id="3"/>
    <tableColumn name="Column4" id="4"/>
  </tableColumns>
  <tableStyleInfo name="Sheet1-style 386" showColumnStripes="0" showFirstColumn="1" showLastColumn="1" showRowStripes="1"/>
</table>
</file>

<file path=xl/tables/table387.xml><?xml version="1.0" encoding="utf-8"?>
<table xmlns="http://schemas.openxmlformats.org/spreadsheetml/2006/main" headerRowCount="0" ref="B5829:E5830" displayName="Table_387" name="Table_387" id="387">
  <tableColumns count="4">
    <tableColumn name="Column1" id="1"/>
    <tableColumn name="Column2" id="2"/>
    <tableColumn name="Column3" id="3"/>
    <tableColumn name="Column4" id="4"/>
  </tableColumns>
  <tableStyleInfo name="Sheet1-style 387" showColumnStripes="0" showFirstColumn="1" showLastColumn="1" showRowStripes="1"/>
</table>
</file>

<file path=xl/tables/table388.xml><?xml version="1.0" encoding="utf-8"?>
<table xmlns="http://schemas.openxmlformats.org/spreadsheetml/2006/main" headerRowCount="0" ref="B5845:E5846" displayName="Table_388" name="Table_388" id="388">
  <tableColumns count="4">
    <tableColumn name="Column1" id="1"/>
    <tableColumn name="Column2" id="2"/>
    <tableColumn name="Column3" id="3"/>
    <tableColumn name="Column4" id="4"/>
  </tableColumns>
  <tableStyleInfo name="Sheet1-style 388" showColumnStripes="0" showFirstColumn="1" showLastColumn="1" showRowStripes="1"/>
</table>
</file>

<file path=xl/tables/table389.xml><?xml version="1.0" encoding="utf-8"?>
<table xmlns="http://schemas.openxmlformats.org/spreadsheetml/2006/main" headerRowCount="0" ref="B5859:E5860" displayName="Table_389" name="Table_389" id="389">
  <tableColumns count="4">
    <tableColumn name="Column1" id="1"/>
    <tableColumn name="Column2" id="2"/>
    <tableColumn name="Column3" id="3"/>
    <tableColumn name="Column4" id="4"/>
  </tableColumns>
  <tableStyleInfo name="Sheet1-style 389" showColumnStripes="0" showFirstColumn="1" showLastColumn="1" showRowStripes="1"/>
</table>
</file>

<file path=xl/tables/table390.xml><?xml version="1.0" encoding="utf-8"?>
<table xmlns="http://schemas.openxmlformats.org/spreadsheetml/2006/main" headerRowCount="0" ref="B5873:E5874" displayName="Table_390" name="Table_390" id="390">
  <tableColumns count="4">
    <tableColumn name="Column1" id="1"/>
    <tableColumn name="Column2" id="2"/>
    <tableColumn name="Column3" id="3"/>
    <tableColumn name="Column4" id="4"/>
  </tableColumns>
  <tableStyleInfo name="Sheet1-style 390" showColumnStripes="0" showFirstColumn="1" showLastColumn="1" showRowStripes="1"/>
</table>
</file>

<file path=xl/tables/table391.xml><?xml version="1.0" encoding="utf-8"?>
<table xmlns="http://schemas.openxmlformats.org/spreadsheetml/2006/main" headerRowCount="0" ref="B5889:E5890" displayName="Table_391" name="Table_391" id="391">
  <tableColumns count="4">
    <tableColumn name="Column1" id="1"/>
    <tableColumn name="Column2" id="2"/>
    <tableColumn name="Column3" id="3"/>
    <tableColumn name="Column4" id="4"/>
  </tableColumns>
  <tableStyleInfo name="Sheet1-style 391" showColumnStripes="0" showFirstColumn="1" showLastColumn="1" showRowStripes="1"/>
</table>
</file>

<file path=xl/tables/table392.xml><?xml version="1.0" encoding="utf-8"?>
<table xmlns="http://schemas.openxmlformats.org/spreadsheetml/2006/main" headerRowCount="0" ref="B5904:E5905" displayName="Table_392" name="Table_392" id="392">
  <tableColumns count="4">
    <tableColumn name="Column1" id="1"/>
    <tableColumn name="Column2" id="2"/>
    <tableColumn name="Column3" id="3"/>
    <tableColumn name="Column4" id="4"/>
  </tableColumns>
  <tableStyleInfo name="Sheet1-style 392" showColumnStripes="0" showFirstColumn="1" showLastColumn="1" showRowStripes="1"/>
</table>
</file>

<file path=xl/tables/table393.xml><?xml version="1.0" encoding="utf-8"?>
<table xmlns="http://schemas.openxmlformats.org/spreadsheetml/2006/main" headerRowCount="0" ref="B5918:E5919" displayName="Table_393" name="Table_393" id="393">
  <tableColumns count="4">
    <tableColumn name="Column1" id="1"/>
    <tableColumn name="Column2" id="2"/>
    <tableColumn name="Column3" id="3"/>
    <tableColumn name="Column4" id="4"/>
  </tableColumns>
  <tableStyleInfo name="Sheet1-style 393" showColumnStripes="0" showFirstColumn="1" showLastColumn="1" showRowStripes="1"/>
</table>
</file>

<file path=xl/tables/table394.xml><?xml version="1.0" encoding="utf-8"?>
<table xmlns="http://schemas.openxmlformats.org/spreadsheetml/2006/main" headerRowCount="0" ref="B5931:E5932" displayName="Table_394" name="Table_394" id="394">
  <tableColumns count="4">
    <tableColumn name="Column1" id="1"/>
    <tableColumn name="Column2" id="2"/>
    <tableColumn name="Column3" id="3"/>
    <tableColumn name="Column4" id="4"/>
  </tableColumns>
  <tableStyleInfo name="Sheet1-style 394" showColumnStripes="0" showFirstColumn="1" showLastColumn="1" showRowStripes="1"/>
</table>
</file>

<file path=xl/tables/table395.xml><?xml version="1.0" encoding="utf-8"?>
<table xmlns="http://schemas.openxmlformats.org/spreadsheetml/2006/main" headerRowCount="0" ref="B5946:E5947" displayName="Table_395" name="Table_395" id="395">
  <tableColumns count="4">
    <tableColumn name="Column1" id="1"/>
    <tableColumn name="Column2" id="2"/>
    <tableColumn name="Column3" id="3"/>
    <tableColumn name="Column4" id="4"/>
  </tableColumns>
  <tableStyleInfo name="Sheet1-style 395" showColumnStripes="0" showFirstColumn="1" showLastColumn="1" showRowStripes="1"/>
</table>
</file>

<file path=xl/tables/table396.xml><?xml version="1.0" encoding="utf-8"?>
<table xmlns="http://schemas.openxmlformats.org/spreadsheetml/2006/main" headerRowCount="0" ref="B5960:E5961" displayName="Table_396" name="Table_396" id="396">
  <tableColumns count="4">
    <tableColumn name="Column1" id="1"/>
    <tableColumn name="Column2" id="2"/>
    <tableColumn name="Column3" id="3"/>
    <tableColumn name="Column4" id="4"/>
  </tableColumns>
  <tableStyleInfo name="Sheet1-style 396" showColumnStripes="0" showFirstColumn="1" showLastColumn="1" showRowStripes="1"/>
</table>
</file>

<file path=xl/tables/table397.xml><?xml version="1.0" encoding="utf-8"?>
<table xmlns="http://schemas.openxmlformats.org/spreadsheetml/2006/main" headerRowCount="0" ref="B5976:E5977" displayName="Table_397" name="Table_397" id="397">
  <tableColumns count="4">
    <tableColumn name="Column1" id="1"/>
    <tableColumn name="Column2" id="2"/>
    <tableColumn name="Column3" id="3"/>
    <tableColumn name="Column4" id="4"/>
  </tableColumns>
  <tableStyleInfo name="Sheet1-style 397" showColumnStripes="0" showFirstColumn="1" showLastColumn="1" showRowStripes="1"/>
</table>
</file>

<file path=xl/tables/table398.xml><?xml version="1.0" encoding="utf-8"?>
<table xmlns="http://schemas.openxmlformats.org/spreadsheetml/2006/main" headerRowCount="0" ref="B5991:E5992" displayName="Table_398" name="Table_398" id="398">
  <tableColumns count="4">
    <tableColumn name="Column1" id="1"/>
    <tableColumn name="Column2" id="2"/>
    <tableColumn name="Column3" id="3"/>
    <tableColumn name="Column4" id="4"/>
  </tableColumns>
  <tableStyleInfo name="Sheet1-style 398" showColumnStripes="0" showFirstColumn="1" showLastColumn="1" showRowStripes="1"/>
</table>
</file>

<file path=xl/tables/table399.xml><?xml version="1.0" encoding="utf-8"?>
<table xmlns="http://schemas.openxmlformats.org/spreadsheetml/2006/main" headerRowCount="0" ref="B6006:E6007" displayName="Table_399" name="Table_399" id="399">
  <tableColumns count="4">
    <tableColumn name="Column1" id="1"/>
    <tableColumn name="Column2" id="2"/>
    <tableColumn name="Column3" id="3"/>
    <tableColumn name="Column4" id="4"/>
  </tableColumns>
  <tableStyleInfo name="Sheet1-style 399" showColumnStripes="0" showFirstColumn="1" showLastColumn="1" showRowStripes="1"/>
</table>
</file>

<file path=xl/tables/table400.xml><?xml version="1.0" encoding="utf-8"?>
<table xmlns="http://schemas.openxmlformats.org/spreadsheetml/2006/main" headerRowCount="0" ref="B6024:E6025" displayName="Table_400" name="Table_400" id="400">
  <tableColumns count="4">
    <tableColumn name="Column1" id="1"/>
    <tableColumn name="Column2" id="2"/>
    <tableColumn name="Column3" id="3"/>
    <tableColumn name="Column4" id="4"/>
  </tableColumns>
  <tableStyleInfo name="Sheet1-style 40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95" Type="http://schemas.openxmlformats.org/officeDocument/2006/relationships/table" Target="../tables/table94.xml"/><Relationship Id="rId494" Type="http://schemas.openxmlformats.org/officeDocument/2006/relationships/table" Target="../tables/table93.xml"/><Relationship Id="rId493" Type="http://schemas.openxmlformats.org/officeDocument/2006/relationships/table" Target="../tables/table92.xml"/><Relationship Id="rId492" Type="http://schemas.openxmlformats.org/officeDocument/2006/relationships/table" Target="../tables/table91.xml"/><Relationship Id="rId499" Type="http://schemas.openxmlformats.org/officeDocument/2006/relationships/table" Target="../tables/table98.xml"/><Relationship Id="rId498" Type="http://schemas.openxmlformats.org/officeDocument/2006/relationships/table" Target="../tables/table97.xml"/><Relationship Id="rId497" Type="http://schemas.openxmlformats.org/officeDocument/2006/relationships/table" Target="../tables/table96.xml"/><Relationship Id="rId496" Type="http://schemas.openxmlformats.org/officeDocument/2006/relationships/table" Target="../tables/table95.xml"/><Relationship Id="rId800" Type="http://schemas.openxmlformats.org/officeDocument/2006/relationships/table" Target="../tables/table399.xml"/><Relationship Id="rId801" Type="http://schemas.openxmlformats.org/officeDocument/2006/relationships/table" Target="../tables/table400.xml"/><Relationship Id="rId509" Type="http://schemas.openxmlformats.org/officeDocument/2006/relationships/table" Target="../tables/table108.xml"/><Relationship Id="rId508" Type="http://schemas.openxmlformats.org/officeDocument/2006/relationships/table" Target="../tables/table107.xml"/><Relationship Id="rId629" Type="http://schemas.openxmlformats.org/officeDocument/2006/relationships/table" Target="../tables/table228.xml"/><Relationship Id="rId503" Type="http://schemas.openxmlformats.org/officeDocument/2006/relationships/table" Target="../tables/table102.xml"/><Relationship Id="rId624" Type="http://schemas.openxmlformats.org/officeDocument/2006/relationships/table" Target="../tables/table223.xml"/><Relationship Id="rId745" Type="http://schemas.openxmlformats.org/officeDocument/2006/relationships/table" Target="../tables/table344.xml"/><Relationship Id="rId502" Type="http://schemas.openxmlformats.org/officeDocument/2006/relationships/table" Target="../tables/table101.xml"/><Relationship Id="rId623" Type="http://schemas.openxmlformats.org/officeDocument/2006/relationships/table" Target="../tables/table222.xml"/><Relationship Id="rId744" Type="http://schemas.openxmlformats.org/officeDocument/2006/relationships/table" Target="../tables/table343.xml"/><Relationship Id="rId501" Type="http://schemas.openxmlformats.org/officeDocument/2006/relationships/table" Target="../tables/table100.xml"/><Relationship Id="rId622" Type="http://schemas.openxmlformats.org/officeDocument/2006/relationships/table" Target="../tables/table221.xml"/><Relationship Id="rId743" Type="http://schemas.openxmlformats.org/officeDocument/2006/relationships/table" Target="../tables/table342.xml"/><Relationship Id="rId500" Type="http://schemas.openxmlformats.org/officeDocument/2006/relationships/table" Target="../tables/table99.xml"/><Relationship Id="rId621" Type="http://schemas.openxmlformats.org/officeDocument/2006/relationships/table" Target="../tables/table220.xml"/><Relationship Id="rId742" Type="http://schemas.openxmlformats.org/officeDocument/2006/relationships/table" Target="../tables/table341.xml"/><Relationship Id="rId507" Type="http://schemas.openxmlformats.org/officeDocument/2006/relationships/table" Target="../tables/table106.xml"/><Relationship Id="rId628" Type="http://schemas.openxmlformats.org/officeDocument/2006/relationships/table" Target="../tables/table227.xml"/><Relationship Id="rId749" Type="http://schemas.openxmlformats.org/officeDocument/2006/relationships/table" Target="../tables/table348.xml"/><Relationship Id="rId506" Type="http://schemas.openxmlformats.org/officeDocument/2006/relationships/table" Target="../tables/table105.xml"/><Relationship Id="rId627" Type="http://schemas.openxmlformats.org/officeDocument/2006/relationships/table" Target="../tables/table226.xml"/><Relationship Id="rId748" Type="http://schemas.openxmlformats.org/officeDocument/2006/relationships/table" Target="../tables/table347.xml"/><Relationship Id="rId505" Type="http://schemas.openxmlformats.org/officeDocument/2006/relationships/table" Target="../tables/table104.xml"/><Relationship Id="rId626" Type="http://schemas.openxmlformats.org/officeDocument/2006/relationships/table" Target="../tables/table225.xml"/><Relationship Id="rId747" Type="http://schemas.openxmlformats.org/officeDocument/2006/relationships/table" Target="../tables/table346.xml"/><Relationship Id="rId504" Type="http://schemas.openxmlformats.org/officeDocument/2006/relationships/table" Target="../tables/table103.xml"/><Relationship Id="rId625" Type="http://schemas.openxmlformats.org/officeDocument/2006/relationships/table" Target="../tables/table224.xml"/><Relationship Id="rId746" Type="http://schemas.openxmlformats.org/officeDocument/2006/relationships/table" Target="../tables/table345.xml"/><Relationship Id="rId620" Type="http://schemas.openxmlformats.org/officeDocument/2006/relationships/table" Target="../tables/table219.xml"/><Relationship Id="rId741" Type="http://schemas.openxmlformats.org/officeDocument/2006/relationships/table" Target="../tables/table340.xml"/><Relationship Id="rId740" Type="http://schemas.openxmlformats.org/officeDocument/2006/relationships/table" Target="../tables/table339.xml"/><Relationship Id="rId619" Type="http://schemas.openxmlformats.org/officeDocument/2006/relationships/table" Target="../tables/table218.xml"/><Relationship Id="rId618" Type="http://schemas.openxmlformats.org/officeDocument/2006/relationships/table" Target="../tables/table217.xml"/><Relationship Id="rId739" Type="http://schemas.openxmlformats.org/officeDocument/2006/relationships/table" Target="../tables/table338.xml"/><Relationship Id="rId613" Type="http://schemas.openxmlformats.org/officeDocument/2006/relationships/table" Target="../tables/table212.xml"/><Relationship Id="rId734" Type="http://schemas.openxmlformats.org/officeDocument/2006/relationships/table" Target="../tables/table333.xml"/><Relationship Id="rId612" Type="http://schemas.openxmlformats.org/officeDocument/2006/relationships/table" Target="../tables/table211.xml"/><Relationship Id="rId733" Type="http://schemas.openxmlformats.org/officeDocument/2006/relationships/table" Target="../tables/table332.xml"/><Relationship Id="rId611" Type="http://schemas.openxmlformats.org/officeDocument/2006/relationships/table" Target="../tables/table210.xml"/><Relationship Id="rId732" Type="http://schemas.openxmlformats.org/officeDocument/2006/relationships/table" Target="../tables/table331.xml"/><Relationship Id="rId610" Type="http://schemas.openxmlformats.org/officeDocument/2006/relationships/table" Target="../tables/table209.xml"/><Relationship Id="rId731" Type="http://schemas.openxmlformats.org/officeDocument/2006/relationships/table" Target="../tables/table330.xml"/><Relationship Id="rId617" Type="http://schemas.openxmlformats.org/officeDocument/2006/relationships/table" Target="../tables/table216.xml"/><Relationship Id="rId738" Type="http://schemas.openxmlformats.org/officeDocument/2006/relationships/table" Target="../tables/table337.xml"/><Relationship Id="rId616" Type="http://schemas.openxmlformats.org/officeDocument/2006/relationships/table" Target="../tables/table215.xml"/><Relationship Id="rId737" Type="http://schemas.openxmlformats.org/officeDocument/2006/relationships/table" Target="../tables/table336.xml"/><Relationship Id="rId615" Type="http://schemas.openxmlformats.org/officeDocument/2006/relationships/table" Target="../tables/table214.xml"/><Relationship Id="rId736" Type="http://schemas.openxmlformats.org/officeDocument/2006/relationships/table" Target="../tables/table335.xml"/><Relationship Id="rId614" Type="http://schemas.openxmlformats.org/officeDocument/2006/relationships/table" Target="../tables/table213.xml"/><Relationship Id="rId735" Type="http://schemas.openxmlformats.org/officeDocument/2006/relationships/table" Target="../tables/table334.xml"/><Relationship Id="rId730" Type="http://schemas.openxmlformats.org/officeDocument/2006/relationships/table" Target="../tables/table329.xml"/><Relationship Id="rId409" Type="http://schemas.openxmlformats.org/officeDocument/2006/relationships/table" Target="../tables/table8.xml"/><Relationship Id="rId404" Type="http://schemas.openxmlformats.org/officeDocument/2006/relationships/table" Target="../tables/table3.xml"/><Relationship Id="rId525" Type="http://schemas.openxmlformats.org/officeDocument/2006/relationships/table" Target="../tables/table124.xml"/><Relationship Id="rId646" Type="http://schemas.openxmlformats.org/officeDocument/2006/relationships/table" Target="../tables/table245.xml"/><Relationship Id="rId767" Type="http://schemas.openxmlformats.org/officeDocument/2006/relationships/table" Target="../tables/table366.xml"/><Relationship Id="rId403" Type="http://schemas.openxmlformats.org/officeDocument/2006/relationships/table" Target="../tables/table2.xml"/><Relationship Id="rId524" Type="http://schemas.openxmlformats.org/officeDocument/2006/relationships/table" Target="../tables/table123.xml"/><Relationship Id="rId645" Type="http://schemas.openxmlformats.org/officeDocument/2006/relationships/table" Target="../tables/table244.xml"/><Relationship Id="rId766" Type="http://schemas.openxmlformats.org/officeDocument/2006/relationships/table" Target="../tables/table365.xml"/><Relationship Id="rId402" Type="http://schemas.openxmlformats.org/officeDocument/2006/relationships/table" Target="../tables/table1.xml"/><Relationship Id="rId523" Type="http://schemas.openxmlformats.org/officeDocument/2006/relationships/table" Target="../tables/table122.xml"/><Relationship Id="rId644" Type="http://schemas.openxmlformats.org/officeDocument/2006/relationships/table" Target="../tables/table243.xml"/><Relationship Id="rId765" Type="http://schemas.openxmlformats.org/officeDocument/2006/relationships/table" Target="../tables/table364.xml"/><Relationship Id="rId522" Type="http://schemas.openxmlformats.org/officeDocument/2006/relationships/table" Target="../tables/table121.xml"/><Relationship Id="rId643" Type="http://schemas.openxmlformats.org/officeDocument/2006/relationships/table" Target="../tables/table242.xml"/><Relationship Id="rId764" Type="http://schemas.openxmlformats.org/officeDocument/2006/relationships/table" Target="../tables/table363.xml"/><Relationship Id="rId408" Type="http://schemas.openxmlformats.org/officeDocument/2006/relationships/table" Target="../tables/table7.xml"/><Relationship Id="rId529" Type="http://schemas.openxmlformats.org/officeDocument/2006/relationships/table" Target="../tables/table128.xml"/><Relationship Id="rId407" Type="http://schemas.openxmlformats.org/officeDocument/2006/relationships/table" Target="../tables/table6.xml"/><Relationship Id="rId528" Type="http://schemas.openxmlformats.org/officeDocument/2006/relationships/table" Target="../tables/table127.xml"/><Relationship Id="rId649" Type="http://schemas.openxmlformats.org/officeDocument/2006/relationships/table" Target="../tables/table248.xml"/><Relationship Id="rId406" Type="http://schemas.openxmlformats.org/officeDocument/2006/relationships/table" Target="../tables/table5.xml"/><Relationship Id="rId527" Type="http://schemas.openxmlformats.org/officeDocument/2006/relationships/table" Target="../tables/table126.xml"/><Relationship Id="rId648" Type="http://schemas.openxmlformats.org/officeDocument/2006/relationships/table" Target="../tables/table247.xml"/><Relationship Id="rId769" Type="http://schemas.openxmlformats.org/officeDocument/2006/relationships/table" Target="../tables/table368.xml"/><Relationship Id="rId405" Type="http://schemas.openxmlformats.org/officeDocument/2006/relationships/table" Target="../tables/table4.xml"/><Relationship Id="rId526" Type="http://schemas.openxmlformats.org/officeDocument/2006/relationships/table" Target="../tables/table125.xml"/><Relationship Id="rId647" Type="http://schemas.openxmlformats.org/officeDocument/2006/relationships/table" Target="../tables/table246.xml"/><Relationship Id="rId768" Type="http://schemas.openxmlformats.org/officeDocument/2006/relationships/table" Target="../tables/table367.xml"/><Relationship Id="rId521" Type="http://schemas.openxmlformats.org/officeDocument/2006/relationships/table" Target="../tables/table120.xml"/><Relationship Id="rId642" Type="http://schemas.openxmlformats.org/officeDocument/2006/relationships/table" Target="../tables/table241.xml"/><Relationship Id="rId763" Type="http://schemas.openxmlformats.org/officeDocument/2006/relationships/table" Target="../tables/table362.xml"/><Relationship Id="rId520" Type="http://schemas.openxmlformats.org/officeDocument/2006/relationships/table" Target="../tables/table119.xml"/><Relationship Id="rId641" Type="http://schemas.openxmlformats.org/officeDocument/2006/relationships/table" Target="../tables/table240.xml"/><Relationship Id="rId762" Type="http://schemas.openxmlformats.org/officeDocument/2006/relationships/table" Target="../tables/table361.xml"/><Relationship Id="rId640" Type="http://schemas.openxmlformats.org/officeDocument/2006/relationships/table" Target="../tables/table239.xml"/><Relationship Id="rId761" Type="http://schemas.openxmlformats.org/officeDocument/2006/relationships/table" Target="../tables/table360.xml"/><Relationship Id="rId760" Type="http://schemas.openxmlformats.org/officeDocument/2006/relationships/table" Target="../tables/table359.xml"/><Relationship Id="rId519" Type="http://schemas.openxmlformats.org/officeDocument/2006/relationships/table" Target="../tables/table118.xml"/><Relationship Id="rId514" Type="http://schemas.openxmlformats.org/officeDocument/2006/relationships/table" Target="../tables/table113.xml"/><Relationship Id="rId635" Type="http://schemas.openxmlformats.org/officeDocument/2006/relationships/table" Target="../tables/table234.xml"/><Relationship Id="rId756" Type="http://schemas.openxmlformats.org/officeDocument/2006/relationships/table" Target="../tables/table355.xml"/><Relationship Id="rId513" Type="http://schemas.openxmlformats.org/officeDocument/2006/relationships/table" Target="../tables/table112.xml"/><Relationship Id="rId634" Type="http://schemas.openxmlformats.org/officeDocument/2006/relationships/table" Target="../tables/table233.xml"/><Relationship Id="rId755" Type="http://schemas.openxmlformats.org/officeDocument/2006/relationships/table" Target="../tables/table354.xml"/><Relationship Id="rId512" Type="http://schemas.openxmlformats.org/officeDocument/2006/relationships/table" Target="../tables/table111.xml"/><Relationship Id="rId633" Type="http://schemas.openxmlformats.org/officeDocument/2006/relationships/table" Target="../tables/table232.xml"/><Relationship Id="rId754" Type="http://schemas.openxmlformats.org/officeDocument/2006/relationships/table" Target="../tables/table353.xml"/><Relationship Id="rId511" Type="http://schemas.openxmlformats.org/officeDocument/2006/relationships/table" Target="../tables/table110.xml"/><Relationship Id="rId632" Type="http://schemas.openxmlformats.org/officeDocument/2006/relationships/table" Target="../tables/table231.xml"/><Relationship Id="rId753" Type="http://schemas.openxmlformats.org/officeDocument/2006/relationships/table" Target="../tables/table352.xml"/><Relationship Id="rId518" Type="http://schemas.openxmlformats.org/officeDocument/2006/relationships/table" Target="../tables/table117.xml"/><Relationship Id="rId639" Type="http://schemas.openxmlformats.org/officeDocument/2006/relationships/table" Target="../tables/table238.xml"/><Relationship Id="rId517" Type="http://schemas.openxmlformats.org/officeDocument/2006/relationships/table" Target="../tables/table116.xml"/><Relationship Id="rId638" Type="http://schemas.openxmlformats.org/officeDocument/2006/relationships/table" Target="../tables/table237.xml"/><Relationship Id="rId759" Type="http://schemas.openxmlformats.org/officeDocument/2006/relationships/table" Target="../tables/table358.xml"/><Relationship Id="rId516" Type="http://schemas.openxmlformats.org/officeDocument/2006/relationships/table" Target="../tables/table115.xml"/><Relationship Id="rId637" Type="http://schemas.openxmlformats.org/officeDocument/2006/relationships/table" Target="../tables/table236.xml"/><Relationship Id="rId758" Type="http://schemas.openxmlformats.org/officeDocument/2006/relationships/table" Target="../tables/table357.xml"/><Relationship Id="rId515" Type="http://schemas.openxmlformats.org/officeDocument/2006/relationships/table" Target="../tables/table114.xml"/><Relationship Id="rId636" Type="http://schemas.openxmlformats.org/officeDocument/2006/relationships/table" Target="../tables/table235.xml"/><Relationship Id="rId757" Type="http://schemas.openxmlformats.org/officeDocument/2006/relationships/table" Target="../tables/table356.xml"/><Relationship Id="rId510" Type="http://schemas.openxmlformats.org/officeDocument/2006/relationships/table" Target="../tables/table109.xml"/><Relationship Id="rId631" Type="http://schemas.openxmlformats.org/officeDocument/2006/relationships/table" Target="../tables/table230.xml"/><Relationship Id="rId752" Type="http://schemas.openxmlformats.org/officeDocument/2006/relationships/table" Target="../tables/table351.xml"/><Relationship Id="rId630" Type="http://schemas.openxmlformats.org/officeDocument/2006/relationships/table" Target="../tables/table229.xml"/><Relationship Id="rId751" Type="http://schemas.openxmlformats.org/officeDocument/2006/relationships/table" Target="../tables/table350.xml"/><Relationship Id="rId750" Type="http://schemas.openxmlformats.org/officeDocument/2006/relationships/table" Target="../tables/table349.xml"/><Relationship Id="rId709" Type="http://schemas.openxmlformats.org/officeDocument/2006/relationships/table" Target="../tables/table308.xml"/><Relationship Id="rId708" Type="http://schemas.openxmlformats.org/officeDocument/2006/relationships/table" Target="../tables/table307.xml"/><Relationship Id="rId707" Type="http://schemas.openxmlformats.org/officeDocument/2006/relationships/table" Target="../tables/table306.xml"/><Relationship Id="rId706" Type="http://schemas.openxmlformats.org/officeDocument/2006/relationships/table" Target="../tables/table305.xml"/><Relationship Id="rId701" Type="http://schemas.openxmlformats.org/officeDocument/2006/relationships/table" Target="../tables/table300.xml"/><Relationship Id="rId700" Type="http://schemas.openxmlformats.org/officeDocument/2006/relationships/table" Target="../tables/table299.xml"/><Relationship Id="rId705" Type="http://schemas.openxmlformats.org/officeDocument/2006/relationships/table" Target="../tables/table304.xml"/><Relationship Id="rId704" Type="http://schemas.openxmlformats.org/officeDocument/2006/relationships/table" Target="../tables/table303.xml"/><Relationship Id="rId703" Type="http://schemas.openxmlformats.org/officeDocument/2006/relationships/table" Target="../tables/table302.xml"/><Relationship Id="rId702" Type="http://schemas.openxmlformats.org/officeDocument/2006/relationships/table" Target="../tables/table301.xml"/><Relationship Id="rId609" Type="http://schemas.openxmlformats.org/officeDocument/2006/relationships/table" Target="../tables/table208.xml"/><Relationship Id="rId608" Type="http://schemas.openxmlformats.org/officeDocument/2006/relationships/table" Target="../tables/table207.xml"/><Relationship Id="rId729" Type="http://schemas.openxmlformats.org/officeDocument/2006/relationships/table" Target="../tables/table328.xml"/><Relationship Id="rId607" Type="http://schemas.openxmlformats.org/officeDocument/2006/relationships/table" Target="../tables/table206.xml"/><Relationship Id="rId728" Type="http://schemas.openxmlformats.org/officeDocument/2006/relationships/table" Target="../tables/table327.xml"/><Relationship Id="rId602" Type="http://schemas.openxmlformats.org/officeDocument/2006/relationships/table" Target="../tables/table201.xml"/><Relationship Id="rId723" Type="http://schemas.openxmlformats.org/officeDocument/2006/relationships/table" Target="../tables/table322.xml"/><Relationship Id="rId601" Type="http://schemas.openxmlformats.org/officeDocument/2006/relationships/table" Target="../tables/table200.xml"/><Relationship Id="rId722" Type="http://schemas.openxmlformats.org/officeDocument/2006/relationships/table" Target="../tables/table321.xml"/><Relationship Id="rId600" Type="http://schemas.openxmlformats.org/officeDocument/2006/relationships/table" Target="../tables/table199.xml"/><Relationship Id="rId721" Type="http://schemas.openxmlformats.org/officeDocument/2006/relationships/table" Target="../tables/table320.xml"/><Relationship Id="rId720" Type="http://schemas.openxmlformats.org/officeDocument/2006/relationships/table" Target="../tables/table319.xml"/><Relationship Id="rId606" Type="http://schemas.openxmlformats.org/officeDocument/2006/relationships/table" Target="../tables/table205.xml"/><Relationship Id="rId727" Type="http://schemas.openxmlformats.org/officeDocument/2006/relationships/table" Target="../tables/table326.xml"/><Relationship Id="rId605" Type="http://schemas.openxmlformats.org/officeDocument/2006/relationships/table" Target="../tables/table204.xml"/><Relationship Id="rId726" Type="http://schemas.openxmlformats.org/officeDocument/2006/relationships/table" Target="../tables/table325.xml"/><Relationship Id="rId604" Type="http://schemas.openxmlformats.org/officeDocument/2006/relationships/table" Target="../tables/table203.xml"/><Relationship Id="rId725" Type="http://schemas.openxmlformats.org/officeDocument/2006/relationships/table" Target="../tables/table324.xml"/><Relationship Id="rId603" Type="http://schemas.openxmlformats.org/officeDocument/2006/relationships/table" Target="../tables/table202.xml"/><Relationship Id="rId724" Type="http://schemas.openxmlformats.org/officeDocument/2006/relationships/table" Target="../tables/table323.xml"/><Relationship Id="rId719" Type="http://schemas.openxmlformats.org/officeDocument/2006/relationships/table" Target="../tables/table318.xml"/><Relationship Id="rId718" Type="http://schemas.openxmlformats.org/officeDocument/2006/relationships/table" Target="../tables/table317.xml"/><Relationship Id="rId717" Type="http://schemas.openxmlformats.org/officeDocument/2006/relationships/table" Target="../tables/table316.xml"/><Relationship Id="rId712" Type="http://schemas.openxmlformats.org/officeDocument/2006/relationships/table" Target="../tables/table311.xml"/><Relationship Id="rId711" Type="http://schemas.openxmlformats.org/officeDocument/2006/relationships/table" Target="../tables/table310.xml"/><Relationship Id="rId710" Type="http://schemas.openxmlformats.org/officeDocument/2006/relationships/table" Target="../tables/table309.xml"/><Relationship Id="rId716" Type="http://schemas.openxmlformats.org/officeDocument/2006/relationships/table" Target="../tables/table315.xml"/><Relationship Id="rId715" Type="http://schemas.openxmlformats.org/officeDocument/2006/relationships/table" Target="../tables/table314.xml"/><Relationship Id="rId714" Type="http://schemas.openxmlformats.org/officeDocument/2006/relationships/table" Target="../tables/table313.xml"/><Relationship Id="rId713" Type="http://schemas.openxmlformats.org/officeDocument/2006/relationships/table" Target="../tables/table312.xml"/><Relationship Id="rId590" Type="http://schemas.openxmlformats.org/officeDocument/2006/relationships/table" Target="../tables/table189.xml"/><Relationship Id="rId469" Type="http://schemas.openxmlformats.org/officeDocument/2006/relationships/table" Target="../tables/table68.xml"/><Relationship Id="rId468" Type="http://schemas.openxmlformats.org/officeDocument/2006/relationships/table" Target="../tables/table67.xml"/><Relationship Id="rId589" Type="http://schemas.openxmlformats.org/officeDocument/2006/relationships/table" Target="../tables/table188.xml"/><Relationship Id="rId467" Type="http://schemas.openxmlformats.org/officeDocument/2006/relationships/table" Target="../tables/table66.xml"/><Relationship Id="rId588" Type="http://schemas.openxmlformats.org/officeDocument/2006/relationships/table" Target="../tables/table187.xml"/><Relationship Id="rId462" Type="http://schemas.openxmlformats.org/officeDocument/2006/relationships/table" Target="../tables/table61.xml"/><Relationship Id="rId583" Type="http://schemas.openxmlformats.org/officeDocument/2006/relationships/table" Target="../tables/table182.xml"/><Relationship Id="rId461" Type="http://schemas.openxmlformats.org/officeDocument/2006/relationships/table" Target="../tables/table60.xml"/><Relationship Id="rId582" Type="http://schemas.openxmlformats.org/officeDocument/2006/relationships/table" Target="../tables/table181.xml"/><Relationship Id="rId460" Type="http://schemas.openxmlformats.org/officeDocument/2006/relationships/table" Target="../tables/table59.xml"/><Relationship Id="rId581" Type="http://schemas.openxmlformats.org/officeDocument/2006/relationships/table" Target="../tables/table180.xml"/><Relationship Id="rId580" Type="http://schemas.openxmlformats.org/officeDocument/2006/relationships/table" Target="../tables/table179.xml"/><Relationship Id="rId466" Type="http://schemas.openxmlformats.org/officeDocument/2006/relationships/table" Target="../tables/table65.xml"/><Relationship Id="rId587" Type="http://schemas.openxmlformats.org/officeDocument/2006/relationships/table" Target="../tables/table186.xml"/><Relationship Id="rId465" Type="http://schemas.openxmlformats.org/officeDocument/2006/relationships/table" Target="../tables/table64.xml"/><Relationship Id="rId586" Type="http://schemas.openxmlformats.org/officeDocument/2006/relationships/table" Target="../tables/table185.xml"/><Relationship Id="rId464" Type="http://schemas.openxmlformats.org/officeDocument/2006/relationships/table" Target="../tables/table63.xml"/><Relationship Id="rId585" Type="http://schemas.openxmlformats.org/officeDocument/2006/relationships/table" Target="../tables/table184.xml"/><Relationship Id="rId463" Type="http://schemas.openxmlformats.org/officeDocument/2006/relationships/table" Target="../tables/table62.xml"/><Relationship Id="rId584" Type="http://schemas.openxmlformats.org/officeDocument/2006/relationships/table" Target="../tables/table183.xml"/><Relationship Id="rId459" Type="http://schemas.openxmlformats.org/officeDocument/2006/relationships/table" Target="../tables/table58.xml"/><Relationship Id="rId458" Type="http://schemas.openxmlformats.org/officeDocument/2006/relationships/table" Target="../tables/table57.xml"/><Relationship Id="rId579" Type="http://schemas.openxmlformats.org/officeDocument/2006/relationships/table" Target="../tables/table178.xml"/><Relationship Id="rId457" Type="http://schemas.openxmlformats.org/officeDocument/2006/relationships/table" Target="../tables/table56.xml"/><Relationship Id="rId578" Type="http://schemas.openxmlformats.org/officeDocument/2006/relationships/table" Target="../tables/table177.xml"/><Relationship Id="rId699" Type="http://schemas.openxmlformats.org/officeDocument/2006/relationships/table" Target="../tables/table298.xml"/><Relationship Id="rId456" Type="http://schemas.openxmlformats.org/officeDocument/2006/relationships/table" Target="../tables/table55.xml"/><Relationship Id="rId577" Type="http://schemas.openxmlformats.org/officeDocument/2006/relationships/table" Target="../tables/table176.xml"/><Relationship Id="rId698" Type="http://schemas.openxmlformats.org/officeDocument/2006/relationships/table" Target="../tables/table297.xml"/><Relationship Id="rId451" Type="http://schemas.openxmlformats.org/officeDocument/2006/relationships/table" Target="../tables/table50.xml"/><Relationship Id="rId572" Type="http://schemas.openxmlformats.org/officeDocument/2006/relationships/table" Target="../tables/table171.xml"/><Relationship Id="rId693" Type="http://schemas.openxmlformats.org/officeDocument/2006/relationships/table" Target="../tables/table292.xml"/><Relationship Id="rId450" Type="http://schemas.openxmlformats.org/officeDocument/2006/relationships/table" Target="../tables/table49.xml"/><Relationship Id="rId571" Type="http://schemas.openxmlformats.org/officeDocument/2006/relationships/table" Target="../tables/table170.xml"/><Relationship Id="rId692" Type="http://schemas.openxmlformats.org/officeDocument/2006/relationships/table" Target="../tables/table291.xml"/><Relationship Id="rId570" Type="http://schemas.openxmlformats.org/officeDocument/2006/relationships/table" Target="../tables/table169.xml"/><Relationship Id="rId691" Type="http://schemas.openxmlformats.org/officeDocument/2006/relationships/table" Target="../tables/table290.xml"/><Relationship Id="rId690" Type="http://schemas.openxmlformats.org/officeDocument/2006/relationships/table" Target="../tables/table289.xml"/><Relationship Id="rId455" Type="http://schemas.openxmlformats.org/officeDocument/2006/relationships/table" Target="../tables/table54.xml"/><Relationship Id="rId576" Type="http://schemas.openxmlformats.org/officeDocument/2006/relationships/table" Target="../tables/table175.xml"/><Relationship Id="rId697" Type="http://schemas.openxmlformats.org/officeDocument/2006/relationships/table" Target="../tables/table296.xml"/><Relationship Id="rId454" Type="http://schemas.openxmlformats.org/officeDocument/2006/relationships/table" Target="../tables/table53.xml"/><Relationship Id="rId575" Type="http://schemas.openxmlformats.org/officeDocument/2006/relationships/table" Target="../tables/table174.xml"/><Relationship Id="rId696" Type="http://schemas.openxmlformats.org/officeDocument/2006/relationships/table" Target="../tables/table295.xml"/><Relationship Id="rId453" Type="http://schemas.openxmlformats.org/officeDocument/2006/relationships/table" Target="../tables/table52.xml"/><Relationship Id="rId574" Type="http://schemas.openxmlformats.org/officeDocument/2006/relationships/table" Target="../tables/table173.xml"/><Relationship Id="rId695" Type="http://schemas.openxmlformats.org/officeDocument/2006/relationships/table" Target="../tables/table294.xml"/><Relationship Id="rId452" Type="http://schemas.openxmlformats.org/officeDocument/2006/relationships/table" Target="../tables/table51.xml"/><Relationship Id="rId573" Type="http://schemas.openxmlformats.org/officeDocument/2006/relationships/table" Target="../tables/table172.xml"/><Relationship Id="rId694" Type="http://schemas.openxmlformats.org/officeDocument/2006/relationships/table" Target="../tables/table293.xml"/><Relationship Id="rId491" Type="http://schemas.openxmlformats.org/officeDocument/2006/relationships/table" Target="../tables/table90.xml"/><Relationship Id="rId490" Type="http://schemas.openxmlformats.org/officeDocument/2006/relationships/table" Target="../tables/table89.xml"/><Relationship Id="rId489" Type="http://schemas.openxmlformats.org/officeDocument/2006/relationships/table" Target="../tables/table88.xml"/><Relationship Id="rId484" Type="http://schemas.openxmlformats.org/officeDocument/2006/relationships/table" Target="../tables/table83.xml"/><Relationship Id="rId483" Type="http://schemas.openxmlformats.org/officeDocument/2006/relationships/table" Target="../tables/table82.xml"/><Relationship Id="rId482" Type="http://schemas.openxmlformats.org/officeDocument/2006/relationships/table" Target="../tables/table81.xml"/><Relationship Id="rId481" Type="http://schemas.openxmlformats.org/officeDocument/2006/relationships/table" Target="../tables/table80.xml"/><Relationship Id="rId488" Type="http://schemas.openxmlformats.org/officeDocument/2006/relationships/table" Target="../tables/table87.xml"/><Relationship Id="rId487" Type="http://schemas.openxmlformats.org/officeDocument/2006/relationships/table" Target="../tables/table86.xml"/><Relationship Id="rId486" Type="http://schemas.openxmlformats.org/officeDocument/2006/relationships/table" Target="../tables/table85.xml"/><Relationship Id="rId485" Type="http://schemas.openxmlformats.org/officeDocument/2006/relationships/table" Target="../tables/table84.xml"/><Relationship Id="rId480" Type="http://schemas.openxmlformats.org/officeDocument/2006/relationships/table" Target="../tables/table79.xml"/><Relationship Id="rId479" Type="http://schemas.openxmlformats.org/officeDocument/2006/relationships/table" Target="../tables/table78.xml"/><Relationship Id="rId478" Type="http://schemas.openxmlformats.org/officeDocument/2006/relationships/table" Target="../tables/table77.xml"/><Relationship Id="rId599" Type="http://schemas.openxmlformats.org/officeDocument/2006/relationships/table" Target="../tables/table198.xml"/><Relationship Id="rId473" Type="http://schemas.openxmlformats.org/officeDocument/2006/relationships/table" Target="../tables/table72.xml"/><Relationship Id="rId594" Type="http://schemas.openxmlformats.org/officeDocument/2006/relationships/table" Target="../tables/table193.xml"/><Relationship Id="rId472" Type="http://schemas.openxmlformats.org/officeDocument/2006/relationships/table" Target="../tables/table71.xml"/><Relationship Id="rId593" Type="http://schemas.openxmlformats.org/officeDocument/2006/relationships/table" Target="../tables/table192.xml"/><Relationship Id="rId471" Type="http://schemas.openxmlformats.org/officeDocument/2006/relationships/table" Target="../tables/table70.xml"/><Relationship Id="rId592" Type="http://schemas.openxmlformats.org/officeDocument/2006/relationships/table" Target="../tables/table191.xml"/><Relationship Id="rId470" Type="http://schemas.openxmlformats.org/officeDocument/2006/relationships/table" Target="../tables/table69.xml"/><Relationship Id="rId591" Type="http://schemas.openxmlformats.org/officeDocument/2006/relationships/table" Target="../tables/table190.xml"/><Relationship Id="rId477" Type="http://schemas.openxmlformats.org/officeDocument/2006/relationships/table" Target="../tables/table76.xml"/><Relationship Id="rId598" Type="http://schemas.openxmlformats.org/officeDocument/2006/relationships/table" Target="../tables/table197.xml"/><Relationship Id="rId476" Type="http://schemas.openxmlformats.org/officeDocument/2006/relationships/table" Target="../tables/table75.xml"/><Relationship Id="rId597" Type="http://schemas.openxmlformats.org/officeDocument/2006/relationships/table" Target="../tables/table196.xml"/><Relationship Id="rId475" Type="http://schemas.openxmlformats.org/officeDocument/2006/relationships/table" Target="../tables/table74.xml"/><Relationship Id="rId596" Type="http://schemas.openxmlformats.org/officeDocument/2006/relationships/table" Target="../tables/table195.xml"/><Relationship Id="rId474" Type="http://schemas.openxmlformats.org/officeDocument/2006/relationships/table" Target="../tables/table73.xml"/><Relationship Id="rId595" Type="http://schemas.openxmlformats.org/officeDocument/2006/relationships/table" Target="../tables/table194.xml"/><Relationship Id="rId426" Type="http://schemas.openxmlformats.org/officeDocument/2006/relationships/table" Target="../tables/table25.xml"/><Relationship Id="rId547" Type="http://schemas.openxmlformats.org/officeDocument/2006/relationships/table" Target="../tables/table146.xml"/><Relationship Id="rId668" Type="http://schemas.openxmlformats.org/officeDocument/2006/relationships/table" Target="../tables/table267.xml"/><Relationship Id="rId789" Type="http://schemas.openxmlformats.org/officeDocument/2006/relationships/table" Target="../tables/table388.xml"/><Relationship Id="rId425" Type="http://schemas.openxmlformats.org/officeDocument/2006/relationships/table" Target="../tables/table24.xml"/><Relationship Id="rId546" Type="http://schemas.openxmlformats.org/officeDocument/2006/relationships/table" Target="../tables/table145.xml"/><Relationship Id="rId667" Type="http://schemas.openxmlformats.org/officeDocument/2006/relationships/table" Target="../tables/table266.xml"/><Relationship Id="rId788" Type="http://schemas.openxmlformats.org/officeDocument/2006/relationships/table" Target="../tables/table387.xml"/><Relationship Id="rId424" Type="http://schemas.openxmlformats.org/officeDocument/2006/relationships/table" Target="../tables/table23.xml"/><Relationship Id="rId545" Type="http://schemas.openxmlformats.org/officeDocument/2006/relationships/table" Target="../tables/table144.xml"/><Relationship Id="rId666" Type="http://schemas.openxmlformats.org/officeDocument/2006/relationships/table" Target="../tables/table265.xml"/><Relationship Id="rId787" Type="http://schemas.openxmlformats.org/officeDocument/2006/relationships/table" Target="../tables/table386.xml"/><Relationship Id="rId423" Type="http://schemas.openxmlformats.org/officeDocument/2006/relationships/table" Target="../tables/table22.xml"/><Relationship Id="rId544" Type="http://schemas.openxmlformats.org/officeDocument/2006/relationships/table" Target="../tables/table143.xml"/><Relationship Id="rId665" Type="http://schemas.openxmlformats.org/officeDocument/2006/relationships/table" Target="../tables/table264.xml"/><Relationship Id="rId786" Type="http://schemas.openxmlformats.org/officeDocument/2006/relationships/table" Target="../tables/table385.xml"/><Relationship Id="rId429" Type="http://schemas.openxmlformats.org/officeDocument/2006/relationships/table" Target="../tables/table28.xml"/><Relationship Id="rId428" Type="http://schemas.openxmlformats.org/officeDocument/2006/relationships/table" Target="../tables/table27.xml"/><Relationship Id="rId549" Type="http://schemas.openxmlformats.org/officeDocument/2006/relationships/table" Target="../tables/table148.xml"/><Relationship Id="rId427" Type="http://schemas.openxmlformats.org/officeDocument/2006/relationships/table" Target="../tables/table26.xml"/><Relationship Id="rId548" Type="http://schemas.openxmlformats.org/officeDocument/2006/relationships/table" Target="../tables/table147.xml"/><Relationship Id="rId669" Type="http://schemas.openxmlformats.org/officeDocument/2006/relationships/table" Target="../tables/table268.xml"/><Relationship Id="rId660" Type="http://schemas.openxmlformats.org/officeDocument/2006/relationships/table" Target="../tables/table259.xml"/><Relationship Id="rId781" Type="http://schemas.openxmlformats.org/officeDocument/2006/relationships/table" Target="../tables/table380.xml"/><Relationship Id="rId780" Type="http://schemas.openxmlformats.org/officeDocument/2006/relationships/table" Target="../tables/table379.xml"/><Relationship Id="rId422" Type="http://schemas.openxmlformats.org/officeDocument/2006/relationships/table" Target="../tables/table21.xml"/><Relationship Id="rId543" Type="http://schemas.openxmlformats.org/officeDocument/2006/relationships/table" Target="../tables/table142.xml"/><Relationship Id="rId664" Type="http://schemas.openxmlformats.org/officeDocument/2006/relationships/table" Target="../tables/table263.xml"/><Relationship Id="rId785" Type="http://schemas.openxmlformats.org/officeDocument/2006/relationships/table" Target="../tables/table384.xml"/><Relationship Id="rId421" Type="http://schemas.openxmlformats.org/officeDocument/2006/relationships/table" Target="../tables/table20.xml"/><Relationship Id="rId542" Type="http://schemas.openxmlformats.org/officeDocument/2006/relationships/table" Target="../tables/table141.xml"/><Relationship Id="rId663" Type="http://schemas.openxmlformats.org/officeDocument/2006/relationships/table" Target="../tables/table262.xml"/><Relationship Id="rId784" Type="http://schemas.openxmlformats.org/officeDocument/2006/relationships/table" Target="../tables/table383.xml"/><Relationship Id="rId420" Type="http://schemas.openxmlformats.org/officeDocument/2006/relationships/table" Target="../tables/table19.xml"/><Relationship Id="rId541" Type="http://schemas.openxmlformats.org/officeDocument/2006/relationships/table" Target="../tables/table140.xml"/><Relationship Id="rId662" Type="http://schemas.openxmlformats.org/officeDocument/2006/relationships/table" Target="../tables/table261.xml"/><Relationship Id="rId783" Type="http://schemas.openxmlformats.org/officeDocument/2006/relationships/table" Target="../tables/table382.xml"/><Relationship Id="rId540" Type="http://schemas.openxmlformats.org/officeDocument/2006/relationships/table" Target="../tables/table139.xml"/><Relationship Id="rId661" Type="http://schemas.openxmlformats.org/officeDocument/2006/relationships/table" Target="../tables/table260.xml"/><Relationship Id="rId782" Type="http://schemas.openxmlformats.org/officeDocument/2006/relationships/table" Target="../tables/table381.xml"/><Relationship Id="rId415" Type="http://schemas.openxmlformats.org/officeDocument/2006/relationships/table" Target="../tables/table14.xml"/><Relationship Id="rId536" Type="http://schemas.openxmlformats.org/officeDocument/2006/relationships/table" Target="../tables/table135.xml"/><Relationship Id="rId657" Type="http://schemas.openxmlformats.org/officeDocument/2006/relationships/table" Target="../tables/table256.xml"/><Relationship Id="rId778" Type="http://schemas.openxmlformats.org/officeDocument/2006/relationships/table" Target="../tables/table377.xml"/><Relationship Id="rId414" Type="http://schemas.openxmlformats.org/officeDocument/2006/relationships/table" Target="../tables/table13.xml"/><Relationship Id="rId535" Type="http://schemas.openxmlformats.org/officeDocument/2006/relationships/table" Target="../tables/table134.xml"/><Relationship Id="rId656" Type="http://schemas.openxmlformats.org/officeDocument/2006/relationships/table" Target="../tables/table255.xml"/><Relationship Id="rId777" Type="http://schemas.openxmlformats.org/officeDocument/2006/relationships/table" Target="../tables/table376.xml"/><Relationship Id="rId413" Type="http://schemas.openxmlformats.org/officeDocument/2006/relationships/table" Target="../tables/table12.xml"/><Relationship Id="rId534" Type="http://schemas.openxmlformats.org/officeDocument/2006/relationships/table" Target="../tables/table133.xml"/><Relationship Id="rId655" Type="http://schemas.openxmlformats.org/officeDocument/2006/relationships/table" Target="../tables/table254.xml"/><Relationship Id="rId776" Type="http://schemas.openxmlformats.org/officeDocument/2006/relationships/table" Target="../tables/table375.xml"/><Relationship Id="rId412" Type="http://schemas.openxmlformats.org/officeDocument/2006/relationships/table" Target="../tables/table11.xml"/><Relationship Id="rId533" Type="http://schemas.openxmlformats.org/officeDocument/2006/relationships/table" Target="../tables/table132.xml"/><Relationship Id="rId654" Type="http://schemas.openxmlformats.org/officeDocument/2006/relationships/table" Target="../tables/table253.xml"/><Relationship Id="rId775" Type="http://schemas.openxmlformats.org/officeDocument/2006/relationships/table" Target="../tables/table374.xml"/><Relationship Id="rId419" Type="http://schemas.openxmlformats.org/officeDocument/2006/relationships/table" Target="../tables/table18.xml"/><Relationship Id="rId418" Type="http://schemas.openxmlformats.org/officeDocument/2006/relationships/table" Target="../tables/table17.xml"/><Relationship Id="rId539" Type="http://schemas.openxmlformats.org/officeDocument/2006/relationships/table" Target="../tables/table138.xml"/><Relationship Id="rId417" Type="http://schemas.openxmlformats.org/officeDocument/2006/relationships/table" Target="../tables/table16.xml"/><Relationship Id="rId538" Type="http://schemas.openxmlformats.org/officeDocument/2006/relationships/table" Target="../tables/table137.xml"/><Relationship Id="rId659" Type="http://schemas.openxmlformats.org/officeDocument/2006/relationships/table" Target="../tables/table258.xml"/><Relationship Id="rId416" Type="http://schemas.openxmlformats.org/officeDocument/2006/relationships/table" Target="../tables/table15.xml"/><Relationship Id="rId537" Type="http://schemas.openxmlformats.org/officeDocument/2006/relationships/table" Target="../tables/table136.xml"/><Relationship Id="rId658" Type="http://schemas.openxmlformats.org/officeDocument/2006/relationships/table" Target="../tables/table257.xml"/><Relationship Id="rId779" Type="http://schemas.openxmlformats.org/officeDocument/2006/relationships/table" Target="../tables/table378.xml"/><Relationship Id="rId770" Type="http://schemas.openxmlformats.org/officeDocument/2006/relationships/table" Target="../tables/table369.xml"/><Relationship Id="rId411" Type="http://schemas.openxmlformats.org/officeDocument/2006/relationships/table" Target="../tables/table10.xml"/><Relationship Id="rId532" Type="http://schemas.openxmlformats.org/officeDocument/2006/relationships/table" Target="../tables/table131.xml"/><Relationship Id="rId653" Type="http://schemas.openxmlformats.org/officeDocument/2006/relationships/table" Target="../tables/table252.xml"/><Relationship Id="rId774" Type="http://schemas.openxmlformats.org/officeDocument/2006/relationships/table" Target="../tables/table373.xml"/><Relationship Id="rId410" Type="http://schemas.openxmlformats.org/officeDocument/2006/relationships/table" Target="../tables/table9.xml"/><Relationship Id="rId531" Type="http://schemas.openxmlformats.org/officeDocument/2006/relationships/table" Target="../tables/table130.xml"/><Relationship Id="rId652" Type="http://schemas.openxmlformats.org/officeDocument/2006/relationships/table" Target="../tables/table251.xml"/><Relationship Id="rId773" Type="http://schemas.openxmlformats.org/officeDocument/2006/relationships/table" Target="../tables/table372.xml"/><Relationship Id="rId530" Type="http://schemas.openxmlformats.org/officeDocument/2006/relationships/table" Target="../tables/table129.xml"/><Relationship Id="rId651" Type="http://schemas.openxmlformats.org/officeDocument/2006/relationships/table" Target="../tables/table250.xml"/><Relationship Id="rId772" Type="http://schemas.openxmlformats.org/officeDocument/2006/relationships/table" Target="../tables/table371.xml"/><Relationship Id="rId650" Type="http://schemas.openxmlformats.org/officeDocument/2006/relationships/table" Target="../tables/table249.xml"/><Relationship Id="rId771" Type="http://schemas.openxmlformats.org/officeDocument/2006/relationships/table" Target="../tables/table370.xml"/><Relationship Id="rId448" Type="http://schemas.openxmlformats.org/officeDocument/2006/relationships/table" Target="../tables/table47.xml"/><Relationship Id="rId569" Type="http://schemas.openxmlformats.org/officeDocument/2006/relationships/table" Target="../tables/table168.xml"/><Relationship Id="rId447" Type="http://schemas.openxmlformats.org/officeDocument/2006/relationships/table" Target="../tables/table46.xml"/><Relationship Id="rId568" Type="http://schemas.openxmlformats.org/officeDocument/2006/relationships/table" Target="../tables/table167.xml"/><Relationship Id="rId689" Type="http://schemas.openxmlformats.org/officeDocument/2006/relationships/table" Target="../tables/table288.xml"/><Relationship Id="rId446" Type="http://schemas.openxmlformats.org/officeDocument/2006/relationships/table" Target="../tables/table45.xml"/><Relationship Id="rId567" Type="http://schemas.openxmlformats.org/officeDocument/2006/relationships/table" Target="../tables/table166.xml"/><Relationship Id="rId688" Type="http://schemas.openxmlformats.org/officeDocument/2006/relationships/table" Target="../tables/table287.xml"/><Relationship Id="rId445" Type="http://schemas.openxmlformats.org/officeDocument/2006/relationships/table" Target="../tables/table44.xml"/><Relationship Id="rId566" Type="http://schemas.openxmlformats.org/officeDocument/2006/relationships/table" Target="../tables/table165.xml"/><Relationship Id="rId687" Type="http://schemas.openxmlformats.org/officeDocument/2006/relationships/table" Target="../tables/table286.xml"/><Relationship Id="rId449" Type="http://schemas.openxmlformats.org/officeDocument/2006/relationships/table" Target="../tables/table48.xml"/><Relationship Id="rId440" Type="http://schemas.openxmlformats.org/officeDocument/2006/relationships/table" Target="../tables/table39.xml"/><Relationship Id="rId561" Type="http://schemas.openxmlformats.org/officeDocument/2006/relationships/table" Target="../tables/table160.xml"/><Relationship Id="rId682" Type="http://schemas.openxmlformats.org/officeDocument/2006/relationships/table" Target="../tables/table281.xml"/><Relationship Id="rId560" Type="http://schemas.openxmlformats.org/officeDocument/2006/relationships/table" Target="../tables/table159.xml"/><Relationship Id="rId681" Type="http://schemas.openxmlformats.org/officeDocument/2006/relationships/table" Target="../tables/table280.xml"/><Relationship Id="rId680" Type="http://schemas.openxmlformats.org/officeDocument/2006/relationships/table" Target="../tables/table279.xml"/><Relationship Id="rId444" Type="http://schemas.openxmlformats.org/officeDocument/2006/relationships/table" Target="../tables/table43.xml"/><Relationship Id="rId565" Type="http://schemas.openxmlformats.org/officeDocument/2006/relationships/table" Target="../tables/table164.xml"/><Relationship Id="rId686" Type="http://schemas.openxmlformats.org/officeDocument/2006/relationships/table" Target="../tables/table285.xml"/><Relationship Id="rId443" Type="http://schemas.openxmlformats.org/officeDocument/2006/relationships/table" Target="../tables/table42.xml"/><Relationship Id="rId564" Type="http://schemas.openxmlformats.org/officeDocument/2006/relationships/table" Target="../tables/table163.xml"/><Relationship Id="rId685" Type="http://schemas.openxmlformats.org/officeDocument/2006/relationships/table" Target="../tables/table284.xml"/><Relationship Id="rId442" Type="http://schemas.openxmlformats.org/officeDocument/2006/relationships/table" Target="../tables/table41.xml"/><Relationship Id="rId563" Type="http://schemas.openxmlformats.org/officeDocument/2006/relationships/table" Target="../tables/table162.xml"/><Relationship Id="rId684" Type="http://schemas.openxmlformats.org/officeDocument/2006/relationships/table" Target="../tables/table283.xml"/><Relationship Id="rId441" Type="http://schemas.openxmlformats.org/officeDocument/2006/relationships/table" Target="../tables/table40.xml"/><Relationship Id="rId562" Type="http://schemas.openxmlformats.org/officeDocument/2006/relationships/table" Target="../tables/table161.xml"/><Relationship Id="rId683" Type="http://schemas.openxmlformats.org/officeDocument/2006/relationships/table" Target="../tables/table282.xml"/><Relationship Id="rId437" Type="http://schemas.openxmlformats.org/officeDocument/2006/relationships/table" Target="../tables/table36.xml"/><Relationship Id="rId558" Type="http://schemas.openxmlformats.org/officeDocument/2006/relationships/table" Target="../tables/table157.xml"/><Relationship Id="rId679" Type="http://schemas.openxmlformats.org/officeDocument/2006/relationships/table" Target="../tables/table278.xml"/><Relationship Id="rId436" Type="http://schemas.openxmlformats.org/officeDocument/2006/relationships/table" Target="../tables/table35.xml"/><Relationship Id="rId557" Type="http://schemas.openxmlformats.org/officeDocument/2006/relationships/table" Target="../tables/table156.xml"/><Relationship Id="rId678" Type="http://schemas.openxmlformats.org/officeDocument/2006/relationships/table" Target="../tables/table277.xml"/><Relationship Id="rId799" Type="http://schemas.openxmlformats.org/officeDocument/2006/relationships/table" Target="../tables/table398.xml"/><Relationship Id="rId435" Type="http://schemas.openxmlformats.org/officeDocument/2006/relationships/table" Target="../tables/table34.xml"/><Relationship Id="rId556" Type="http://schemas.openxmlformats.org/officeDocument/2006/relationships/table" Target="../tables/table155.xml"/><Relationship Id="rId677" Type="http://schemas.openxmlformats.org/officeDocument/2006/relationships/table" Target="../tables/table276.xml"/><Relationship Id="rId798" Type="http://schemas.openxmlformats.org/officeDocument/2006/relationships/table" Target="../tables/table397.xml"/><Relationship Id="rId434" Type="http://schemas.openxmlformats.org/officeDocument/2006/relationships/table" Target="../tables/table33.xml"/><Relationship Id="rId555" Type="http://schemas.openxmlformats.org/officeDocument/2006/relationships/table" Target="../tables/table154.xml"/><Relationship Id="rId676" Type="http://schemas.openxmlformats.org/officeDocument/2006/relationships/table" Target="../tables/table275.xml"/><Relationship Id="rId797" Type="http://schemas.openxmlformats.org/officeDocument/2006/relationships/table" Target="../tables/table396.xml"/><Relationship Id="rId439" Type="http://schemas.openxmlformats.org/officeDocument/2006/relationships/table" Target="../tables/table38.xml"/><Relationship Id="rId438" Type="http://schemas.openxmlformats.org/officeDocument/2006/relationships/table" Target="../tables/table37.xml"/><Relationship Id="rId559" Type="http://schemas.openxmlformats.org/officeDocument/2006/relationships/table" Target="../tables/table158.xml"/><Relationship Id="rId550" Type="http://schemas.openxmlformats.org/officeDocument/2006/relationships/table" Target="../tables/table149.xml"/><Relationship Id="rId671" Type="http://schemas.openxmlformats.org/officeDocument/2006/relationships/table" Target="../tables/table270.xml"/><Relationship Id="rId792" Type="http://schemas.openxmlformats.org/officeDocument/2006/relationships/table" Target="../tables/table391.xml"/><Relationship Id="rId670" Type="http://schemas.openxmlformats.org/officeDocument/2006/relationships/table" Target="../tables/table269.xml"/><Relationship Id="rId791" Type="http://schemas.openxmlformats.org/officeDocument/2006/relationships/table" Target="../tables/table390.xml"/><Relationship Id="rId790" Type="http://schemas.openxmlformats.org/officeDocument/2006/relationships/table" Target="../tables/table389.xml"/><Relationship Id="rId433" Type="http://schemas.openxmlformats.org/officeDocument/2006/relationships/table" Target="../tables/table32.xml"/><Relationship Id="rId554" Type="http://schemas.openxmlformats.org/officeDocument/2006/relationships/table" Target="../tables/table153.xml"/><Relationship Id="rId675" Type="http://schemas.openxmlformats.org/officeDocument/2006/relationships/table" Target="../tables/table274.xml"/><Relationship Id="rId796" Type="http://schemas.openxmlformats.org/officeDocument/2006/relationships/table" Target="../tables/table395.xml"/><Relationship Id="rId432" Type="http://schemas.openxmlformats.org/officeDocument/2006/relationships/table" Target="../tables/table31.xml"/><Relationship Id="rId553" Type="http://schemas.openxmlformats.org/officeDocument/2006/relationships/table" Target="../tables/table152.xml"/><Relationship Id="rId674" Type="http://schemas.openxmlformats.org/officeDocument/2006/relationships/table" Target="../tables/table273.xml"/><Relationship Id="rId795" Type="http://schemas.openxmlformats.org/officeDocument/2006/relationships/table" Target="../tables/table394.xml"/><Relationship Id="rId431" Type="http://schemas.openxmlformats.org/officeDocument/2006/relationships/table" Target="../tables/table30.xml"/><Relationship Id="rId552" Type="http://schemas.openxmlformats.org/officeDocument/2006/relationships/table" Target="../tables/table151.xml"/><Relationship Id="rId673" Type="http://schemas.openxmlformats.org/officeDocument/2006/relationships/table" Target="../tables/table272.xml"/><Relationship Id="rId794" Type="http://schemas.openxmlformats.org/officeDocument/2006/relationships/table" Target="../tables/table393.xml"/><Relationship Id="rId430" Type="http://schemas.openxmlformats.org/officeDocument/2006/relationships/table" Target="../tables/table29.xml"/><Relationship Id="rId551" Type="http://schemas.openxmlformats.org/officeDocument/2006/relationships/table" Target="../tables/table150.xml"/><Relationship Id="rId672" Type="http://schemas.openxmlformats.org/officeDocument/2006/relationships/table" Target="../tables/table271.xml"/><Relationship Id="rId793" Type="http://schemas.openxmlformats.org/officeDocument/2006/relationships/table" Target="../tables/table39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6.38"/>
    <col customWidth="1" min="2" max="2" width="18.0"/>
    <col customWidth="1" min="3" max="3" width="9.75"/>
    <col customWidth="1" min="4" max="4" width="8.0"/>
    <col customWidth="1" min="5" max="5" width="7.75"/>
    <col customWidth="1" min="6" max="6" width="9.25"/>
    <col customWidth="1" min="8" max="8" width="13.25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</v>
      </c>
      <c r="B2" s="2"/>
      <c r="C2" s="2"/>
      <c r="D2" s="2"/>
      <c r="E2" s="2"/>
      <c r="F2" s="2"/>
      <c r="G2" s="2"/>
      <c r="H2" s="3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7" t="s">
        <v>8</v>
      </c>
      <c r="H3" s="9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">
        <v>1.0</v>
      </c>
      <c r="B4" s="11" t="s">
        <v>9</v>
      </c>
      <c r="C4" s="12" t="s">
        <v>10</v>
      </c>
      <c r="D4" s="13" t="s">
        <v>11</v>
      </c>
      <c r="E4" s="14">
        <v>2.4</v>
      </c>
      <c r="F4" s="15">
        <v>293000.0</v>
      </c>
      <c r="G4" s="16">
        <f t="shared" ref="G4:G6" si="1">IFERROR(E4*F4,0)</f>
        <v>703200</v>
      </c>
      <c r="H4" s="17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>
        <v>2.0</v>
      </c>
      <c r="B5" s="18" t="s">
        <v>12</v>
      </c>
      <c r="C5" s="19" t="s">
        <v>10</v>
      </c>
      <c r="D5" s="20" t="s">
        <v>13</v>
      </c>
      <c r="E5" s="21">
        <v>0.97</v>
      </c>
      <c r="F5" s="22">
        <v>435000.0</v>
      </c>
      <c r="G5" s="16">
        <f t="shared" si="1"/>
        <v>421950</v>
      </c>
      <c r="H5" s="17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>
        <v>3.0</v>
      </c>
      <c r="B6" s="23" t="s">
        <v>14</v>
      </c>
      <c r="C6" s="17"/>
      <c r="D6" s="17"/>
      <c r="E6" s="17"/>
      <c r="F6" s="17"/>
      <c r="G6" s="24">
        <f t="shared" si="1"/>
        <v>0</v>
      </c>
      <c r="H6" s="17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5" t="s">
        <v>15</v>
      </c>
      <c r="B7" s="2"/>
      <c r="C7" s="2"/>
      <c r="D7" s="2"/>
      <c r="E7" s="2"/>
      <c r="F7" s="2"/>
      <c r="G7" s="3"/>
      <c r="H7" s="26">
        <f>SUM(G4:G6)</f>
        <v>1125150</v>
      </c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5" t="s">
        <v>16</v>
      </c>
      <c r="B8" s="2"/>
      <c r="C8" s="2"/>
      <c r="D8" s="2"/>
      <c r="E8" s="2"/>
      <c r="F8" s="2"/>
      <c r="G8" s="3"/>
      <c r="H8" s="26">
        <f>MAX(0,H7-648000)</f>
        <v>477150</v>
      </c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7" t="s">
        <v>17</v>
      </c>
      <c r="B9" s="2"/>
      <c r="C9" s="2"/>
      <c r="D9" s="2"/>
      <c r="E9" s="2"/>
      <c r="F9" s="2"/>
      <c r="G9" s="3"/>
      <c r="H9" s="28">
        <v>649000.0</v>
      </c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 t="s">
        <v>18</v>
      </c>
      <c r="B10" s="2"/>
      <c r="C10" s="2"/>
      <c r="D10" s="2"/>
      <c r="E10" s="2"/>
      <c r="F10" s="2"/>
      <c r="G10" s="2"/>
      <c r="H10" s="3"/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5">
      <c r="A15" s="1" t="s">
        <v>0</v>
      </c>
      <c r="B15" s="2"/>
      <c r="C15" s="2"/>
      <c r="D15" s="2"/>
      <c r="E15" s="2"/>
      <c r="F15" s="2"/>
      <c r="G15" s="2"/>
      <c r="H15" s="3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19</v>
      </c>
      <c r="B16" s="2"/>
      <c r="C16" s="2"/>
      <c r="D16" s="2"/>
      <c r="E16" s="2"/>
      <c r="F16" s="2"/>
      <c r="G16" s="2"/>
      <c r="H16" s="3"/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2</v>
      </c>
      <c r="B17" s="7" t="s">
        <v>3</v>
      </c>
      <c r="C17" s="7" t="s">
        <v>4</v>
      </c>
      <c r="D17" s="7" t="s">
        <v>5</v>
      </c>
      <c r="E17" s="7" t="s">
        <v>6</v>
      </c>
      <c r="F17" s="8" t="s">
        <v>7</v>
      </c>
      <c r="G17" s="7" t="s">
        <v>8</v>
      </c>
      <c r="H17" s="9"/>
      <c r="I17" s="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0">
        <v>1.0</v>
      </c>
      <c r="B18" s="18" t="s">
        <v>20</v>
      </c>
      <c r="C18" s="19" t="s">
        <v>21</v>
      </c>
      <c r="D18" s="13" t="s">
        <v>11</v>
      </c>
      <c r="E18" s="14">
        <v>1.5</v>
      </c>
      <c r="F18" s="15">
        <v>293000.0</v>
      </c>
      <c r="G18" s="16">
        <f t="shared" ref="G18:G20" si="2">IFERROR(E18*F18,0)</f>
        <v>439500</v>
      </c>
      <c r="H18" s="17"/>
      <c r="I18" s="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">
        <v>2.0</v>
      </c>
      <c r="B19" s="29" t="s">
        <v>22</v>
      </c>
      <c r="C19" s="30" t="s">
        <v>23</v>
      </c>
      <c r="D19" s="20" t="s">
        <v>13</v>
      </c>
      <c r="E19" s="21">
        <v>2.0</v>
      </c>
      <c r="F19" s="22">
        <v>435000.0</v>
      </c>
      <c r="G19" s="16">
        <f t="shared" si="2"/>
        <v>870000</v>
      </c>
      <c r="H19" s="17"/>
      <c r="I19" s="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">
        <v>3.0</v>
      </c>
      <c r="B20" s="23" t="s">
        <v>14</v>
      </c>
      <c r="C20" s="17"/>
      <c r="D20" s="17"/>
      <c r="E20" s="17"/>
      <c r="F20" s="17"/>
      <c r="G20" s="24">
        <f t="shared" si="2"/>
        <v>0</v>
      </c>
      <c r="H20" s="17"/>
      <c r="I20" s="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5" t="s">
        <v>15</v>
      </c>
      <c r="B21" s="2"/>
      <c r="C21" s="2"/>
      <c r="D21" s="2"/>
      <c r="E21" s="2"/>
      <c r="F21" s="2"/>
      <c r="G21" s="3"/>
      <c r="H21" s="26">
        <f>SUM(G18:G20)</f>
        <v>1309500</v>
      </c>
      <c r="I21" s="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5" t="s">
        <v>16</v>
      </c>
      <c r="B22" s="2"/>
      <c r="C22" s="2"/>
      <c r="D22" s="2"/>
      <c r="E22" s="2"/>
      <c r="F22" s="2"/>
      <c r="G22" s="3"/>
      <c r="H22" s="26">
        <f>MAX(0,H21-648000)</f>
        <v>661500</v>
      </c>
      <c r="I22" s="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7" t="s">
        <v>17</v>
      </c>
      <c r="B23" s="2"/>
      <c r="C23" s="2"/>
      <c r="D23" s="2"/>
      <c r="E23" s="2"/>
      <c r="F23" s="2"/>
      <c r="G23" s="3"/>
      <c r="H23" s="28">
        <v>649000.0</v>
      </c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" t="s">
        <v>18</v>
      </c>
      <c r="B24" s="2"/>
      <c r="C24" s="2"/>
      <c r="D24" s="2"/>
      <c r="E24" s="2"/>
      <c r="F24" s="2"/>
      <c r="G24" s="2"/>
      <c r="H24" s="3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9">
      <c r="A29" s="1" t="s">
        <v>0</v>
      </c>
      <c r="B29" s="2"/>
      <c r="C29" s="2"/>
      <c r="D29" s="2"/>
      <c r="E29" s="2"/>
      <c r="F29" s="2"/>
      <c r="G29" s="2"/>
      <c r="H29" s="3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24</v>
      </c>
      <c r="B30" s="2"/>
      <c r="C30" s="2"/>
      <c r="D30" s="2"/>
      <c r="E30" s="2"/>
      <c r="F30" s="2"/>
      <c r="G30" s="2"/>
      <c r="H30" s="3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" t="s">
        <v>2</v>
      </c>
      <c r="B31" s="7" t="s">
        <v>3</v>
      </c>
      <c r="C31" s="7" t="s">
        <v>4</v>
      </c>
      <c r="D31" s="7" t="s">
        <v>5</v>
      </c>
      <c r="E31" s="7" t="s">
        <v>6</v>
      </c>
      <c r="F31" s="8" t="s">
        <v>7</v>
      </c>
      <c r="G31" s="7" t="s">
        <v>8</v>
      </c>
      <c r="H31" s="9"/>
      <c r="I31" s="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0">
        <v>1.0</v>
      </c>
      <c r="B32" s="18" t="s">
        <v>25</v>
      </c>
      <c r="C32" s="19" t="s">
        <v>26</v>
      </c>
      <c r="D32" s="13" t="s">
        <v>11</v>
      </c>
      <c r="E32" s="14">
        <v>2.0</v>
      </c>
      <c r="F32" s="15">
        <v>293000.0</v>
      </c>
      <c r="G32" s="16">
        <f t="shared" ref="G32:G34" si="3">IFERROR(E32*F32,0)</f>
        <v>586000</v>
      </c>
      <c r="H32" s="17"/>
      <c r="I32" s="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0">
        <v>2.0</v>
      </c>
      <c r="B33" s="29" t="s">
        <v>27</v>
      </c>
      <c r="C33" s="30" t="s">
        <v>28</v>
      </c>
      <c r="D33" s="20" t="s">
        <v>13</v>
      </c>
      <c r="E33" s="21">
        <v>1.43</v>
      </c>
      <c r="F33" s="22">
        <v>435000.0</v>
      </c>
      <c r="G33" s="16">
        <f t="shared" si="3"/>
        <v>622050</v>
      </c>
      <c r="H33" s="17"/>
      <c r="I33" s="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0">
        <v>3.0</v>
      </c>
      <c r="B34" s="23" t="s">
        <v>14</v>
      </c>
      <c r="C34" s="17"/>
      <c r="D34" s="17"/>
      <c r="E34" s="17"/>
      <c r="F34" s="17"/>
      <c r="G34" s="24">
        <f t="shared" si="3"/>
        <v>0</v>
      </c>
      <c r="H34" s="17"/>
      <c r="I34" s="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5" t="s">
        <v>15</v>
      </c>
      <c r="B35" s="2"/>
      <c r="C35" s="2"/>
      <c r="D35" s="2"/>
      <c r="E35" s="2"/>
      <c r="F35" s="2"/>
      <c r="G35" s="3"/>
      <c r="H35" s="26">
        <f>SUM(G32:G34)</f>
        <v>1208050</v>
      </c>
      <c r="I35" s="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5" t="s">
        <v>16</v>
      </c>
      <c r="B36" s="2"/>
      <c r="C36" s="2"/>
      <c r="D36" s="2"/>
      <c r="E36" s="2"/>
      <c r="F36" s="2"/>
      <c r="G36" s="3"/>
      <c r="H36" s="26">
        <f>MAX(0,H35-648000)</f>
        <v>560050</v>
      </c>
      <c r="I36" s="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7" t="s">
        <v>17</v>
      </c>
      <c r="B37" s="2"/>
      <c r="C37" s="2"/>
      <c r="D37" s="2"/>
      <c r="E37" s="2"/>
      <c r="F37" s="2"/>
      <c r="G37" s="3"/>
      <c r="H37" s="28">
        <v>649000.0</v>
      </c>
      <c r="I37" s="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" t="s">
        <v>18</v>
      </c>
      <c r="B38" s="2"/>
      <c r="C38" s="2"/>
      <c r="D38" s="2"/>
      <c r="E38" s="2"/>
      <c r="F38" s="2"/>
      <c r="G38" s="2"/>
      <c r="H38" s="3"/>
      <c r="I38" s="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43">
      <c r="A43" s="1" t="s">
        <v>0</v>
      </c>
      <c r="B43" s="2"/>
      <c r="C43" s="2"/>
      <c r="D43" s="2"/>
      <c r="E43" s="2"/>
      <c r="F43" s="2"/>
      <c r="G43" s="2"/>
      <c r="H43" s="3"/>
      <c r="I43" s="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 t="s">
        <v>29</v>
      </c>
      <c r="B44" s="2"/>
      <c r="C44" s="2"/>
      <c r="D44" s="2"/>
      <c r="E44" s="2"/>
      <c r="F44" s="2"/>
      <c r="G44" s="2"/>
      <c r="H44" s="3"/>
      <c r="I44" s="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7" t="s">
        <v>2</v>
      </c>
      <c r="B45" s="7" t="s">
        <v>3</v>
      </c>
      <c r="C45" s="7" t="s">
        <v>4</v>
      </c>
      <c r="D45" s="7" t="s">
        <v>5</v>
      </c>
      <c r="E45" s="7" t="s">
        <v>6</v>
      </c>
      <c r="F45" s="8" t="s">
        <v>7</v>
      </c>
      <c r="G45" s="7" t="s">
        <v>8</v>
      </c>
      <c r="H45" s="9"/>
      <c r="I45" s="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0">
        <v>1.0</v>
      </c>
      <c r="B46" s="18" t="s">
        <v>30</v>
      </c>
      <c r="C46" s="19" t="s">
        <v>31</v>
      </c>
      <c r="D46" s="13" t="s">
        <v>11</v>
      </c>
      <c r="E46" s="14">
        <v>2.0</v>
      </c>
      <c r="F46" s="15">
        <v>293000.0</v>
      </c>
      <c r="G46" s="16">
        <f t="shared" ref="G46:G48" si="4">IFERROR(E46*F46,0)</f>
        <v>586000</v>
      </c>
      <c r="H46" s="17"/>
      <c r="I46" s="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0">
        <v>2.0</v>
      </c>
      <c r="B47" s="29" t="s">
        <v>12</v>
      </c>
      <c r="C47" s="30" t="s">
        <v>32</v>
      </c>
      <c r="D47" s="20" t="s">
        <v>13</v>
      </c>
      <c r="E47" s="21">
        <v>1.4</v>
      </c>
      <c r="F47" s="22">
        <v>435000.0</v>
      </c>
      <c r="G47" s="16">
        <f t="shared" si="4"/>
        <v>609000</v>
      </c>
      <c r="H47" s="17"/>
      <c r="I47" s="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0">
        <v>3.0</v>
      </c>
      <c r="B48" s="23" t="s">
        <v>14</v>
      </c>
      <c r="C48" s="17"/>
      <c r="D48" s="17"/>
      <c r="E48" s="17"/>
      <c r="F48" s="17"/>
      <c r="G48" s="24">
        <f t="shared" si="4"/>
        <v>0</v>
      </c>
      <c r="H48" s="17"/>
      <c r="I48" s="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5" t="s">
        <v>15</v>
      </c>
      <c r="B49" s="2"/>
      <c r="C49" s="2"/>
      <c r="D49" s="2"/>
      <c r="E49" s="2"/>
      <c r="F49" s="2"/>
      <c r="G49" s="3"/>
      <c r="H49" s="26">
        <f>SUM(G46:G48)</f>
        <v>1195000</v>
      </c>
      <c r="I49" s="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5" t="s">
        <v>16</v>
      </c>
      <c r="B50" s="2"/>
      <c r="C50" s="2"/>
      <c r="D50" s="2"/>
      <c r="E50" s="2"/>
      <c r="F50" s="2"/>
      <c r="G50" s="3"/>
      <c r="H50" s="26">
        <f>MAX(0,H49-648000)</f>
        <v>547000</v>
      </c>
      <c r="I50" s="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7" t="s">
        <v>17</v>
      </c>
      <c r="B51" s="2"/>
      <c r="C51" s="2"/>
      <c r="D51" s="2"/>
      <c r="E51" s="2"/>
      <c r="F51" s="2"/>
      <c r="G51" s="3"/>
      <c r="H51" s="28">
        <v>649000.0</v>
      </c>
      <c r="I51" s="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" t="s">
        <v>18</v>
      </c>
      <c r="B52" s="2"/>
      <c r="C52" s="2"/>
      <c r="D52" s="2"/>
      <c r="E52" s="2"/>
      <c r="F52" s="2"/>
      <c r="G52" s="2"/>
      <c r="H52" s="3"/>
      <c r="I52" s="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7">
      <c r="A57" s="1" t="s">
        <v>0</v>
      </c>
      <c r="B57" s="2"/>
      <c r="C57" s="2"/>
      <c r="D57" s="2"/>
      <c r="E57" s="2"/>
      <c r="F57" s="2"/>
      <c r="G57" s="2"/>
      <c r="H57" s="3"/>
      <c r="I57" s="4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 t="s">
        <v>33</v>
      </c>
      <c r="B58" s="2"/>
      <c r="C58" s="2"/>
      <c r="D58" s="2"/>
      <c r="E58" s="2"/>
      <c r="F58" s="2"/>
      <c r="G58" s="2"/>
      <c r="H58" s="3"/>
      <c r="I58" s="4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7" t="s">
        <v>2</v>
      </c>
      <c r="B59" s="7" t="s">
        <v>3</v>
      </c>
      <c r="C59" s="7" t="s">
        <v>4</v>
      </c>
      <c r="D59" s="7" t="s">
        <v>5</v>
      </c>
      <c r="E59" s="7" t="s">
        <v>6</v>
      </c>
      <c r="F59" s="8" t="s">
        <v>7</v>
      </c>
      <c r="G59" s="7" t="s">
        <v>8</v>
      </c>
      <c r="H59" s="9"/>
      <c r="I59" s="4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0">
        <v>1.0</v>
      </c>
      <c r="B60" s="18" t="s">
        <v>34</v>
      </c>
      <c r="C60" s="19" t="s">
        <v>35</v>
      </c>
      <c r="D60" s="13" t="s">
        <v>11</v>
      </c>
      <c r="E60" s="14">
        <v>1.68</v>
      </c>
      <c r="F60" s="15">
        <v>293000.0</v>
      </c>
      <c r="G60" s="16">
        <f t="shared" ref="G60:G62" si="5">IFERROR(E60*F60,0)</f>
        <v>492240</v>
      </c>
      <c r="H60" s="17"/>
      <c r="I60" s="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0">
        <v>2.0</v>
      </c>
      <c r="B61" s="29" t="s">
        <v>36</v>
      </c>
      <c r="C61" s="30" t="s">
        <v>37</v>
      </c>
      <c r="D61" s="20" t="s">
        <v>13</v>
      </c>
      <c r="E61" s="21">
        <v>1.65</v>
      </c>
      <c r="F61" s="22">
        <v>435000.0</v>
      </c>
      <c r="G61" s="16">
        <f t="shared" si="5"/>
        <v>717750</v>
      </c>
      <c r="H61" s="17"/>
      <c r="I61" s="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0">
        <v>3.0</v>
      </c>
      <c r="B62" s="23" t="s">
        <v>14</v>
      </c>
      <c r="C62" s="17"/>
      <c r="D62" s="17"/>
      <c r="E62" s="17"/>
      <c r="F62" s="17"/>
      <c r="G62" s="24">
        <f t="shared" si="5"/>
        <v>0</v>
      </c>
      <c r="H62" s="17"/>
      <c r="I62" s="4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5" t="s">
        <v>15</v>
      </c>
      <c r="B63" s="2"/>
      <c r="C63" s="2"/>
      <c r="D63" s="2"/>
      <c r="E63" s="2"/>
      <c r="F63" s="2"/>
      <c r="G63" s="3"/>
      <c r="H63" s="26">
        <f>SUM(G60:G62)</f>
        <v>1209990</v>
      </c>
      <c r="I63" s="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5" t="s">
        <v>16</v>
      </c>
      <c r="B64" s="2"/>
      <c r="C64" s="2"/>
      <c r="D64" s="2"/>
      <c r="E64" s="2"/>
      <c r="F64" s="2"/>
      <c r="G64" s="3"/>
      <c r="H64" s="26">
        <f>MAX(0,H63-648000)</f>
        <v>561990</v>
      </c>
      <c r="I64" s="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7" t="s">
        <v>17</v>
      </c>
      <c r="B65" s="2"/>
      <c r="C65" s="2"/>
      <c r="D65" s="2"/>
      <c r="E65" s="2"/>
      <c r="F65" s="2"/>
      <c r="G65" s="3"/>
      <c r="H65" s="28">
        <v>649000.0</v>
      </c>
      <c r="I65" s="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" t="s">
        <v>18</v>
      </c>
      <c r="B66" s="2"/>
      <c r="C66" s="2"/>
      <c r="D66" s="2"/>
      <c r="E66" s="2"/>
      <c r="F66" s="2"/>
      <c r="G66" s="2"/>
      <c r="H66" s="3"/>
      <c r="I66" s="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72">
      <c r="A72" s="1" t="s">
        <v>0</v>
      </c>
      <c r="B72" s="2"/>
      <c r="C72" s="2"/>
      <c r="D72" s="2"/>
      <c r="E72" s="2"/>
      <c r="F72" s="2"/>
      <c r="G72" s="2"/>
      <c r="H72" s="3"/>
      <c r="I72" s="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 t="s">
        <v>38</v>
      </c>
      <c r="B73" s="2"/>
      <c r="C73" s="2"/>
      <c r="D73" s="2"/>
      <c r="E73" s="2"/>
      <c r="F73" s="2"/>
      <c r="G73" s="2"/>
      <c r="H73" s="3"/>
      <c r="I73" s="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7" t="s">
        <v>2</v>
      </c>
      <c r="B74" s="7" t="s">
        <v>3</v>
      </c>
      <c r="C74" s="7" t="s">
        <v>4</v>
      </c>
      <c r="D74" s="7" t="s">
        <v>5</v>
      </c>
      <c r="E74" s="7" t="s">
        <v>6</v>
      </c>
      <c r="F74" s="8" t="s">
        <v>7</v>
      </c>
      <c r="G74" s="7" t="s">
        <v>8</v>
      </c>
      <c r="H74" s="9"/>
      <c r="I74" s="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0">
        <v>1.0</v>
      </c>
      <c r="B75" s="18" t="s">
        <v>39</v>
      </c>
      <c r="C75" s="19" t="s">
        <v>40</v>
      </c>
      <c r="D75" s="13" t="s">
        <v>11</v>
      </c>
      <c r="E75" s="14">
        <v>3.0</v>
      </c>
      <c r="F75" s="15">
        <v>293000.0</v>
      </c>
      <c r="G75" s="16">
        <f t="shared" ref="G75:G77" si="6">IFERROR(E75*F75,0)</f>
        <v>879000</v>
      </c>
      <c r="H75" s="17"/>
      <c r="I75" s="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0">
        <v>2.0</v>
      </c>
      <c r="B76" s="29" t="s">
        <v>41</v>
      </c>
      <c r="C76" s="30" t="s">
        <v>42</v>
      </c>
      <c r="D76" s="20" t="s">
        <v>13</v>
      </c>
      <c r="E76" s="21">
        <v>0.58</v>
      </c>
      <c r="F76" s="22">
        <v>435000.0</v>
      </c>
      <c r="G76" s="16">
        <f t="shared" si="6"/>
        <v>252300</v>
      </c>
      <c r="H76" s="17"/>
      <c r="I76" s="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0">
        <v>3.0</v>
      </c>
      <c r="B77" s="23" t="s">
        <v>14</v>
      </c>
      <c r="C77" s="17"/>
      <c r="D77" s="17"/>
      <c r="E77" s="17"/>
      <c r="F77" s="17"/>
      <c r="G77" s="24">
        <f t="shared" si="6"/>
        <v>0</v>
      </c>
      <c r="H77" s="17"/>
      <c r="I77" s="4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5" t="s">
        <v>15</v>
      </c>
      <c r="B78" s="2"/>
      <c r="C78" s="2"/>
      <c r="D78" s="2"/>
      <c r="E78" s="2"/>
      <c r="F78" s="2"/>
      <c r="G78" s="3"/>
      <c r="H78" s="26">
        <f>SUM(G75:G77)</f>
        <v>1131300</v>
      </c>
      <c r="I78" s="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5" t="s">
        <v>16</v>
      </c>
      <c r="B79" s="2"/>
      <c r="C79" s="2"/>
      <c r="D79" s="2"/>
      <c r="E79" s="2"/>
      <c r="F79" s="2"/>
      <c r="G79" s="3"/>
      <c r="H79" s="26">
        <f>MAX(0,H78-648000)</f>
        <v>483300</v>
      </c>
      <c r="I79" s="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7" t="s">
        <v>17</v>
      </c>
      <c r="B80" s="2"/>
      <c r="C80" s="2"/>
      <c r="D80" s="2"/>
      <c r="E80" s="2"/>
      <c r="F80" s="2"/>
      <c r="G80" s="3"/>
      <c r="H80" s="28">
        <v>649000.0</v>
      </c>
      <c r="I80" s="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" t="s">
        <v>18</v>
      </c>
      <c r="B81" s="2"/>
      <c r="C81" s="2"/>
      <c r="D81" s="2"/>
      <c r="E81" s="2"/>
      <c r="F81" s="2"/>
      <c r="G81" s="2"/>
      <c r="H81" s="3"/>
      <c r="I81" s="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6">
      <c r="A86" s="1" t="s">
        <v>0</v>
      </c>
      <c r="B86" s="2"/>
      <c r="C86" s="2"/>
      <c r="D86" s="2"/>
      <c r="E86" s="2"/>
      <c r="F86" s="2"/>
      <c r="G86" s="2"/>
      <c r="H86" s="3"/>
      <c r="I86" s="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 t="s">
        <v>43</v>
      </c>
      <c r="B87" s="2"/>
      <c r="C87" s="2"/>
      <c r="D87" s="2"/>
      <c r="E87" s="2"/>
      <c r="F87" s="2"/>
      <c r="G87" s="2"/>
      <c r="H87" s="3"/>
      <c r="I87" s="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7" t="s">
        <v>2</v>
      </c>
      <c r="B88" s="7" t="s">
        <v>3</v>
      </c>
      <c r="C88" s="7" t="s">
        <v>4</v>
      </c>
      <c r="D88" s="7" t="s">
        <v>5</v>
      </c>
      <c r="E88" s="7" t="s">
        <v>6</v>
      </c>
      <c r="F88" s="8" t="s">
        <v>7</v>
      </c>
      <c r="G88" s="7" t="s">
        <v>8</v>
      </c>
      <c r="H88" s="9"/>
      <c r="I88" s="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0">
        <v>1.0</v>
      </c>
      <c r="B89" s="18" t="s">
        <v>44</v>
      </c>
      <c r="C89" s="19" t="s">
        <v>45</v>
      </c>
      <c r="D89" s="13" t="s">
        <v>11</v>
      </c>
      <c r="E89" s="14">
        <v>1.55</v>
      </c>
      <c r="F89" s="15">
        <v>293000.0</v>
      </c>
      <c r="G89" s="16">
        <f t="shared" ref="G89:G91" si="7">IFERROR(E89*F89,0)</f>
        <v>454150</v>
      </c>
      <c r="H89" s="17"/>
      <c r="I89" s="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0">
        <v>2.0</v>
      </c>
      <c r="B90" s="29" t="s">
        <v>41</v>
      </c>
      <c r="C90" s="30" t="s">
        <v>46</v>
      </c>
      <c r="D90" s="20" t="s">
        <v>13</v>
      </c>
      <c r="E90" s="21">
        <v>1.7</v>
      </c>
      <c r="F90" s="22">
        <v>435000.0</v>
      </c>
      <c r="G90" s="16">
        <f t="shared" si="7"/>
        <v>739500</v>
      </c>
      <c r="H90" s="17"/>
      <c r="I90" s="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0">
        <v>3.0</v>
      </c>
      <c r="B91" s="23" t="s">
        <v>14</v>
      </c>
      <c r="C91" s="17"/>
      <c r="D91" s="17"/>
      <c r="E91" s="17"/>
      <c r="F91" s="17"/>
      <c r="G91" s="24">
        <f t="shared" si="7"/>
        <v>0</v>
      </c>
      <c r="H91" s="17"/>
      <c r="I91" s="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5" t="s">
        <v>15</v>
      </c>
      <c r="B92" s="2"/>
      <c r="C92" s="2"/>
      <c r="D92" s="2"/>
      <c r="E92" s="2"/>
      <c r="F92" s="2"/>
      <c r="G92" s="3"/>
      <c r="H92" s="26">
        <f>SUM(G89:G91)</f>
        <v>1193650</v>
      </c>
      <c r="I92" s="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5" t="s">
        <v>16</v>
      </c>
      <c r="B93" s="2"/>
      <c r="C93" s="2"/>
      <c r="D93" s="2"/>
      <c r="E93" s="2"/>
      <c r="F93" s="2"/>
      <c r="G93" s="3"/>
      <c r="H93" s="26">
        <f>MAX(0,H92-648000)</f>
        <v>545650</v>
      </c>
      <c r="I93" s="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7" t="s">
        <v>17</v>
      </c>
      <c r="B94" s="2"/>
      <c r="C94" s="2"/>
      <c r="D94" s="2"/>
      <c r="E94" s="2"/>
      <c r="F94" s="2"/>
      <c r="G94" s="3"/>
      <c r="H94" s="28">
        <v>649000.0</v>
      </c>
      <c r="I94" s="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" t="s">
        <v>18</v>
      </c>
      <c r="B95" s="2"/>
      <c r="C95" s="2"/>
      <c r="D95" s="2"/>
      <c r="E95" s="2"/>
      <c r="F95" s="2"/>
      <c r="G95" s="2"/>
      <c r="H95" s="3"/>
      <c r="I95" s="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101">
      <c r="A101" s="1" t="s">
        <v>0</v>
      </c>
      <c r="B101" s="2"/>
      <c r="C101" s="2"/>
      <c r="D101" s="2"/>
      <c r="E101" s="2"/>
      <c r="F101" s="2"/>
      <c r="G101" s="2"/>
      <c r="H101" s="3"/>
      <c r="I101" s="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 t="s">
        <v>47</v>
      </c>
      <c r="B102" s="2"/>
      <c r="C102" s="2"/>
      <c r="D102" s="2"/>
      <c r="E102" s="2"/>
      <c r="F102" s="2"/>
      <c r="G102" s="2"/>
      <c r="H102" s="3"/>
      <c r="I102" s="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7" t="s">
        <v>2</v>
      </c>
      <c r="B103" s="7" t="s">
        <v>3</v>
      </c>
      <c r="C103" s="7" t="s">
        <v>4</v>
      </c>
      <c r="D103" s="7" t="s">
        <v>5</v>
      </c>
      <c r="E103" s="7" t="s">
        <v>6</v>
      </c>
      <c r="F103" s="8" t="s">
        <v>7</v>
      </c>
      <c r="G103" s="7" t="s">
        <v>8</v>
      </c>
      <c r="H103" s="9"/>
      <c r="I103" s="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0">
        <v>1.0</v>
      </c>
      <c r="B104" s="18" t="s">
        <v>48</v>
      </c>
      <c r="C104" s="19" t="s">
        <v>49</v>
      </c>
      <c r="D104" s="13" t="s">
        <v>11</v>
      </c>
      <c r="E104" s="14">
        <v>2.0</v>
      </c>
      <c r="F104" s="15">
        <v>293000.0</v>
      </c>
      <c r="G104" s="16">
        <f t="shared" ref="G104:G106" si="8">IFERROR(E104*F104,0)</f>
        <v>586000</v>
      </c>
      <c r="H104" s="17"/>
      <c r="I104" s="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0">
        <v>2.0</v>
      </c>
      <c r="B105" s="29" t="s">
        <v>50</v>
      </c>
      <c r="C105" s="30" t="s">
        <v>51</v>
      </c>
      <c r="D105" s="20" t="s">
        <v>13</v>
      </c>
      <c r="E105" s="21">
        <v>1.48</v>
      </c>
      <c r="F105" s="22">
        <v>435000.0</v>
      </c>
      <c r="G105" s="16">
        <f t="shared" si="8"/>
        <v>643800</v>
      </c>
      <c r="H105" s="17"/>
      <c r="I105" s="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0">
        <v>3.0</v>
      </c>
      <c r="B106" s="23" t="s">
        <v>14</v>
      </c>
      <c r="C106" s="17"/>
      <c r="D106" s="17"/>
      <c r="E106" s="17"/>
      <c r="F106" s="17"/>
      <c r="G106" s="24">
        <f t="shared" si="8"/>
        <v>0</v>
      </c>
      <c r="H106" s="17"/>
      <c r="I106" s="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5" t="s">
        <v>15</v>
      </c>
      <c r="B107" s="2"/>
      <c r="C107" s="2"/>
      <c r="D107" s="2"/>
      <c r="E107" s="2"/>
      <c r="F107" s="2"/>
      <c r="G107" s="3"/>
      <c r="H107" s="26">
        <f>SUM(G104:G106)</f>
        <v>1229800</v>
      </c>
      <c r="I107" s="4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5" t="s">
        <v>16</v>
      </c>
      <c r="B108" s="2"/>
      <c r="C108" s="2"/>
      <c r="D108" s="2"/>
      <c r="E108" s="2"/>
      <c r="F108" s="2"/>
      <c r="G108" s="3"/>
      <c r="H108" s="26">
        <f>MAX(0,H107-648000)</f>
        <v>581800</v>
      </c>
      <c r="I108" s="4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7" t="s">
        <v>17</v>
      </c>
      <c r="B109" s="2"/>
      <c r="C109" s="2"/>
      <c r="D109" s="2"/>
      <c r="E109" s="2"/>
      <c r="F109" s="2"/>
      <c r="G109" s="3"/>
      <c r="H109" s="28">
        <v>649000.0</v>
      </c>
      <c r="I109" s="4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" t="s">
        <v>18</v>
      </c>
      <c r="B110" s="2"/>
      <c r="C110" s="2"/>
      <c r="D110" s="2"/>
      <c r="E110" s="2"/>
      <c r="F110" s="2"/>
      <c r="G110" s="2"/>
      <c r="H110" s="3"/>
      <c r="I110" s="4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4">
      <c r="A114" s="1" t="s">
        <v>0</v>
      </c>
      <c r="B114" s="2"/>
      <c r="C114" s="2"/>
      <c r="D114" s="2"/>
      <c r="E114" s="2"/>
      <c r="F114" s="2"/>
      <c r="G114" s="2"/>
      <c r="H114" s="3"/>
      <c r="I114" s="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6" t="s">
        <v>52</v>
      </c>
      <c r="B115" s="2"/>
      <c r="C115" s="2"/>
      <c r="D115" s="2"/>
      <c r="E115" s="2"/>
      <c r="F115" s="2"/>
      <c r="G115" s="2"/>
      <c r="H115" s="3"/>
      <c r="I115" s="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7" t="s">
        <v>2</v>
      </c>
      <c r="B116" s="7" t="s">
        <v>3</v>
      </c>
      <c r="C116" s="7" t="s">
        <v>4</v>
      </c>
      <c r="D116" s="7" t="s">
        <v>5</v>
      </c>
      <c r="E116" s="7" t="s">
        <v>6</v>
      </c>
      <c r="F116" s="8" t="s">
        <v>7</v>
      </c>
      <c r="G116" s="7" t="s">
        <v>8</v>
      </c>
      <c r="H116" s="9"/>
      <c r="I116" s="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0">
        <v>1.0</v>
      </c>
      <c r="B117" s="18" t="s">
        <v>53</v>
      </c>
      <c r="C117" s="19" t="s">
        <v>54</v>
      </c>
      <c r="D117" s="13" t="s">
        <v>11</v>
      </c>
      <c r="E117" s="14">
        <v>3.0</v>
      </c>
      <c r="F117" s="15">
        <v>293000.0</v>
      </c>
      <c r="G117" s="16">
        <f t="shared" ref="G117:G119" si="9">IFERROR(E117*F117,0)</f>
        <v>879000</v>
      </c>
      <c r="H117" s="17"/>
      <c r="I117" s="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0">
        <v>2.0</v>
      </c>
      <c r="B118" s="29" t="s">
        <v>55</v>
      </c>
      <c r="C118" s="30" t="s">
        <v>56</v>
      </c>
      <c r="D118" s="20" t="s">
        <v>13</v>
      </c>
      <c r="E118" s="21">
        <v>0.65</v>
      </c>
      <c r="F118" s="22">
        <v>435000.0</v>
      </c>
      <c r="G118" s="16">
        <f t="shared" si="9"/>
        <v>282750</v>
      </c>
      <c r="H118" s="17"/>
      <c r="I118" s="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0">
        <v>3.0</v>
      </c>
      <c r="B119" s="23" t="s">
        <v>14</v>
      </c>
      <c r="C119" s="17"/>
      <c r="D119" s="17"/>
      <c r="E119" s="17"/>
      <c r="F119" s="17"/>
      <c r="G119" s="24">
        <f t="shared" si="9"/>
        <v>0</v>
      </c>
      <c r="H119" s="17"/>
      <c r="I119" s="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5" t="s">
        <v>15</v>
      </c>
      <c r="B120" s="2"/>
      <c r="C120" s="2"/>
      <c r="D120" s="2"/>
      <c r="E120" s="2"/>
      <c r="F120" s="2"/>
      <c r="G120" s="3"/>
      <c r="H120" s="26">
        <f>SUM(G117:G119)</f>
        <v>1161750</v>
      </c>
      <c r="I120" s="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5" t="s">
        <v>16</v>
      </c>
      <c r="B121" s="2"/>
      <c r="C121" s="2"/>
      <c r="D121" s="2"/>
      <c r="E121" s="2"/>
      <c r="F121" s="2"/>
      <c r="G121" s="3"/>
      <c r="H121" s="26">
        <f>MAX(0,H120-648000)</f>
        <v>513750</v>
      </c>
      <c r="I121" s="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7" t="s">
        <v>17</v>
      </c>
      <c r="B122" s="2"/>
      <c r="C122" s="2"/>
      <c r="D122" s="2"/>
      <c r="E122" s="2"/>
      <c r="F122" s="2"/>
      <c r="G122" s="3"/>
      <c r="H122" s="28">
        <v>649000.0</v>
      </c>
      <c r="I122" s="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" t="s">
        <v>18</v>
      </c>
      <c r="B123" s="2"/>
      <c r="C123" s="2"/>
      <c r="D123" s="2"/>
      <c r="E123" s="2"/>
      <c r="F123" s="2"/>
      <c r="G123" s="2"/>
      <c r="H123" s="3"/>
      <c r="I123" s="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8">
      <c r="A128" s="1" t="s">
        <v>0</v>
      </c>
      <c r="B128" s="2"/>
      <c r="C128" s="2"/>
      <c r="D128" s="2"/>
      <c r="E128" s="2"/>
      <c r="F128" s="2"/>
      <c r="G128" s="2"/>
      <c r="H128" s="3"/>
      <c r="I128" s="4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6" t="s">
        <v>57</v>
      </c>
      <c r="B129" s="2"/>
      <c r="C129" s="2"/>
      <c r="D129" s="2"/>
      <c r="E129" s="2"/>
      <c r="F129" s="2"/>
      <c r="G129" s="2"/>
      <c r="H129" s="3"/>
      <c r="I129" s="4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7" t="s">
        <v>2</v>
      </c>
      <c r="B130" s="7" t="s">
        <v>3</v>
      </c>
      <c r="C130" s="7" t="s">
        <v>4</v>
      </c>
      <c r="D130" s="7" t="s">
        <v>5</v>
      </c>
      <c r="E130" s="7" t="s">
        <v>6</v>
      </c>
      <c r="F130" s="8" t="s">
        <v>7</v>
      </c>
      <c r="G130" s="7" t="s">
        <v>8</v>
      </c>
      <c r="H130" s="9"/>
      <c r="I130" s="4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0">
        <v>1.0</v>
      </c>
      <c r="B131" s="18" t="s">
        <v>58</v>
      </c>
      <c r="C131" s="19" t="s">
        <v>59</v>
      </c>
      <c r="D131" s="13" t="s">
        <v>11</v>
      </c>
      <c r="E131" s="14">
        <v>3.0</v>
      </c>
      <c r="F131" s="15">
        <v>293000.0</v>
      </c>
      <c r="G131" s="16">
        <f t="shared" ref="G131:G133" si="10">IFERROR(E131*F131,0)</f>
        <v>879000</v>
      </c>
      <c r="H131" s="17"/>
      <c r="I131" s="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0">
        <v>2.0</v>
      </c>
      <c r="B132" s="29" t="s">
        <v>60</v>
      </c>
      <c r="C132" s="30" t="s">
        <v>61</v>
      </c>
      <c r="D132" s="20" t="s">
        <v>13</v>
      </c>
      <c r="E132" s="21">
        <v>0.43</v>
      </c>
      <c r="F132" s="22">
        <v>435000.0</v>
      </c>
      <c r="G132" s="16">
        <f t="shared" si="10"/>
        <v>187050</v>
      </c>
      <c r="H132" s="17"/>
      <c r="I132" s="4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0">
        <v>3.0</v>
      </c>
      <c r="B133" s="23" t="s">
        <v>14</v>
      </c>
      <c r="C133" s="17"/>
      <c r="D133" s="17"/>
      <c r="E133" s="17"/>
      <c r="F133" s="17"/>
      <c r="G133" s="24">
        <f t="shared" si="10"/>
        <v>0</v>
      </c>
      <c r="H133" s="17"/>
      <c r="I133" s="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5" t="s">
        <v>15</v>
      </c>
      <c r="B134" s="2"/>
      <c r="C134" s="2"/>
      <c r="D134" s="2"/>
      <c r="E134" s="2"/>
      <c r="F134" s="2"/>
      <c r="G134" s="3"/>
      <c r="H134" s="26">
        <f>SUM(G131:G133)</f>
        <v>1066050</v>
      </c>
      <c r="I134" s="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5" t="s">
        <v>16</v>
      </c>
      <c r="B135" s="2"/>
      <c r="C135" s="2"/>
      <c r="D135" s="2"/>
      <c r="E135" s="2"/>
      <c r="F135" s="2"/>
      <c r="G135" s="3"/>
      <c r="H135" s="26">
        <f>MAX(0,H134-648000)</f>
        <v>418050</v>
      </c>
      <c r="I135" s="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7" t="s">
        <v>17</v>
      </c>
      <c r="B136" s="2"/>
      <c r="C136" s="2"/>
      <c r="D136" s="2"/>
      <c r="E136" s="2"/>
      <c r="F136" s="2"/>
      <c r="G136" s="3"/>
      <c r="H136" s="28">
        <v>649000.0</v>
      </c>
      <c r="I136" s="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" t="s">
        <v>18</v>
      </c>
      <c r="B137" s="2"/>
      <c r="C137" s="2"/>
      <c r="D137" s="2"/>
      <c r="E137" s="2"/>
      <c r="F137" s="2"/>
      <c r="G137" s="2"/>
      <c r="H137" s="3"/>
      <c r="I137" s="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42">
      <c r="A142" s="1" t="s">
        <v>0</v>
      </c>
      <c r="B142" s="2"/>
      <c r="C142" s="2"/>
      <c r="D142" s="2"/>
      <c r="E142" s="2"/>
      <c r="F142" s="2"/>
      <c r="G142" s="2"/>
      <c r="H142" s="3"/>
      <c r="I142" s="4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6" t="s">
        <v>62</v>
      </c>
      <c r="B143" s="2"/>
      <c r="C143" s="2"/>
      <c r="D143" s="2"/>
      <c r="E143" s="2"/>
      <c r="F143" s="2"/>
      <c r="G143" s="2"/>
      <c r="H143" s="3"/>
      <c r="I143" s="4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7" t="s">
        <v>2</v>
      </c>
      <c r="B144" s="7" t="s">
        <v>3</v>
      </c>
      <c r="C144" s="7" t="s">
        <v>4</v>
      </c>
      <c r="D144" s="7" t="s">
        <v>5</v>
      </c>
      <c r="E144" s="7" t="s">
        <v>6</v>
      </c>
      <c r="F144" s="8" t="s">
        <v>7</v>
      </c>
      <c r="G144" s="7" t="s">
        <v>8</v>
      </c>
      <c r="H144" s="9"/>
      <c r="I144" s="4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0">
        <v>1.0</v>
      </c>
      <c r="B145" s="18" t="s">
        <v>63</v>
      </c>
      <c r="C145" s="19" t="s">
        <v>64</v>
      </c>
      <c r="D145" s="13" t="s">
        <v>11</v>
      </c>
      <c r="E145" s="14">
        <v>2.94</v>
      </c>
      <c r="F145" s="15">
        <v>293000.0</v>
      </c>
      <c r="G145" s="16">
        <f t="shared" ref="G145:G147" si="11">IFERROR(E145*F145,0)</f>
        <v>861420</v>
      </c>
      <c r="H145" s="17"/>
      <c r="I145" s="4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0">
        <v>2.0</v>
      </c>
      <c r="B146" s="29" t="s">
        <v>65</v>
      </c>
      <c r="C146" s="30" t="s">
        <v>66</v>
      </c>
      <c r="D146" s="20" t="s">
        <v>13</v>
      </c>
      <c r="E146" s="21">
        <v>0.6</v>
      </c>
      <c r="F146" s="22">
        <v>435000.0</v>
      </c>
      <c r="G146" s="16">
        <f t="shared" si="11"/>
        <v>261000</v>
      </c>
      <c r="H146" s="17"/>
      <c r="I146" s="4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0">
        <v>3.0</v>
      </c>
      <c r="B147" s="23" t="s">
        <v>14</v>
      </c>
      <c r="C147" s="17"/>
      <c r="D147" s="17"/>
      <c r="E147" s="17"/>
      <c r="F147" s="17"/>
      <c r="G147" s="24">
        <f t="shared" si="11"/>
        <v>0</v>
      </c>
      <c r="H147" s="17"/>
      <c r="I147" s="4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5" t="s">
        <v>15</v>
      </c>
      <c r="B148" s="2"/>
      <c r="C148" s="2"/>
      <c r="D148" s="2"/>
      <c r="E148" s="2"/>
      <c r="F148" s="2"/>
      <c r="G148" s="3"/>
      <c r="H148" s="26">
        <f>SUM(G145:G147)</f>
        <v>1122420</v>
      </c>
      <c r="I148" s="4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5" t="s">
        <v>16</v>
      </c>
      <c r="B149" s="2"/>
      <c r="C149" s="2"/>
      <c r="D149" s="2"/>
      <c r="E149" s="2"/>
      <c r="F149" s="2"/>
      <c r="G149" s="3"/>
      <c r="H149" s="26">
        <f>MAX(0,H148-648000)</f>
        <v>474420</v>
      </c>
      <c r="I149" s="4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7" t="s">
        <v>17</v>
      </c>
      <c r="B150" s="2"/>
      <c r="C150" s="2"/>
      <c r="D150" s="2"/>
      <c r="E150" s="2"/>
      <c r="F150" s="2"/>
      <c r="G150" s="3"/>
      <c r="H150" s="28">
        <v>649000.0</v>
      </c>
      <c r="I150" s="4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" t="s">
        <v>18</v>
      </c>
      <c r="B151" s="2"/>
      <c r="C151" s="2"/>
      <c r="D151" s="2"/>
      <c r="E151" s="2"/>
      <c r="F151" s="2"/>
      <c r="G151" s="2"/>
      <c r="H151" s="3"/>
      <c r="I151" s="4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5">
      <c r="A155" s="1" t="s">
        <v>0</v>
      </c>
      <c r="B155" s="2"/>
      <c r="C155" s="2"/>
      <c r="D155" s="2"/>
      <c r="E155" s="2"/>
      <c r="F155" s="2"/>
      <c r="G155" s="2"/>
      <c r="H155" s="3"/>
      <c r="I155" s="4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6" t="s">
        <v>67</v>
      </c>
      <c r="B156" s="2"/>
      <c r="C156" s="2"/>
      <c r="D156" s="2"/>
      <c r="E156" s="2"/>
      <c r="F156" s="2"/>
      <c r="G156" s="2"/>
      <c r="H156" s="3"/>
      <c r="I156" s="4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7" t="s">
        <v>2</v>
      </c>
      <c r="B157" s="7" t="s">
        <v>3</v>
      </c>
      <c r="C157" s="7" t="s">
        <v>4</v>
      </c>
      <c r="D157" s="7" t="s">
        <v>5</v>
      </c>
      <c r="E157" s="7" t="s">
        <v>6</v>
      </c>
      <c r="F157" s="8" t="s">
        <v>7</v>
      </c>
      <c r="G157" s="7" t="s">
        <v>8</v>
      </c>
      <c r="H157" s="9"/>
      <c r="I157" s="4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0">
        <v>1.0</v>
      </c>
      <c r="B158" s="18" t="s">
        <v>22</v>
      </c>
      <c r="C158" s="19" t="s">
        <v>68</v>
      </c>
      <c r="D158" s="13" t="s">
        <v>11</v>
      </c>
      <c r="E158" s="14">
        <v>2.3</v>
      </c>
      <c r="F158" s="15">
        <v>293000.0</v>
      </c>
      <c r="G158" s="16">
        <f t="shared" ref="G158:G160" si="12">IFERROR(E158*F158,0)</f>
        <v>673900</v>
      </c>
      <c r="H158" s="17"/>
      <c r="I158" s="4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0">
        <v>2.0</v>
      </c>
      <c r="B159" s="29" t="s">
        <v>12</v>
      </c>
      <c r="C159" s="30" t="s">
        <v>69</v>
      </c>
      <c r="D159" s="20" t="s">
        <v>13</v>
      </c>
      <c r="E159" s="21">
        <v>1.2</v>
      </c>
      <c r="F159" s="22">
        <v>435000.0</v>
      </c>
      <c r="G159" s="16">
        <f t="shared" si="12"/>
        <v>522000</v>
      </c>
      <c r="H159" s="17"/>
      <c r="I159" s="4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0">
        <v>3.0</v>
      </c>
      <c r="B160" s="23" t="s">
        <v>14</v>
      </c>
      <c r="C160" s="17"/>
      <c r="D160" s="17"/>
      <c r="E160" s="31" t="s">
        <v>70</v>
      </c>
      <c r="F160" s="17"/>
      <c r="G160" s="24">
        <f t="shared" si="12"/>
        <v>0</v>
      </c>
      <c r="H160" s="17"/>
      <c r="I160" s="4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5" t="s">
        <v>15</v>
      </c>
      <c r="B161" s="2"/>
      <c r="C161" s="2"/>
      <c r="D161" s="2"/>
      <c r="E161" s="2"/>
      <c r="F161" s="2"/>
      <c r="G161" s="3"/>
      <c r="H161" s="26">
        <f>SUM(G158:G160)</f>
        <v>1195900</v>
      </c>
      <c r="I161" s="4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5" t="s">
        <v>16</v>
      </c>
      <c r="B162" s="2"/>
      <c r="C162" s="2"/>
      <c r="D162" s="2"/>
      <c r="E162" s="2"/>
      <c r="F162" s="2"/>
      <c r="G162" s="3"/>
      <c r="H162" s="26">
        <f>MAX(0,H161-648000)</f>
        <v>547900</v>
      </c>
      <c r="I162" s="4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7" t="s">
        <v>17</v>
      </c>
      <c r="B163" s="2"/>
      <c r="C163" s="2"/>
      <c r="D163" s="2"/>
      <c r="E163" s="2"/>
      <c r="F163" s="2"/>
      <c r="G163" s="3"/>
      <c r="H163" s="28">
        <v>649000.0</v>
      </c>
      <c r="I163" s="4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" t="s">
        <v>18</v>
      </c>
      <c r="B164" s="2"/>
      <c r="C164" s="2"/>
      <c r="D164" s="2"/>
      <c r="E164" s="2"/>
      <c r="F164" s="2"/>
      <c r="G164" s="2"/>
      <c r="H164" s="3"/>
      <c r="I164" s="4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9">
      <c r="A169" s="1" t="s">
        <v>0</v>
      </c>
      <c r="B169" s="2"/>
      <c r="C169" s="2"/>
      <c r="D169" s="2"/>
      <c r="E169" s="2"/>
      <c r="F169" s="2"/>
      <c r="G169" s="2"/>
      <c r="H169" s="3"/>
      <c r="I169" s="4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6" t="s">
        <v>71</v>
      </c>
      <c r="B170" s="2"/>
      <c r="C170" s="2"/>
      <c r="D170" s="2"/>
      <c r="E170" s="2"/>
      <c r="F170" s="2"/>
      <c r="G170" s="2"/>
      <c r="H170" s="3"/>
      <c r="I170" s="4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7" t="s">
        <v>2</v>
      </c>
      <c r="B171" s="7" t="s">
        <v>3</v>
      </c>
      <c r="C171" s="7" t="s">
        <v>4</v>
      </c>
      <c r="D171" s="7" t="s">
        <v>5</v>
      </c>
      <c r="E171" s="7" t="s">
        <v>6</v>
      </c>
      <c r="F171" s="8" t="s">
        <v>7</v>
      </c>
      <c r="G171" s="7" t="s">
        <v>8</v>
      </c>
      <c r="H171" s="9"/>
      <c r="I171" s="4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0">
        <v>1.0</v>
      </c>
      <c r="B172" s="18" t="s">
        <v>72</v>
      </c>
      <c r="C172" s="19" t="s">
        <v>73</v>
      </c>
      <c r="D172" s="13" t="s">
        <v>11</v>
      </c>
      <c r="E172" s="14">
        <v>2.55</v>
      </c>
      <c r="F172" s="15">
        <v>293000.0</v>
      </c>
      <c r="G172" s="16">
        <f t="shared" ref="G172:G174" si="13">IFERROR(E172*F172,0)</f>
        <v>747150</v>
      </c>
      <c r="H172" s="17"/>
      <c r="I172" s="4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0">
        <v>2.0</v>
      </c>
      <c r="B173" s="29" t="s">
        <v>74</v>
      </c>
      <c r="C173" s="30" t="s">
        <v>75</v>
      </c>
      <c r="D173" s="20" t="s">
        <v>13</v>
      </c>
      <c r="E173" s="21">
        <v>1.0</v>
      </c>
      <c r="F173" s="22">
        <v>435000.0</v>
      </c>
      <c r="G173" s="16">
        <f t="shared" si="13"/>
        <v>435000</v>
      </c>
      <c r="H173" s="17"/>
      <c r="I173" s="4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0">
        <v>3.0</v>
      </c>
      <c r="B174" s="23" t="s">
        <v>14</v>
      </c>
      <c r="C174" s="17"/>
      <c r="D174" s="17"/>
      <c r="E174" s="17"/>
      <c r="F174" s="17"/>
      <c r="G174" s="24">
        <f t="shared" si="13"/>
        <v>0</v>
      </c>
      <c r="H174" s="17"/>
      <c r="I174" s="4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5" t="s">
        <v>15</v>
      </c>
      <c r="B175" s="2"/>
      <c r="C175" s="2"/>
      <c r="D175" s="2"/>
      <c r="E175" s="2"/>
      <c r="F175" s="2"/>
      <c r="G175" s="3"/>
      <c r="H175" s="26">
        <f>SUM(G172:G174)</f>
        <v>1182150</v>
      </c>
      <c r="I175" s="4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5" t="s">
        <v>16</v>
      </c>
      <c r="B176" s="2"/>
      <c r="C176" s="2"/>
      <c r="D176" s="2"/>
      <c r="E176" s="2"/>
      <c r="F176" s="2"/>
      <c r="G176" s="3"/>
      <c r="H176" s="26">
        <f>MAX(0,H175-648000)</f>
        <v>534150</v>
      </c>
      <c r="I176" s="4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7" t="s">
        <v>17</v>
      </c>
      <c r="B177" s="2"/>
      <c r="C177" s="2"/>
      <c r="D177" s="2"/>
      <c r="E177" s="2"/>
      <c r="F177" s="2"/>
      <c r="G177" s="3"/>
      <c r="H177" s="28">
        <v>649000.0</v>
      </c>
      <c r="I177" s="4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" t="s">
        <v>18</v>
      </c>
      <c r="B178" s="2"/>
      <c r="C178" s="2"/>
      <c r="D178" s="2"/>
      <c r="E178" s="2"/>
      <c r="F178" s="2"/>
      <c r="G178" s="2"/>
      <c r="H178" s="3"/>
      <c r="I178" s="4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84">
      <c r="A184" s="1" t="s">
        <v>0</v>
      </c>
      <c r="B184" s="2"/>
      <c r="C184" s="2"/>
      <c r="D184" s="2"/>
      <c r="E184" s="2"/>
      <c r="F184" s="2"/>
      <c r="G184" s="2"/>
      <c r="H184" s="3"/>
      <c r="I184" s="4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6" t="s">
        <v>76</v>
      </c>
      <c r="B185" s="2"/>
      <c r="C185" s="2"/>
      <c r="D185" s="2"/>
      <c r="E185" s="2"/>
      <c r="F185" s="2"/>
      <c r="G185" s="2"/>
      <c r="H185" s="3"/>
      <c r="I185" s="4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7" t="s">
        <v>2</v>
      </c>
      <c r="B186" s="7" t="s">
        <v>3</v>
      </c>
      <c r="C186" s="7" t="s">
        <v>4</v>
      </c>
      <c r="D186" s="7" t="s">
        <v>5</v>
      </c>
      <c r="E186" s="7" t="s">
        <v>6</v>
      </c>
      <c r="F186" s="8" t="s">
        <v>7</v>
      </c>
      <c r="G186" s="7" t="s">
        <v>8</v>
      </c>
      <c r="H186" s="9"/>
      <c r="I186" s="4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0">
        <v>1.0</v>
      </c>
      <c r="B187" s="18" t="s">
        <v>77</v>
      </c>
      <c r="C187" s="19" t="s">
        <v>78</v>
      </c>
      <c r="D187" s="13" t="s">
        <v>11</v>
      </c>
      <c r="E187" s="14">
        <v>2.0</v>
      </c>
      <c r="F187" s="15">
        <v>293000.0</v>
      </c>
      <c r="G187" s="16">
        <f t="shared" ref="G187:G189" si="14">IFERROR(E187*F187,0)</f>
        <v>586000</v>
      </c>
      <c r="H187" s="17"/>
      <c r="I187" s="4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0">
        <v>2.0</v>
      </c>
      <c r="B188" s="29" t="s">
        <v>79</v>
      </c>
      <c r="C188" s="30" t="s">
        <v>80</v>
      </c>
      <c r="D188" s="20" t="s">
        <v>13</v>
      </c>
      <c r="E188" s="21">
        <v>1.28</v>
      </c>
      <c r="F188" s="22">
        <v>435000.0</v>
      </c>
      <c r="G188" s="16">
        <f t="shared" si="14"/>
        <v>556800</v>
      </c>
      <c r="H188" s="17"/>
      <c r="I188" s="4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0">
        <v>3.0</v>
      </c>
      <c r="B189" s="23" t="s">
        <v>14</v>
      </c>
      <c r="C189" s="17"/>
      <c r="D189" s="17"/>
      <c r="E189" s="17"/>
      <c r="F189" s="17"/>
      <c r="G189" s="24">
        <f t="shared" si="14"/>
        <v>0</v>
      </c>
      <c r="H189" s="17"/>
      <c r="I189" s="4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5" t="s">
        <v>15</v>
      </c>
      <c r="B190" s="2"/>
      <c r="C190" s="2"/>
      <c r="D190" s="2"/>
      <c r="E190" s="2"/>
      <c r="F190" s="2"/>
      <c r="G190" s="3"/>
      <c r="H190" s="26">
        <f>SUM(G187:G189)</f>
        <v>1142800</v>
      </c>
      <c r="I190" s="4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5" t="s">
        <v>16</v>
      </c>
      <c r="B191" s="2"/>
      <c r="C191" s="2"/>
      <c r="D191" s="2"/>
      <c r="E191" s="2"/>
      <c r="F191" s="2"/>
      <c r="G191" s="3"/>
      <c r="H191" s="26">
        <f>MAX(0,H190-648000)</f>
        <v>494800</v>
      </c>
      <c r="I191" s="4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7" t="s">
        <v>17</v>
      </c>
      <c r="B192" s="2"/>
      <c r="C192" s="2"/>
      <c r="D192" s="2"/>
      <c r="E192" s="2"/>
      <c r="F192" s="2"/>
      <c r="G192" s="3"/>
      <c r="H192" s="28">
        <v>649000.0</v>
      </c>
      <c r="I192" s="4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" t="s">
        <v>18</v>
      </c>
      <c r="B193" s="2"/>
      <c r="C193" s="2"/>
      <c r="D193" s="2"/>
      <c r="E193" s="2"/>
      <c r="F193" s="2"/>
      <c r="G193" s="2"/>
      <c r="H193" s="3"/>
      <c r="I193" s="4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200">
      <c r="A200" s="1" t="s">
        <v>0</v>
      </c>
      <c r="B200" s="2"/>
      <c r="C200" s="2"/>
      <c r="D200" s="2"/>
      <c r="E200" s="2"/>
      <c r="F200" s="2"/>
      <c r="G200" s="2"/>
      <c r="H200" s="3"/>
      <c r="I200" s="4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6" t="s">
        <v>81</v>
      </c>
      <c r="B201" s="2"/>
      <c r="C201" s="2"/>
      <c r="D201" s="2"/>
      <c r="E201" s="2"/>
      <c r="F201" s="2"/>
      <c r="G201" s="2"/>
      <c r="H201" s="3"/>
      <c r="I201" s="4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7" t="s">
        <v>2</v>
      </c>
      <c r="B202" s="7" t="s">
        <v>3</v>
      </c>
      <c r="C202" s="7" t="s">
        <v>4</v>
      </c>
      <c r="D202" s="7" t="s">
        <v>5</v>
      </c>
      <c r="E202" s="7" t="s">
        <v>6</v>
      </c>
      <c r="F202" s="8" t="s">
        <v>7</v>
      </c>
      <c r="G202" s="7" t="s">
        <v>8</v>
      </c>
      <c r="H202" s="9"/>
      <c r="I202" s="4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0">
        <v>1.0</v>
      </c>
      <c r="B203" s="18" t="s">
        <v>77</v>
      </c>
      <c r="C203" s="19" t="s">
        <v>82</v>
      </c>
      <c r="D203" s="13" t="s">
        <v>11</v>
      </c>
      <c r="E203" s="14">
        <v>2.82</v>
      </c>
      <c r="F203" s="15">
        <v>293000.0</v>
      </c>
      <c r="G203" s="16">
        <f t="shared" ref="G203:G205" si="15">IFERROR(E203*F203,0)</f>
        <v>826260</v>
      </c>
      <c r="H203" s="17"/>
      <c r="I203" s="4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0">
        <v>2.0</v>
      </c>
      <c r="B204" s="29" t="s">
        <v>55</v>
      </c>
      <c r="C204" s="30" t="s">
        <v>83</v>
      </c>
      <c r="D204" s="20" t="s">
        <v>13</v>
      </c>
      <c r="E204" s="21">
        <v>0.76</v>
      </c>
      <c r="F204" s="22">
        <v>435000.0</v>
      </c>
      <c r="G204" s="16">
        <f t="shared" si="15"/>
        <v>330600</v>
      </c>
      <c r="H204" s="17"/>
      <c r="I204" s="4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0">
        <v>3.0</v>
      </c>
      <c r="B205" s="23" t="s">
        <v>14</v>
      </c>
      <c r="C205" s="17"/>
      <c r="D205" s="17"/>
      <c r="E205" s="17"/>
      <c r="F205" s="17"/>
      <c r="G205" s="24">
        <f t="shared" si="15"/>
        <v>0</v>
      </c>
      <c r="H205" s="17"/>
      <c r="I205" s="4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5" t="s">
        <v>15</v>
      </c>
      <c r="B206" s="2"/>
      <c r="C206" s="2"/>
      <c r="D206" s="2"/>
      <c r="E206" s="2"/>
      <c r="F206" s="2"/>
      <c r="G206" s="3"/>
      <c r="H206" s="26">
        <f>SUM(G203:G205)</f>
        <v>1156860</v>
      </c>
      <c r="I206" s="4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5" t="s">
        <v>16</v>
      </c>
      <c r="B207" s="2"/>
      <c r="C207" s="2"/>
      <c r="D207" s="2"/>
      <c r="E207" s="2"/>
      <c r="F207" s="2"/>
      <c r="G207" s="3"/>
      <c r="H207" s="26">
        <f>MAX(0,H206-648000)</f>
        <v>508860</v>
      </c>
      <c r="I207" s="4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7" t="s">
        <v>17</v>
      </c>
      <c r="B208" s="2"/>
      <c r="C208" s="2"/>
      <c r="D208" s="2"/>
      <c r="E208" s="2"/>
      <c r="F208" s="2"/>
      <c r="G208" s="3"/>
      <c r="H208" s="28">
        <v>649000.0</v>
      </c>
      <c r="I208" s="4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" t="s">
        <v>18</v>
      </c>
      <c r="B209" s="2"/>
      <c r="C209" s="2"/>
      <c r="D209" s="2"/>
      <c r="E209" s="2"/>
      <c r="F209" s="2"/>
      <c r="G209" s="2"/>
      <c r="H209" s="3"/>
      <c r="I209" s="4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5">
      <c r="A215" s="1" t="s">
        <v>0</v>
      </c>
      <c r="B215" s="2"/>
      <c r="C215" s="2"/>
      <c r="D215" s="2"/>
      <c r="E215" s="2"/>
      <c r="F215" s="2"/>
      <c r="G215" s="2"/>
      <c r="H215" s="3"/>
      <c r="I215" s="4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6" t="s">
        <v>84</v>
      </c>
      <c r="B216" s="2"/>
      <c r="C216" s="2"/>
      <c r="D216" s="2"/>
      <c r="E216" s="2"/>
      <c r="F216" s="2"/>
      <c r="G216" s="2"/>
      <c r="H216" s="3"/>
      <c r="I216" s="4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7" t="s">
        <v>2</v>
      </c>
      <c r="B217" s="7" t="s">
        <v>3</v>
      </c>
      <c r="C217" s="7" t="s">
        <v>4</v>
      </c>
      <c r="D217" s="7" t="s">
        <v>5</v>
      </c>
      <c r="E217" s="7" t="s">
        <v>6</v>
      </c>
      <c r="F217" s="8" t="s">
        <v>7</v>
      </c>
      <c r="G217" s="7" t="s">
        <v>8</v>
      </c>
      <c r="H217" s="9"/>
      <c r="I217" s="4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0">
        <v>1.0</v>
      </c>
      <c r="B218" s="18" t="s">
        <v>41</v>
      </c>
      <c r="C218" s="19" t="s">
        <v>85</v>
      </c>
      <c r="D218" s="13" t="s">
        <v>11</v>
      </c>
      <c r="E218" s="14">
        <v>1.5</v>
      </c>
      <c r="F218" s="15">
        <v>293000.0</v>
      </c>
      <c r="G218" s="16">
        <f t="shared" ref="G218:G220" si="16">IFERROR(E218*F218,0)</f>
        <v>439500</v>
      </c>
      <c r="H218" s="17"/>
      <c r="I218" s="4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0">
        <v>2.0</v>
      </c>
      <c r="B219" s="29" t="s">
        <v>55</v>
      </c>
      <c r="C219" s="30" t="s">
        <v>86</v>
      </c>
      <c r="D219" s="20" t="s">
        <v>13</v>
      </c>
      <c r="E219" s="21">
        <v>1.77</v>
      </c>
      <c r="F219" s="22">
        <v>435000.0</v>
      </c>
      <c r="G219" s="16">
        <f t="shared" si="16"/>
        <v>769950</v>
      </c>
      <c r="H219" s="17"/>
      <c r="I219" s="4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0">
        <v>3.0</v>
      </c>
      <c r="B220" s="23" t="s">
        <v>14</v>
      </c>
      <c r="C220" s="17"/>
      <c r="D220" s="17"/>
      <c r="E220" s="17"/>
      <c r="F220" s="17"/>
      <c r="G220" s="24">
        <f t="shared" si="16"/>
        <v>0</v>
      </c>
      <c r="H220" s="17"/>
      <c r="I220" s="4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5" t="s">
        <v>15</v>
      </c>
      <c r="B221" s="2"/>
      <c r="C221" s="2"/>
      <c r="D221" s="2"/>
      <c r="E221" s="2"/>
      <c r="F221" s="2"/>
      <c r="G221" s="3"/>
      <c r="H221" s="26">
        <f>SUM(G218:G220)</f>
        <v>1209450</v>
      </c>
      <c r="I221" s="4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5" t="s">
        <v>16</v>
      </c>
      <c r="B222" s="2"/>
      <c r="C222" s="2"/>
      <c r="D222" s="2"/>
      <c r="E222" s="2"/>
      <c r="F222" s="2"/>
      <c r="G222" s="3"/>
      <c r="H222" s="26">
        <f>MAX(0,H221-648000)</f>
        <v>561450</v>
      </c>
      <c r="I222" s="4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7" t="s">
        <v>17</v>
      </c>
      <c r="B223" s="2"/>
      <c r="C223" s="2"/>
      <c r="D223" s="2"/>
      <c r="E223" s="2"/>
      <c r="F223" s="2"/>
      <c r="G223" s="3"/>
      <c r="H223" s="28">
        <v>649000.0</v>
      </c>
      <c r="I223" s="4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" t="s">
        <v>18</v>
      </c>
      <c r="B224" s="2"/>
      <c r="C224" s="2"/>
      <c r="D224" s="2"/>
      <c r="E224" s="2"/>
      <c r="F224" s="2"/>
      <c r="G224" s="2"/>
      <c r="H224" s="3"/>
      <c r="I224" s="4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31">
      <c r="A231" s="1" t="s">
        <v>0</v>
      </c>
      <c r="B231" s="2"/>
      <c r="C231" s="2"/>
      <c r="D231" s="2"/>
      <c r="E231" s="2"/>
      <c r="F231" s="2"/>
      <c r="G231" s="2"/>
      <c r="H231" s="3"/>
      <c r="I231" s="4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6" t="s">
        <v>87</v>
      </c>
      <c r="B232" s="2"/>
      <c r="C232" s="2"/>
      <c r="D232" s="2"/>
      <c r="E232" s="2"/>
      <c r="F232" s="2"/>
      <c r="G232" s="2"/>
      <c r="H232" s="3"/>
      <c r="I232" s="4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7" t="s">
        <v>2</v>
      </c>
      <c r="B233" s="7" t="s">
        <v>3</v>
      </c>
      <c r="C233" s="7" t="s">
        <v>4</v>
      </c>
      <c r="D233" s="7" t="s">
        <v>5</v>
      </c>
      <c r="E233" s="7" t="s">
        <v>6</v>
      </c>
      <c r="F233" s="8" t="s">
        <v>7</v>
      </c>
      <c r="G233" s="7" t="s">
        <v>8</v>
      </c>
      <c r="H233" s="9"/>
      <c r="I233" s="4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0">
        <v>1.0</v>
      </c>
      <c r="B234" s="18" t="s">
        <v>88</v>
      </c>
      <c r="C234" s="19" t="s">
        <v>89</v>
      </c>
      <c r="D234" s="13" t="s">
        <v>11</v>
      </c>
      <c r="E234" s="14">
        <v>2.7</v>
      </c>
      <c r="F234" s="15">
        <v>293000.0</v>
      </c>
      <c r="G234" s="16">
        <f t="shared" ref="G234:G236" si="17">IFERROR(E234*F234,0)</f>
        <v>791100</v>
      </c>
      <c r="H234" s="17"/>
      <c r="I234" s="4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0">
        <v>2.0</v>
      </c>
      <c r="B235" s="29" t="s">
        <v>25</v>
      </c>
      <c r="C235" s="30" t="s">
        <v>90</v>
      </c>
      <c r="D235" s="20" t="s">
        <v>13</v>
      </c>
      <c r="E235" s="21">
        <v>0.83</v>
      </c>
      <c r="F235" s="22">
        <v>435000.0</v>
      </c>
      <c r="G235" s="16">
        <f t="shared" si="17"/>
        <v>361050</v>
      </c>
      <c r="H235" s="17"/>
      <c r="I235" s="4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0">
        <v>3.0</v>
      </c>
      <c r="B236" s="23" t="s">
        <v>14</v>
      </c>
      <c r="C236" s="17"/>
      <c r="D236" s="17"/>
      <c r="E236" s="17"/>
      <c r="F236" s="17"/>
      <c r="G236" s="24">
        <f t="shared" si="17"/>
        <v>0</v>
      </c>
      <c r="H236" s="17"/>
      <c r="I236" s="4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5" t="s">
        <v>15</v>
      </c>
      <c r="B237" s="2"/>
      <c r="C237" s="2"/>
      <c r="D237" s="2"/>
      <c r="E237" s="2"/>
      <c r="F237" s="2"/>
      <c r="G237" s="3"/>
      <c r="H237" s="26">
        <f>SUM(G234:G236)</f>
        <v>1152150</v>
      </c>
      <c r="I237" s="4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5" t="s">
        <v>16</v>
      </c>
      <c r="B238" s="2"/>
      <c r="C238" s="2"/>
      <c r="D238" s="2"/>
      <c r="E238" s="2"/>
      <c r="F238" s="2"/>
      <c r="G238" s="3"/>
      <c r="H238" s="26">
        <f>MAX(0,H237-648000)</f>
        <v>504150</v>
      </c>
      <c r="I238" s="4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7" t="s">
        <v>17</v>
      </c>
      <c r="B239" s="2"/>
      <c r="C239" s="2"/>
      <c r="D239" s="2"/>
      <c r="E239" s="2"/>
      <c r="F239" s="2"/>
      <c r="G239" s="3"/>
      <c r="H239" s="28">
        <v>649000.0</v>
      </c>
      <c r="I239" s="4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" t="s">
        <v>18</v>
      </c>
      <c r="B240" s="2"/>
      <c r="C240" s="2"/>
      <c r="D240" s="2"/>
      <c r="E240" s="2"/>
      <c r="F240" s="2"/>
      <c r="G240" s="2"/>
      <c r="H240" s="3"/>
      <c r="I240" s="4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6">
      <c r="A246" s="1" t="s">
        <v>0</v>
      </c>
      <c r="B246" s="2"/>
      <c r="C246" s="2"/>
      <c r="D246" s="2"/>
      <c r="E246" s="2"/>
      <c r="F246" s="2"/>
      <c r="G246" s="2"/>
      <c r="H246" s="3"/>
      <c r="I246" s="4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6" t="s">
        <v>91</v>
      </c>
      <c r="B247" s="2"/>
      <c r="C247" s="2"/>
      <c r="D247" s="2"/>
      <c r="E247" s="2"/>
      <c r="F247" s="2"/>
      <c r="G247" s="2"/>
      <c r="H247" s="3"/>
      <c r="I247" s="4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7" t="s">
        <v>2</v>
      </c>
      <c r="B248" s="7" t="s">
        <v>3</v>
      </c>
      <c r="C248" s="7" t="s">
        <v>4</v>
      </c>
      <c r="D248" s="7" t="s">
        <v>5</v>
      </c>
      <c r="E248" s="7" t="s">
        <v>6</v>
      </c>
      <c r="F248" s="8" t="s">
        <v>7</v>
      </c>
      <c r="G248" s="7" t="s">
        <v>8</v>
      </c>
      <c r="H248" s="9"/>
      <c r="I248" s="4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0">
        <v>1.0</v>
      </c>
      <c r="B249" s="18" t="s">
        <v>92</v>
      </c>
      <c r="C249" s="19" t="s">
        <v>93</v>
      </c>
      <c r="D249" s="13" t="s">
        <v>11</v>
      </c>
      <c r="E249" s="14">
        <v>2.0</v>
      </c>
      <c r="F249" s="15">
        <v>293000.0</v>
      </c>
      <c r="G249" s="16">
        <f t="shared" ref="G249:G251" si="18">IFERROR(E249*F249,0)</f>
        <v>586000</v>
      </c>
      <c r="H249" s="17"/>
      <c r="I249" s="4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0">
        <v>2.0</v>
      </c>
      <c r="B250" s="29" t="s">
        <v>94</v>
      </c>
      <c r="C250" s="30" t="s">
        <v>95</v>
      </c>
      <c r="D250" s="20" t="s">
        <v>13</v>
      </c>
      <c r="E250" s="21">
        <v>1.23</v>
      </c>
      <c r="F250" s="22">
        <v>435000.0</v>
      </c>
      <c r="G250" s="16">
        <f t="shared" si="18"/>
        <v>535050</v>
      </c>
      <c r="H250" s="17"/>
      <c r="I250" s="4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0">
        <v>3.0</v>
      </c>
      <c r="B251" s="23" t="s">
        <v>14</v>
      </c>
      <c r="C251" s="17"/>
      <c r="D251" s="17"/>
      <c r="E251" s="17"/>
      <c r="F251" s="17"/>
      <c r="G251" s="24">
        <f t="shared" si="18"/>
        <v>0</v>
      </c>
      <c r="H251" s="17"/>
      <c r="I251" s="4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5" t="s">
        <v>15</v>
      </c>
      <c r="B252" s="2"/>
      <c r="C252" s="2"/>
      <c r="D252" s="2"/>
      <c r="E252" s="2"/>
      <c r="F252" s="2"/>
      <c r="G252" s="3"/>
      <c r="H252" s="26">
        <f>SUM(G249:G251)</f>
        <v>1121050</v>
      </c>
      <c r="I252" s="4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5" t="s">
        <v>16</v>
      </c>
      <c r="B253" s="2"/>
      <c r="C253" s="2"/>
      <c r="D253" s="2"/>
      <c r="E253" s="2"/>
      <c r="F253" s="2"/>
      <c r="G253" s="3"/>
      <c r="H253" s="26">
        <f>MAX(0,H252-648000)</f>
        <v>473050</v>
      </c>
      <c r="I253" s="4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7" t="s">
        <v>17</v>
      </c>
      <c r="B254" s="2"/>
      <c r="C254" s="2"/>
      <c r="D254" s="2"/>
      <c r="E254" s="2"/>
      <c r="F254" s="2"/>
      <c r="G254" s="3"/>
      <c r="H254" s="28">
        <v>649000.0</v>
      </c>
      <c r="I254" s="4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" t="s">
        <v>18</v>
      </c>
      <c r="B255" s="2"/>
      <c r="C255" s="2"/>
      <c r="D255" s="2"/>
      <c r="E255" s="2"/>
      <c r="F255" s="2"/>
      <c r="G255" s="2"/>
      <c r="H255" s="3"/>
      <c r="I255" s="4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60">
      <c r="A260" s="1" t="s">
        <v>0</v>
      </c>
      <c r="B260" s="2"/>
      <c r="C260" s="2"/>
      <c r="D260" s="2"/>
      <c r="E260" s="2"/>
      <c r="F260" s="2"/>
      <c r="G260" s="2"/>
      <c r="H260" s="3"/>
      <c r="I260" s="4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6" t="s">
        <v>96</v>
      </c>
      <c r="B261" s="2"/>
      <c r="C261" s="2"/>
      <c r="D261" s="2"/>
      <c r="E261" s="2"/>
      <c r="F261" s="2"/>
      <c r="G261" s="2"/>
      <c r="H261" s="3"/>
      <c r="I261" s="4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7" t="s">
        <v>2</v>
      </c>
      <c r="B262" s="7" t="s">
        <v>3</v>
      </c>
      <c r="C262" s="7" t="s">
        <v>4</v>
      </c>
      <c r="D262" s="7" t="s">
        <v>5</v>
      </c>
      <c r="E262" s="7" t="s">
        <v>6</v>
      </c>
      <c r="F262" s="8" t="s">
        <v>7</v>
      </c>
      <c r="G262" s="7" t="s">
        <v>8</v>
      </c>
      <c r="H262" s="9"/>
      <c r="I262" s="4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0">
        <v>1.0</v>
      </c>
      <c r="B263" s="18" t="s">
        <v>97</v>
      </c>
      <c r="C263" s="19">
        <v>5014.0</v>
      </c>
      <c r="D263" s="13" t="s">
        <v>11</v>
      </c>
      <c r="E263" s="14">
        <v>2.0</v>
      </c>
      <c r="F263" s="15">
        <v>293000.0</v>
      </c>
      <c r="G263" s="16">
        <f t="shared" ref="G263:G265" si="19">IFERROR(E263*F263,0)</f>
        <v>586000</v>
      </c>
      <c r="H263" s="17"/>
      <c r="I263" s="4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0">
        <v>2.0</v>
      </c>
      <c r="B264" s="29" t="s">
        <v>98</v>
      </c>
      <c r="C264" s="30" t="s">
        <v>99</v>
      </c>
      <c r="D264" s="20" t="s">
        <v>13</v>
      </c>
      <c r="E264" s="21">
        <v>1.37</v>
      </c>
      <c r="F264" s="22">
        <v>435000.0</v>
      </c>
      <c r="G264" s="16">
        <f t="shared" si="19"/>
        <v>595950</v>
      </c>
      <c r="H264" s="17"/>
      <c r="I264" s="4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0">
        <v>3.0</v>
      </c>
      <c r="B265" s="23" t="s">
        <v>14</v>
      </c>
      <c r="C265" s="17"/>
      <c r="D265" s="17"/>
      <c r="E265" s="17"/>
      <c r="F265" s="17"/>
      <c r="G265" s="24">
        <f t="shared" si="19"/>
        <v>0</v>
      </c>
      <c r="H265" s="17"/>
      <c r="I265" s="4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5" t="s">
        <v>15</v>
      </c>
      <c r="B266" s="2"/>
      <c r="C266" s="2"/>
      <c r="D266" s="2"/>
      <c r="E266" s="2"/>
      <c r="F266" s="2"/>
      <c r="G266" s="3"/>
      <c r="H266" s="26">
        <f>SUM(G263:G265)</f>
        <v>1181950</v>
      </c>
      <c r="I266" s="4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5" t="s">
        <v>16</v>
      </c>
      <c r="B267" s="2"/>
      <c r="C267" s="2"/>
      <c r="D267" s="2"/>
      <c r="E267" s="2"/>
      <c r="F267" s="2"/>
      <c r="G267" s="3"/>
      <c r="H267" s="26">
        <f>MAX(0,H266-648000)</f>
        <v>533950</v>
      </c>
      <c r="I267" s="4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7" t="s">
        <v>17</v>
      </c>
      <c r="B268" s="2"/>
      <c r="C268" s="2"/>
      <c r="D268" s="2"/>
      <c r="E268" s="2"/>
      <c r="F268" s="2"/>
      <c r="G268" s="3"/>
      <c r="H268" s="28">
        <v>649000.0</v>
      </c>
      <c r="I268" s="4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" t="s">
        <v>18</v>
      </c>
      <c r="B269" s="2"/>
      <c r="C269" s="2"/>
      <c r="D269" s="2"/>
      <c r="E269" s="2"/>
      <c r="F269" s="2"/>
      <c r="G269" s="2"/>
      <c r="H269" s="3"/>
      <c r="I269" s="4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5">
      <c r="A275" s="1" t="s">
        <v>0</v>
      </c>
      <c r="B275" s="2"/>
      <c r="C275" s="2"/>
      <c r="D275" s="2"/>
      <c r="E275" s="2"/>
      <c r="F275" s="2"/>
      <c r="G275" s="2"/>
      <c r="H275" s="3"/>
      <c r="I275" s="4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6" t="s">
        <v>100</v>
      </c>
      <c r="B276" s="2"/>
      <c r="C276" s="2"/>
      <c r="D276" s="2"/>
      <c r="E276" s="2"/>
      <c r="F276" s="2"/>
      <c r="G276" s="2"/>
      <c r="H276" s="3"/>
      <c r="I276" s="4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7" t="s">
        <v>2</v>
      </c>
      <c r="B277" s="7" t="s">
        <v>3</v>
      </c>
      <c r="C277" s="7" t="s">
        <v>4</v>
      </c>
      <c r="D277" s="7" t="s">
        <v>5</v>
      </c>
      <c r="E277" s="7" t="s">
        <v>6</v>
      </c>
      <c r="F277" s="8" t="s">
        <v>7</v>
      </c>
      <c r="G277" s="7" t="s">
        <v>8</v>
      </c>
      <c r="H277" s="9"/>
      <c r="I277" s="4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0">
        <v>1.0</v>
      </c>
      <c r="B278" s="18" t="s">
        <v>101</v>
      </c>
      <c r="C278" s="19" t="s">
        <v>102</v>
      </c>
      <c r="D278" s="13" t="s">
        <v>11</v>
      </c>
      <c r="E278" s="14">
        <v>2.5</v>
      </c>
      <c r="F278" s="15">
        <v>293000.0</v>
      </c>
      <c r="G278" s="16">
        <f t="shared" ref="G278:G280" si="20">IFERROR(E278*F278,0)</f>
        <v>732500</v>
      </c>
      <c r="H278" s="17"/>
      <c r="I278" s="4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0">
        <v>2.0</v>
      </c>
      <c r="B279" s="29" t="s">
        <v>103</v>
      </c>
      <c r="C279" s="30" t="s">
        <v>104</v>
      </c>
      <c r="D279" s="20" t="s">
        <v>13</v>
      </c>
      <c r="E279" s="21">
        <v>1.1</v>
      </c>
      <c r="F279" s="22">
        <v>435000.0</v>
      </c>
      <c r="G279" s="16">
        <f t="shared" si="20"/>
        <v>478500</v>
      </c>
      <c r="H279" s="17"/>
      <c r="I279" s="4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0">
        <v>3.0</v>
      </c>
      <c r="B280" s="23" t="s">
        <v>14</v>
      </c>
      <c r="C280" s="17"/>
      <c r="D280" s="17"/>
      <c r="E280" s="17"/>
      <c r="F280" s="17"/>
      <c r="G280" s="24">
        <f t="shared" si="20"/>
        <v>0</v>
      </c>
      <c r="H280" s="17"/>
      <c r="I280" s="4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5" t="s">
        <v>15</v>
      </c>
      <c r="B281" s="2"/>
      <c r="C281" s="2"/>
      <c r="D281" s="2"/>
      <c r="E281" s="2"/>
      <c r="F281" s="2"/>
      <c r="G281" s="3"/>
      <c r="H281" s="26">
        <f>SUM(G278:G280)</f>
        <v>1211000</v>
      </c>
      <c r="I281" s="4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5" t="s">
        <v>16</v>
      </c>
      <c r="B282" s="2"/>
      <c r="C282" s="2"/>
      <c r="D282" s="2"/>
      <c r="E282" s="2"/>
      <c r="F282" s="2"/>
      <c r="G282" s="3"/>
      <c r="H282" s="26">
        <f>MAX(0,H281-648000)</f>
        <v>563000</v>
      </c>
      <c r="I282" s="4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7" t="s">
        <v>17</v>
      </c>
      <c r="B283" s="2"/>
      <c r="C283" s="2"/>
      <c r="D283" s="2"/>
      <c r="E283" s="2"/>
      <c r="F283" s="2"/>
      <c r="G283" s="3"/>
      <c r="H283" s="28">
        <v>649000.0</v>
      </c>
      <c r="I283" s="4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" t="s">
        <v>18</v>
      </c>
      <c r="B284" s="2"/>
      <c r="C284" s="2"/>
      <c r="D284" s="2"/>
      <c r="E284" s="2"/>
      <c r="F284" s="2"/>
      <c r="G284" s="2"/>
      <c r="H284" s="3"/>
      <c r="I284" s="4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91">
      <c r="A291" s="1" t="s">
        <v>0</v>
      </c>
      <c r="B291" s="2"/>
      <c r="C291" s="2"/>
      <c r="D291" s="2"/>
      <c r="E291" s="2"/>
      <c r="F291" s="2"/>
      <c r="G291" s="2"/>
      <c r="H291" s="3"/>
      <c r="I291" s="4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6" t="s">
        <v>105</v>
      </c>
      <c r="B292" s="2"/>
      <c r="C292" s="2"/>
      <c r="D292" s="2"/>
      <c r="E292" s="2"/>
      <c r="F292" s="2"/>
      <c r="G292" s="2"/>
      <c r="H292" s="3"/>
      <c r="I292" s="4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7" t="s">
        <v>2</v>
      </c>
      <c r="B293" s="7" t="s">
        <v>3</v>
      </c>
      <c r="C293" s="7" t="s">
        <v>4</v>
      </c>
      <c r="D293" s="7" t="s">
        <v>5</v>
      </c>
      <c r="E293" s="7" t="s">
        <v>6</v>
      </c>
      <c r="F293" s="8" t="s">
        <v>7</v>
      </c>
      <c r="G293" s="7" t="s">
        <v>8</v>
      </c>
      <c r="H293" s="9"/>
      <c r="I293" s="4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0">
        <v>1.0</v>
      </c>
      <c r="B294" s="18" t="s">
        <v>106</v>
      </c>
      <c r="C294" s="19" t="s">
        <v>107</v>
      </c>
      <c r="D294" s="13" t="s">
        <v>11</v>
      </c>
      <c r="E294" s="14">
        <v>1.63</v>
      </c>
      <c r="F294" s="15">
        <v>293000.0</v>
      </c>
      <c r="G294" s="16">
        <f t="shared" ref="G294:G296" si="21">IFERROR(E294*F294,0)</f>
        <v>477590</v>
      </c>
      <c r="H294" s="17"/>
      <c r="I294" s="4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0">
        <v>2.0</v>
      </c>
      <c r="B295" s="29" t="s">
        <v>94</v>
      </c>
      <c r="C295" s="30" t="s">
        <v>108</v>
      </c>
      <c r="D295" s="20" t="s">
        <v>13</v>
      </c>
      <c r="E295" s="21">
        <v>1.66</v>
      </c>
      <c r="F295" s="22">
        <v>435000.0</v>
      </c>
      <c r="G295" s="16">
        <f t="shared" si="21"/>
        <v>722100</v>
      </c>
      <c r="H295" s="17"/>
      <c r="I295" s="4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0">
        <v>3.0</v>
      </c>
      <c r="B296" s="23" t="s">
        <v>14</v>
      </c>
      <c r="C296" s="17"/>
      <c r="D296" s="17"/>
      <c r="E296" s="17"/>
      <c r="F296" s="17"/>
      <c r="G296" s="24">
        <f t="shared" si="21"/>
        <v>0</v>
      </c>
      <c r="H296" s="17"/>
      <c r="I296" s="4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5" t="s">
        <v>15</v>
      </c>
      <c r="B297" s="2"/>
      <c r="C297" s="2"/>
      <c r="D297" s="2"/>
      <c r="E297" s="2"/>
      <c r="F297" s="2"/>
      <c r="G297" s="3"/>
      <c r="H297" s="26">
        <f>SUM(G294:G296)</f>
        <v>1199690</v>
      </c>
      <c r="I297" s="4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5" t="s">
        <v>16</v>
      </c>
      <c r="B298" s="2"/>
      <c r="C298" s="2"/>
      <c r="D298" s="2"/>
      <c r="E298" s="2"/>
      <c r="F298" s="2"/>
      <c r="G298" s="3"/>
      <c r="H298" s="26">
        <f>MAX(0,H297-648000)</f>
        <v>551690</v>
      </c>
      <c r="I298" s="4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7" t="s">
        <v>17</v>
      </c>
      <c r="B299" s="2"/>
      <c r="C299" s="2"/>
      <c r="D299" s="2"/>
      <c r="E299" s="2"/>
      <c r="F299" s="2"/>
      <c r="G299" s="3"/>
      <c r="H299" s="28">
        <v>649000.0</v>
      </c>
      <c r="I299" s="4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" t="s">
        <v>18</v>
      </c>
      <c r="B300" s="2"/>
      <c r="C300" s="2"/>
      <c r="D300" s="2"/>
      <c r="E300" s="2"/>
      <c r="F300" s="2"/>
      <c r="G300" s="2"/>
      <c r="H300" s="3"/>
      <c r="I300" s="4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5">
      <c r="A305" s="1" t="s">
        <v>0</v>
      </c>
      <c r="B305" s="2"/>
      <c r="C305" s="2"/>
      <c r="D305" s="2"/>
      <c r="E305" s="2"/>
      <c r="F305" s="2"/>
      <c r="G305" s="2"/>
      <c r="H305" s="3"/>
      <c r="I305" s="4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6" t="s">
        <v>109</v>
      </c>
      <c r="B306" s="2"/>
      <c r="C306" s="2"/>
      <c r="D306" s="2"/>
      <c r="E306" s="2"/>
      <c r="F306" s="2"/>
      <c r="G306" s="2"/>
      <c r="H306" s="3"/>
      <c r="I306" s="4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7" t="s">
        <v>2</v>
      </c>
      <c r="B307" s="7" t="s">
        <v>3</v>
      </c>
      <c r="C307" s="7" t="s">
        <v>4</v>
      </c>
      <c r="D307" s="7" t="s">
        <v>5</v>
      </c>
      <c r="E307" s="7" t="s">
        <v>6</v>
      </c>
      <c r="F307" s="8" t="s">
        <v>7</v>
      </c>
      <c r="G307" s="7" t="s">
        <v>8</v>
      </c>
      <c r="H307" s="9"/>
      <c r="I307" s="4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0">
        <v>1.0</v>
      </c>
      <c r="B308" s="18" t="s">
        <v>110</v>
      </c>
      <c r="C308" s="19" t="s">
        <v>111</v>
      </c>
      <c r="D308" s="13" t="s">
        <v>11</v>
      </c>
      <c r="E308" s="14">
        <v>2.5</v>
      </c>
      <c r="F308" s="15">
        <v>293000.0</v>
      </c>
      <c r="G308" s="16">
        <f t="shared" ref="G308:G310" si="22">IFERROR(E308*F308,0)</f>
        <v>732500</v>
      </c>
      <c r="H308" s="17"/>
      <c r="I308" s="4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0">
        <v>2.0</v>
      </c>
      <c r="B309" s="29" t="s">
        <v>12</v>
      </c>
      <c r="C309" s="30" t="s">
        <v>112</v>
      </c>
      <c r="D309" s="20" t="s">
        <v>13</v>
      </c>
      <c r="E309" s="21">
        <v>1.0</v>
      </c>
      <c r="F309" s="22">
        <v>435000.0</v>
      </c>
      <c r="G309" s="16">
        <f t="shared" si="22"/>
        <v>435000</v>
      </c>
      <c r="H309" s="17"/>
      <c r="I309" s="4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0">
        <v>3.0</v>
      </c>
      <c r="B310" s="23" t="s">
        <v>14</v>
      </c>
      <c r="C310" s="17"/>
      <c r="D310" s="17"/>
      <c r="E310" s="17"/>
      <c r="F310" s="17"/>
      <c r="G310" s="24">
        <f t="shared" si="22"/>
        <v>0</v>
      </c>
      <c r="H310" s="17"/>
      <c r="I310" s="4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5" t="s">
        <v>15</v>
      </c>
      <c r="B311" s="2"/>
      <c r="C311" s="2"/>
      <c r="D311" s="2"/>
      <c r="E311" s="2"/>
      <c r="F311" s="2"/>
      <c r="G311" s="3"/>
      <c r="H311" s="26">
        <f>SUM(G308:G310)</f>
        <v>1167500</v>
      </c>
      <c r="I311" s="4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5" t="s">
        <v>16</v>
      </c>
      <c r="B312" s="2"/>
      <c r="C312" s="2"/>
      <c r="D312" s="2"/>
      <c r="E312" s="2"/>
      <c r="F312" s="2"/>
      <c r="G312" s="3"/>
      <c r="H312" s="26">
        <f>MAX(0,H311-648000)</f>
        <v>519500</v>
      </c>
      <c r="I312" s="4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7" t="s">
        <v>17</v>
      </c>
      <c r="B313" s="2"/>
      <c r="C313" s="2"/>
      <c r="D313" s="2"/>
      <c r="E313" s="2"/>
      <c r="F313" s="2"/>
      <c r="G313" s="3"/>
      <c r="H313" s="28">
        <v>649000.0</v>
      </c>
      <c r="I313" s="4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" t="s">
        <v>18</v>
      </c>
      <c r="B314" s="2"/>
      <c r="C314" s="2"/>
      <c r="D314" s="2"/>
      <c r="E314" s="2"/>
      <c r="F314" s="2"/>
      <c r="G314" s="2"/>
      <c r="H314" s="3"/>
      <c r="I314" s="4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20">
      <c r="A320" s="1" t="s">
        <v>0</v>
      </c>
      <c r="B320" s="2"/>
      <c r="C320" s="2"/>
      <c r="D320" s="2"/>
      <c r="E320" s="2"/>
      <c r="F320" s="2"/>
      <c r="G320" s="2"/>
      <c r="H320" s="3"/>
      <c r="I320" s="4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6" t="s">
        <v>113</v>
      </c>
      <c r="B321" s="2"/>
      <c r="C321" s="2"/>
      <c r="D321" s="2"/>
      <c r="E321" s="2"/>
      <c r="F321" s="2"/>
      <c r="G321" s="2"/>
      <c r="H321" s="3"/>
      <c r="I321" s="4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7" t="s">
        <v>2</v>
      </c>
      <c r="B322" s="7" t="s">
        <v>3</v>
      </c>
      <c r="C322" s="7" t="s">
        <v>4</v>
      </c>
      <c r="D322" s="7" t="s">
        <v>5</v>
      </c>
      <c r="E322" s="7" t="s">
        <v>6</v>
      </c>
      <c r="F322" s="8" t="s">
        <v>7</v>
      </c>
      <c r="G322" s="7" t="s">
        <v>8</v>
      </c>
      <c r="H322" s="9"/>
      <c r="I322" s="4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0">
        <v>1.0</v>
      </c>
      <c r="B323" s="18" t="s">
        <v>72</v>
      </c>
      <c r="C323" s="19" t="s">
        <v>114</v>
      </c>
      <c r="D323" s="13" t="s">
        <v>11</v>
      </c>
      <c r="E323" s="14">
        <v>2.5</v>
      </c>
      <c r="F323" s="15">
        <v>293000.0</v>
      </c>
      <c r="G323" s="16">
        <f t="shared" ref="G323:G325" si="23">IFERROR(E323*F323,0)</f>
        <v>732500</v>
      </c>
      <c r="H323" s="17"/>
      <c r="I323" s="4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0">
        <v>2.0</v>
      </c>
      <c r="B324" s="29" t="s">
        <v>94</v>
      </c>
      <c r="C324" s="30" t="s">
        <v>115</v>
      </c>
      <c r="D324" s="20" t="s">
        <v>13</v>
      </c>
      <c r="E324" s="21">
        <v>1.0</v>
      </c>
      <c r="F324" s="22">
        <v>435000.0</v>
      </c>
      <c r="G324" s="16">
        <f t="shared" si="23"/>
        <v>435000</v>
      </c>
      <c r="H324" s="17"/>
      <c r="I324" s="4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0">
        <v>3.0</v>
      </c>
      <c r="B325" s="23" t="s">
        <v>14</v>
      </c>
      <c r="C325" s="17"/>
      <c r="D325" s="17"/>
      <c r="E325" s="31" t="s">
        <v>116</v>
      </c>
      <c r="F325" s="17"/>
      <c r="G325" s="24">
        <f t="shared" si="23"/>
        <v>0</v>
      </c>
      <c r="H325" s="17"/>
      <c r="I325" s="4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5" t="s">
        <v>15</v>
      </c>
      <c r="B326" s="2"/>
      <c r="C326" s="2"/>
      <c r="D326" s="2"/>
      <c r="E326" s="2"/>
      <c r="F326" s="2"/>
      <c r="G326" s="3"/>
      <c r="H326" s="26">
        <f>SUM(G323:G325)</f>
        <v>1167500</v>
      </c>
      <c r="I326" s="4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5" t="s">
        <v>16</v>
      </c>
      <c r="B327" s="2"/>
      <c r="C327" s="2"/>
      <c r="D327" s="2"/>
      <c r="E327" s="2"/>
      <c r="F327" s="2"/>
      <c r="G327" s="3"/>
      <c r="H327" s="26">
        <f>MAX(0,H326-648000)</f>
        <v>519500</v>
      </c>
      <c r="I327" s="4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7" t="s">
        <v>17</v>
      </c>
      <c r="B328" s="2"/>
      <c r="C328" s="2"/>
      <c r="D328" s="2"/>
      <c r="E328" s="2"/>
      <c r="F328" s="2"/>
      <c r="G328" s="3"/>
      <c r="H328" s="28">
        <v>649000.0</v>
      </c>
      <c r="I328" s="4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" t="s">
        <v>18</v>
      </c>
      <c r="B329" s="2"/>
      <c r="C329" s="2"/>
      <c r="D329" s="2"/>
      <c r="E329" s="2"/>
      <c r="F329" s="2"/>
      <c r="G329" s="2"/>
      <c r="H329" s="3"/>
      <c r="I329" s="4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6">
      <c r="A336" s="1" t="s">
        <v>0</v>
      </c>
      <c r="B336" s="2"/>
      <c r="C336" s="2"/>
      <c r="D336" s="2"/>
      <c r="E336" s="2"/>
      <c r="F336" s="2"/>
      <c r="G336" s="2"/>
      <c r="H336" s="3"/>
      <c r="I336" s="4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6" t="s">
        <v>117</v>
      </c>
      <c r="B337" s="2"/>
      <c r="C337" s="2"/>
      <c r="D337" s="2"/>
      <c r="E337" s="2"/>
      <c r="F337" s="2"/>
      <c r="G337" s="2"/>
      <c r="H337" s="3"/>
      <c r="I337" s="4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7" t="s">
        <v>2</v>
      </c>
      <c r="B338" s="7" t="s">
        <v>3</v>
      </c>
      <c r="C338" s="7" t="s">
        <v>4</v>
      </c>
      <c r="D338" s="7" t="s">
        <v>5</v>
      </c>
      <c r="E338" s="7" t="s">
        <v>6</v>
      </c>
      <c r="F338" s="8" t="s">
        <v>7</v>
      </c>
      <c r="G338" s="7" t="s">
        <v>8</v>
      </c>
      <c r="H338" s="9"/>
      <c r="I338" s="4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0">
        <v>1.0</v>
      </c>
      <c r="B339" s="18" t="s">
        <v>118</v>
      </c>
      <c r="C339" s="19" t="s">
        <v>119</v>
      </c>
      <c r="D339" s="13" t="s">
        <v>11</v>
      </c>
      <c r="E339" s="14">
        <v>3.0</v>
      </c>
      <c r="F339" s="15">
        <v>293000.0</v>
      </c>
      <c r="G339" s="16">
        <f t="shared" ref="G339:G341" si="24">IFERROR(E339*F339,0)</f>
        <v>879000</v>
      </c>
      <c r="H339" s="17"/>
      <c r="I339" s="4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0">
        <v>2.0</v>
      </c>
      <c r="B340" s="29" t="s">
        <v>98</v>
      </c>
      <c r="C340" s="30" t="s">
        <v>120</v>
      </c>
      <c r="D340" s="20" t="s">
        <v>13</v>
      </c>
      <c r="E340" s="21">
        <v>0.6</v>
      </c>
      <c r="F340" s="22">
        <v>435000.0</v>
      </c>
      <c r="G340" s="16">
        <f t="shared" si="24"/>
        <v>261000</v>
      </c>
      <c r="H340" s="17"/>
      <c r="I340" s="4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0">
        <v>3.0</v>
      </c>
      <c r="B341" s="23" t="s">
        <v>14</v>
      </c>
      <c r="C341" s="17"/>
      <c r="D341" s="17"/>
      <c r="E341" s="17"/>
      <c r="F341" s="17"/>
      <c r="G341" s="24">
        <f t="shared" si="24"/>
        <v>0</v>
      </c>
      <c r="H341" s="17"/>
      <c r="I341" s="4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5" t="s">
        <v>15</v>
      </c>
      <c r="B342" s="2"/>
      <c r="C342" s="2"/>
      <c r="D342" s="2"/>
      <c r="E342" s="2"/>
      <c r="F342" s="2"/>
      <c r="G342" s="3"/>
      <c r="H342" s="26">
        <f>SUM(G339:G341)</f>
        <v>1140000</v>
      </c>
      <c r="I342" s="4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5" t="s">
        <v>16</v>
      </c>
      <c r="B343" s="2"/>
      <c r="C343" s="2"/>
      <c r="D343" s="2"/>
      <c r="E343" s="2"/>
      <c r="F343" s="2"/>
      <c r="G343" s="3"/>
      <c r="H343" s="26">
        <f>MAX(0,H342-648000)</f>
        <v>492000</v>
      </c>
      <c r="I343" s="4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7" t="s">
        <v>17</v>
      </c>
      <c r="B344" s="2"/>
      <c r="C344" s="2"/>
      <c r="D344" s="2"/>
      <c r="E344" s="2"/>
      <c r="F344" s="2"/>
      <c r="G344" s="3"/>
      <c r="H344" s="28">
        <v>649000.0</v>
      </c>
      <c r="I344" s="4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" t="s">
        <v>18</v>
      </c>
      <c r="B345" s="2"/>
      <c r="C345" s="2"/>
      <c r="D345" s="2"/>
      <c r="E345" s="2"/>
      <c r="F345" s="2"/>
      <c r="G345" s="2"/>
      <c r="H345" s="3"/>
      <c r="I345" s="4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51">
      <c r="A351" s="1" t="s">
        <v>0</v>
      </c>
      <c r="B351" s="2"/>
      <c r="C351" s="2"/>
      <c r="D351" s="2"/>
      <c r="E351" s="2"/>
      <c r="F351" s="2"/>
      <c r="G351" s="2"/>
      <c r="H351" s="3"/>
      <c r="I351" s="4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6" t="s">
        <v>121</v>
      </c>
      <c r="B352" s="2"/>
      <c r="C352" s="2"/>
      <c r="D352" s="2"/>
      <c r="E352" s="2"/>
      <c r="F352" s="2"/>
      <c r="G352" s="2"/>
      <c r="H352" s="3"/>
      <c r="I352" s="4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7" t="s">
        <v>2</v>
      </c>
      <c r="B353" s="7" t="s">
        <v>3</v>
      </c>
      <c r="C353" s="7" t="s">
        <v>4</v>
      </c>
      <c r="D353" s="7" t="s">
        <v>5</v>
      </c>
      <c r="E353" s="7" t="s">
        <v>6</v>
      </c>
      <c r="F353" s="8" t="s">
        <v>7</v>
      </c>
      <c r="G353" s="7" t="s">
        <v>8</v>
      </c>
      <c r="H353" s="9"/>
      <c r="I353" s="4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0">
        <v>1.0</v>
      </c>
      <c r="B354" s="18" t="s">
        <v>122</v>
      </c>
      <c r="C354" s="19" t="s">
        <v>123</v>
      </c>
      <c r="D354" s="13" t="s">
        <v>11</v>
      </c>
      <c r="E354" s="14">
        <v>2.0</v>
      </c>
      <c r="F354" s="15">
        <v>293000.0</v>
      </c>
      <c r="G354" s="16">
        <f t="shared" ref="G354:G356" si="25">IFERROR(E354*F354,0)</f>
        <v>586000</v>
      </c>
      <c r="H354" s="17"/>
      <c r="I354" s="4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0">
        <v>2.0</v>
      </c>
      <c r="B355" s="29" t="s">
        <v>12</v>
      </c>
      <c r="C355" s="30" t="s">
        <v>124</v>
      </c>
      <c r="D355" s="20" t="s">
        <v>13</v>
      </c>
      <c r="E355" s="21">
        <v>1.4</v>
      </c>
      <c r="F355" s="22">
        <v>435000.0</v>
      </c>
      <c r="G355" s="16">
        <f t="shared" si="25"/>
        <v>609000</v>
      </c>
      <c r="H355" s="17"/>
      <c r="I355" s="4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0">
        <v>3.0</v>
      </c>
      <c r="B356" s="23" t="s">
        <v>14</v>
      </c>
      <c r="C356" s="17"/>
      <c r="D356" s="17"/>
      <c r="E356" s="17"/>
      <c r="F356" s="17"/>
      <c r="G356" s="24">
        <f t="shared" si="25"/>
        <v>0</v>
      </c>
      <c r="H356" s="17"/>
      <c r="I356" s="4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5" t="s">
        <v>15</v>
      </c>
      <c r="B357" s="2"/>
      <c r="C357" s="2"/>
      <c r="D357" s="2"/>
      <c r="E357" s="2"/>
      <c r="F357" s="2"/>
      <c r="G357" s="3"/>
      <c r="H357" s="26">
        <f>SUM(G354:G356)</f>
        <v>1195000</v>
      </c>
      <c r="I357" s="4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5" t="s">
        <v>16</v>
      </c>
      <c r="B358" s="2"/>
      <c r="C358" s="2"/>
      <c r="D358" s="2"/>
      <c r="E358" s="2"/>
      <c r="F358" s="2"/>
      <c r="G358" s="3"/>
      <c r="H358" s="26">
        <f>MAX(0,H357-648000)</f>
        <v>547000</v>
      </c>
      <c r="I358" s="4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7" t="s">
        <v>17</v>
      </c>
      <c r="B359" s="2"/>
      <c r="C359" s="2"/>
      <c r="D359" s="2"/>
      <c r="E359" s="2"/>
      <c r="F359" s="2"/>
      <c r="G359" s="3"/>
      <c r="H359" s="28">
        <v>649000.0</v>
      </c>
      <c r="I359" s="4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" t="s">
        <v>18</v>
      </c>
      <c r="B360" s="2"/>
      <c r="C360" s="2"/>
      <c r="D360" s="2"/>
      <c r="E360" s="2"/>
      <c r="F360" s="2"/>
      <c r="G360" s="2"/>
      <c r="H360" s="3"/>
      <c r="I360" s="4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7">
      <c r="A367" s="1" t="s">
        <v>0</v>
      </c>
      <c r="B367" s="2"/>
      <c r="C367" s="2"/>
      <c r="D367" s="2"/>
      <c r="E367" s="2"/>
      <c r="F367" s="2"/>
      <c r="G367" s="2"/>
      <c r="H367" s="3"/>
      <c r="I367" s="4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6" t="s">
        <v>125</v>
      </c>
      <c r="B368" s="2"/>
      <c r="C368" s="2"/>
      <c r="D368" s="2"/>
      <c r="E368" s="2"/>
      <c r="F368" s="2"/>
      <c r="G368" s="2"/>
      <c r="H368" s="3"/>
      <c r="I368" s="4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7" t="s">
        <v>2</v>
      </c>
      <c r="B369" s="7" t="s">
        <v>3</v>
      </c>
      <c r="C369" s="7" t="s">
        <v>4</v>
      </c>
      <c r="D369" s="7" t="s">
        <v>5</v>
      </c>
      <c r="E369" s="7" t="s">
        <v>6</v>
      </c>
      <c r="F369" s="8" t="s">
        <v>7</v>
      </c>
      <c r="G369" s="7" t="s">
        <v>8</v>
      </c>
      <c r="H369" s="9"/>
      <c r="I369" s="4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0">
        <v>1.0</v>
      </c>
      <c r="B370" s="18" t="s">
        <v>126</v>
      </c>
      <c r="C370" s="19" t="s">
        <v>127</v>
      </c>
      <c r="D370" s="13" t="s">
        <v>11</v>
      </c>
      <c r="E370" s="14">
        <v>2.5</v>
      </c>
      <c r="F370" s="15">
        <v>293000.0</v>
      </c>
      <c r="G370" s="16">
        <f t="shared" ref="G370:G372" si="26">IFERROR(E370*F370,0)</f>
        <v>732500</v>
      </c>
      <c r="H370" s="17"/>
      <c r="I370" s="4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0">
        <v>2.0</v>
      </c>
      <c r="B371" s="29" t="s">
        <v>128</v>
      </c>
      <c r="C371" s="30" t="s">
        <v>129</v>
      </c>
      <c r="D371" s="20" t="s">
        <v>13</v>
      </c>
      <c r="E371" s="21">
        <v>1.0</v>
      </c>
      <c r="F371" s="22">
        <v>435000.0</v>
      </c>
      <c r="G371" s="16">
        <f t="shared" si="26"/>
        <v>435000</v>
      </c>
      <c r="H371" s="17"/>
      <c r="I371" s="4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0">
        <v>3.0</v>
      </c>
      <c r="B372" s="23" t="s">
        <v>14</v>
      </c>
      <c r="C372" s="17"/>
      <c r="D372" s="17"/>
      <c r="E372" s="17"/>
      <c r="F372" s="17"/>
      <c r="G372" s="24">
        <f t="shared" si="26"/>
        <v>0</v>
      </c>
      <c r="H372" s="17"/>
      <c r="I372" s="4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5" t="s">
        <v>15</v>
      </c>
      <c r="B373" s="2"/>
      <c r="C373" s="2"/>
      <c r="D373" s="2"/>
      <c r="E373" s="2"/>
      <c r="F373" s="2"/>
      <c r="G373" s="3"/>
      <c r="H373" s="26">
        <f>SUM(G370:G372)</f>
        <v>1167500</v>
      </c>
      <c r="I373" s="4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5" t="s">
        <v>16</v>
      </c>
      <c r="B374" s="2"/>
      <c r="C374" s="2"/>
      <c r="D374" s="2"/>
      <c r="E374" s="2"/>
      <c r="F374" s="2"/>
      <c r="G374" s="3"/>
      <c r="H374" s="26">
        <f>MAX(0,H373-648000)</f>
        <v>519500</v>
      </c>
      <c r="I374" s="4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7" t="s">
        <v>17</v>
      </c>
      <c r="B375" s="2"/>
      <c r="C375" s="2"/>
      <c r="D375" s="2"/>
      <c r="E375" s="2"/>
      <c r="F375" s="2"/>
      <c r="G375" s="3"/>
      <c r="H375" s="28">
        <v>649000.0</v>
      </c>
      <c r="I375" s="4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" t="s">
        <v>18</v>
      </c>
      <c r="B376" s="2"/>
      <c r="C376" s="2"/>
      <c r="D376" s="2"/>
      <c r="E376" s="2"/>
      <c r="F376" s="2"/>
      <c r="G376" s="2"/>
      <c r="H376" s="3"/>
      <c r="I376" s="4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82">
      <c r="A382" s="1" t="s">
        <v>0</v>
      </c>
      <c r="B382" s="2"/>
      <c r="C382" s="2"/>
      <c r="D382" s="2"/>
      <c r="E382" s="2"/>
      <c r="F382" s="2"/>
      <c r="G382" s="2"/>
      <c r="H382" s="3"/>
      <c r="I382" s="4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6" t="s">
        <v>130</v>
      </c>
      <c r="B383" s="2"/>
      <c r="C383" s="2"/>
      <c r="D383" s="2"/>
      <c r="E383" s="2"/>
      <c r="F383" s="2"/>
      <c r="G383" s="2"/>
      <c r="H383" s="3"/>
      <c r="I383" s="4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7" t="s">
        <v>2</v>
      </c>
      <c r="B384" s="7" t="s">
        <v>3</v>
      </c>
      <c r="C384" s="7" t="s">
        <v>4</v>
      </c>
      <c r="D384" s="7" t="s">
        <v>5</v>
      </c>
      <c r="E384" s="7" t="s">
        <v>6</v>
      </c>
      <c r="F384" s="8" t="s">
        <v>7</v>
      </c>
      <c r="G384" s="7" t="s">
        <v>8</v>
      </c>
      <c r="H384" s="9"/>
      <c r="I384" s="4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0">
        <v>1.0</v>
      </c>
      <c r="B385" s="18" t="s">
        <v>131</v>
      </c>
      <c r="C385" s="19" t="s">
        <v>132</v>
      </c>
      <c r="D385" s="13" t="s">
        <v>11</v>
      </c>
      <c r="E385" s="14">
        <v>2.0</v>
      </c>
      <c r="F385" s="15">
        <v>293000.0</v>
      </c>
      <c r="G385" s="16">
        <f t="shared" ref="G385:G387" si="27">IFERROR(E385*F385,0)</f>
        <v>586000</v>
      </c>
      <c r="H385" s="17"/>
      <c r="I385" s="4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0">
        <v>2.0</v>
      </c>
      <c r="B386" s="29" t="s">
        <v>133</v>
      </c>
      <c r="C386" s="30" t="s">
        <v>134</v>
      </c>
      <c r="D386" s="20" t="s">
        <v>13</v>
      </c>
      <c r="E386" s="21">
        <v>1.43</v>
      </c>
      <c r="F386" s="22">
        <v>435000.0</v>
      </c>
      <c r="G386" s="16">
        <f t="shared" si="27"/>
        <v>622050</v>
      </c>
      <c r="H386" s="17"/>
      <c r="I386" s="4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0">
        <v>3.0</v>
      </c>
      <c r="B387" s="23" t="s">
        <v>14</v>
      </c>
      <c r="C387" s="17"/>
      <c r="D387" s="17"/>
      <c r="E387" s="17"/>
      <c r="F387" s="17"/>
      <c r="G387" s="24">
        <f t="shared" si="27"/>
        <v>0</v>
      </c>
      <c r="H387" s="17"/>
      <c r="I387" s="4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5" t="s">
        <v>15</v>
      </c>
      <c r="B388" s="2"/>
      <c r="C388" s="2"/>
      <c r="D388" s="2"/>
      <c r="E388" s="2"/>
      <c r="F388" s="2"/>
      <c r="G388" s="3"/>
      <c r="H388" s="26">
        <f>SUM(G385:G387)</f>
        <v>1208050</v>
      </c>
      <c r="I388" s="4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5" t="s">
        <v>16</v>
      </c>
      <c r="B389" s="2"/>
      <c r="C389" s="2"/>
      <c r="D389" s="2"/>
      <c r="E389" s="2"/>
      <c r="F389" s="2"/>
      <c r="G389" s="3"/>
      <c r="H389" s="26">
        <f>MAX(0,H388-648000)</f>
        <v>560050</v>
      </c>
      <c r="I389" s="4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7" t="s">
        <v>17</v>
      </c>
      <c r="B390" s="2"/>
      <c r="C390" s="2"/>
      <c r="D390" s="2"/>
      <c r="E390" s="2"/>
      <c r="F390" s="2"/>
      <c r="G390" s="3"/>
      <c r="H390" s="28">
        <v>649000.0</v>
      </c>
      <c r="I390" s="4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" t="s">
        <v>18</v>
      </c>
      <c r="B391" s="2"/>
      <c r="C391" s="2"/>
      <c r="D391" s="2"/>
      <c r="E391" s="2"/>
      <c r="F391" s="2"/>
      <c r="G391" s="2"/>
      <c r="H391" s="3"/>
      <c r="I391" s="4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7">
      <c r="A397" s="1" t="s">
        <v>0</v>
      </c>
      <c r="B397" s="2"/>
      <c r="C397" s="2"/>
      <c r="D397" s="2"/>
      <c r="E397" s="2"/>
      <c r="F397" s="2"/>
      <c r="G397" s="2"/>
      <c r="H397" s="3"/>
      <c r="I397" s="4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6" t="s">
        <v>135</v>
      </c>
      <c r="B398" s="2"/>
      <c r="C398" s="2"/>
      <c r="D398" s="2"/>
      <c r="E398" s="2"/>
      <c r="F398" s="2"/>
      <c r="G398" s="2"/>
      <c r="H398" s="3"/>
      <c r="I398" s="4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7" t="s">
        <v>2</v>
      </c>
      <c r="B399" s="7" t="s">
        <v>3</v>
      </c>
      <c r="C399" s="7" t="s">
        <v>4</v>
      </c>
      <c r="D399" s="7" t="s">
        <v>5</v>
      </c>
      <c r="E399" s="7" t="s">
        <v>6</v>
      </c>
      <c r="F399" s="8" t="s">
        <v>7</v>
      </c>
      <c r="G399" s="7" t="s">
        <v>8</v>
      </c>
      <c r="H399" s="9"/>
      <c r="I399" s="4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0">
        <v>1.0</v>
      </c>
      <c r="B400" s="18" t="s">
        <v>98</v>
      </c>
      <c r="C400" s="19" t="s">
        <v>136</v>
      </c>
      <c r="D400" s="13" t="s">
        <v>11</v>
      </c>
      <c r="E400" s="14">
        <v>1.5</v>
      </c>
      <c r="F400" s="15">
        <v>293000.0</v>
      </c>
      <c r="G400" s="16">
        <f t="shared" ref="G400:G402" si="28">IFERROR(E400*F400,0)</f>
        <v>439500</v>
      </c>
      <c r="H400" s="17"/>
      <c r="I400" s="4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0">
        <v>2.0</v>
      </c>
      <c r="B401" s="29" t="s">
        <v>137</v>
      </c>
      <c r="C401" s="30" t="s">
        <v>138</v>
      </c>
      <c r="D401" s="20" t="s">
        <v>13</v>
      </c>
      <c r="E401" s="21">
        <v>2.0</v>
      </c>
      <c r="F401" s="22">
        <v>435000.0</v>
      </c>
      <c r="G401" s="16">
        <f t="shared" si="28"/>
        <v>870000</v>
      </c>
      <c r="H401" s="17"/>
      <c r="I401" s="4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0">
        <v>3.0</v>
      </c>
      <c r="B402" s="23" t="s">
        <v>14</v>
      </c>
      <c r="C402" s="17"/>
      <c r="D402" s="17"/>
      <c r="E402" s="17"/>
      <c r="F402" s="17"/>
      <c r="G402" s="24">
        <f t="shared" si="28"/>
        <v>0</v>
      </c>
      <c r="H402" s="17"/>
      <c r="I402" s="4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5" t="s">
        <v>15</v>
      </c>
      <c r="B403" s="2"/>
      <c r="C403" s="2"/>
      <c r="D403" s="2"/>
      <c r="E403" s="2"/>
      <c r="F403" s="2"/>
      <c r="G403" s="3"/>
      <c r="H403" s="26">
        <f>SUM(G400:G402)</f>
        <v>1309500</v>
      </c>
      <c r="I403" s="4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5" t="s">
        <v>16</v>
      </c>
      <c r="B404" s="2"/>
      <c r="C404" s="2"/>
      <c r="D404" s="2"/>
      <c r="E404" s="2"/>
      <c r="F404" s="2"/>
      <c r="G404" s="3"/>
      <c r="H404" s="26">
        <f>MAX(0,H403-648000)</f>
        <v>661500</v>
      </c>
      <c r="I404" s="4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7" t="s">
        <v>17</v>
      </c>
      <c r="B405" s="2"/>
      <c r="C405" s="2"/>
      <c r="D405" s="2"/>
      <c r="E405" s="2"/>
      <c r="F405" s="2"/>
      <c r="G405" s="3"/>
      <c r="H405" s="28">
        <v>649000.0</v>
      </c>
      <c r="I405" s="4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" t="s">
        <v>18</v>
      </c>
      <c r="B406" s="2"/>
      <c r="C406" s="2"/>
      <c r="D406" s="2"/>
      <c r="E406" s="2"/>
      <c r="F406" s="2"/>
      <c r="G406" s="2"/>
      <c r="H406" s="3"/>
      <c r="I406" s="4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11">
      <c r="A411" s="1" t="s">
        <v>0</v>
      </c>
      <c r="B411" s="2"/>
      <c r="C411" s="2"/>
      <c r="D411" s="2"/>
      <c r="E411" s="2"/>
      <c r="F411" s="2"/>
      <c r="G411" s="2"/>
      <c r="H411" s="3"/>
      <c r="I411" s="4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6" t="s">
        <v>139</v>
      </c>
      <c r="B412" s="2"/>
      <c r="C412" s="2"/>
      <c r="D412" s="2"/>
      <c r="E412" s="2"/>
      <c r="F412" s="2"/>
      <c r="G412" s="2"/>
      <c r="H412" s="3"/>
      <c r="I412" s="4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7" t="s">
        <v>2</v>
      </c>
      <c r="B413" s="7" t="s">
        <v>3</v>
      </c>
      <c r="C413" s="7" t="s">
        <v>4</v>
      </c>
      <c r="D413" s="7" t="s">
        <v>5</v>
      </c>
      <c r="E413" s="7" t="s">
        <v>6</v>
      </c>
      <c r="F413" s="8" t="s">
        <v>7</v>
      </c>
      <c r="G413" s="7" t="s">
        <v>8</v>
      </c>
      <c r="H413" s="9"/>
      <c r="I413" s="4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0">
        <v>1.0</v>
      </c>
      <c r="B414" s="18" t="s">
        <v>12</v>
      </c>
      <c r="C414" s="19" t="s">
        <v>140</v>
      </c>
      <c r="D414" s="13" t="s">
        <v>11</v>
      </c>
      <c r="E414" s="14">
        <v>2.0</v>
      </c>
      <c r="F414" s="15">
        <v>293000.0</v>
      </c>
      <c r="G414" s="16">
        <f t="shared" ref="G414:G416" si="29">IFERROR(E414*F414,0)</f>
        <v>586000</v>
      </c>
      <c r="H414" s="17"/>
      <c r="I414" s="4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0">
        <v>2.0</v>
      </c>
      <c r="B415" s="29" t="s">
        <v>55</v>
      </c>
      <c r="C415" s="30" t="s">
        <v>141</v>
      </c>
      <c r="D415" s="20" t="s">
        <v>13</v>
      </c>
      <c r="E415" s="21">
        <v>1.45</v>
      </c>
      <c r="F415" s="22">
        <v>435000.0</v>
      </c>
      <c r="G415" s="16">
        <f t="shared" si="29"/>
        <v>630750</v>
      </c>
      <c r="H415" s="17"/>
      <c r="I415" s="4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0">
        <v>3.0</v>
      </c>
      <c r="B416" s="23" t="s">
        <v>14</v>
      </c>
      <c r="C416" s="17"/>
      <c r="D416" s="17"/>
      <c r="E416" s="17"/>
      <c r="F416" s="17"/>
      <c r="G416" s="24">
        <f t="shared" si="29"/>
        <v>0</v>
      </c>
      <c r="H416" s="17"/>
      <c r="I416" s="4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5" t="s">
        <v>15</v>
      </c>
      <c r="B417" s="2"/>
      <c r="C417" s="2"/>
      <c r="D417" s="2"/>
      <c r="E417" s="2"/>
      <c r="F417" s="2"/>
      <c r="G417" s="3"/>
      <c r="H417" s="26">
        <f>SUM(G414:G416)</f>
        <v>1216750</v>
      </c>
      <c r="I417" s="4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5" t="s">
        <v>16</v>
      </c>
      <c r="B418" s="2"/>
      <c r="C418" s="2"/>
      <c r="D418" s="2"/>
      <c r="E418" s="2"/>
      <c r="F418" s="2"/>
      <c r="G418" s="3"/>
      <c r="H418" s="26">
        <f>MAX(0,H417-648000)</f>
        <v>568750</v>
      </c>
      <c r="I418" s="4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7" t="s">
        <v>17</v>
      </c>
      <c r="B419" s="2"/>
      <c r="C419" s="2"/>
      <c r="D419" s="2"/>
      <c r="E419" s="2"/>
      <c r="F419" s="2"/>
      <c r="G419" s="3"/>
      <c r="H419" s="28">
        <v>649000.0</v>
      </c>
      <c r="I419" s="4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" t="s">
        <v>18</v>
      </c>
      <c r="B420" s="2"/>
      <c r="C420" s="2"/>
      <c r="D420" s="2"/>
      <c r="E420" s="2"/>
      <c r="F420" s="2"/>
      <c r="G420" s="2"/>
      <c r="H420" s="3"/>
      <c r="I420" s="4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7">
      <c r="A427" s="1" t="s">
        <v>0</v>
      </c>
      <c r="B427" s="2"/>
      <c r="C427" s="2"/>
      <c r="D427" s="2"/>
      <c r="E427" s="2"/>
      <c r="F427" s="2"/>
      <c r="G427" s="2"/>
      <c r="H427" s="3"/>
      <c r="I427" s="4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6" t="s">
        <v>142</v>
      </c>
      <c r="B428" s="2"/>
      <c r="C428" s="2"/>
      <c r="D428" s="2"/>
      <c r="E428" s="2"/>
      <c r="F428" s="2"/>
      <c r="G428" s="2"/>
      <c r="H428" s="3"/>
      <c r="I428" s="4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7" t="s">
        <v>2</v>
      </c>
      <c r="B429" s="7" t="s">
        <v>3</v>
      </c>
      <c r="C429" s="7" t="s">
        <v>4</v>
      </c>
      <c r="D429" s="7" t="s">
        <v>5</v>
      </c>
      <c r="E429" s="7" t="s">
        <v>6</v>
      </c>
      <c r="F429" s="8" t="s">
        <v>7</v>
      </c>
      <c r="G429" s="7" t="s">
        <v>8</v>
      </c>
      <c r="H429" s="9"/>
      <c r="I429" s="4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0">
        <v>1.0</v>
      </c>
      <c r="B430" s="18" t="s">
        <v>25</v>
      </c>
      <c r="C430" s="19" t="s">
        <v>143</v>
      </c>
      <c r="D430" s="13" t="s">
        <v>11</v>
      </c>
      <c r="E430" s="14">
        <v>1.5</v>
      </c>
      <c r="F430" s="15">
        <v>293000.0</v>
      </c>
      <c r="G430" s="16">
        <f t="shared" ref="G430:G432" si="30">IFERROR(E430*F430,0)</f>
        <v>439500</v>
      </c>
      <c r="H430" s="17"/>
      <c r="I430" s="4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0">
        <v>2.0</v>
      </c>
      <c r="B431" s="29" t="s">
        <v>144</v>
      </c>
      <c r="C431" s="30" t="s">
        <v>145</v>
      </c>
      <c r="D431" s="20" t="s">
        <v>13</v>
      </c>
      <c r="E431" s="21">
        <v>2.0</v>
      </c>
      <c r="F431" s="22">
        <v>435000.0</v>
      </c>
      <c r="G431" s="16">
        <f t="shared" si="30"/>
        <v>870000</v>
      </c>
      <c r="H431" s="17"/>
      <c r="I431" s="4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0">
        <v>3.0</v>
      </c>
      <c r="B432" s="23" t="s">
        <v>14</v>
      </c>
      <c r="C432" s="17"/>
      <c r="D432" s="17"/>
      <c r="E432" s="17"/>
      <c r="F432" s="17"/>
      <c r="G432" s="24">
        <f t="shared" si="30"/>
        <v>0</v>
      </c>
      <c r="H432" s="17"/>
      <c r="I432" s="4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5" t="s">
        <v>15</v>
      </c>
      <c r="B433" s="2"/>
      <c r="C433" s="2"/>
      <c r="D433" s="2"/>
      <c r="E433" s="2"/>
      <c r="F433" s="2"/>
      <c r="G433" s="3"/>
      <c r="H433" s="26">
        <f>SUM(G430:G432)</f>
        <v>1309500</v>
      </c>
      <c r="I433" s="4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5" t="s">
        <v>16</v>
      </c>
      <c r="B434" s="2"/>
      <c r="C434" s="2"/>
      <c r="D434" s="2"/>
      <c r="E434" s="2"/>
      <c r="F434" s="2"/>
      <c r="G434" s="3"/>
      <c r="H434" s="26">
        <f>MAX(0,H433-648000)</f>
        <v>661500</v>
      </c>
      <c r="I434" s="4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7" t="s">
        <v>17</v>
      </c>
      <c r="B435" s="2"/>
      <c r="C435" s="2"/>
      <c r="D435" s="2"/>
      <c r="E435" s="2"/>
      <c r="F435" s="2"/>
      <c r="G435" s="3"/>
      <c r="H435" s="28">
        <v>649000.0</v>
      </c>
      <c r="I435" s="4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" t="s">
        <v>18</v>
      </c>
      <c r="B436" s="2"/>
      <c r="C436" s="2"/>
      <c r="D436" s="2"/>
      <c r="E436" s="2"/>
      <c r="F436" s="2"/>
      <c r="G436" s="2"/>
      <c r="H436" s="3"/>
      <c r="I436" s="4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42">
      <c r="A442" s="1" t="s">
        <v>0</v>
      </c>
      <c r="B442" s="2"/>
      <c r="C442" s="2"/>
      <c r="D442" s="2"/>
      <c r="E442" s="2"/>
      <c r="F442" s="2"/>
      <c r="G442" s="2"/>
      <c r="H442" s="3"/>
      <c r="I442" s="4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6" t="s">
        <v>146</v>
      </c>
      <c r="B443" s="2"/>
      <c r="C443" s="2"/>
      <c r="D443" s="2"/>
      <c r="E443" s="2"/>
      <c r="F443" s="2"/>
      <c r="G443" s="2"/>
      <c r="H443" s="3"/>
      <c r="I443" s="4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7" t="s">
        <v>2</v>
      </c>
      <c r="B444" s="7" t="s">
        <v>3</v>
      </c>
      <c r="C444" s="7" t="s">
        <v>4</v>
      </c>
      <c r="D444" s="7" t="s">
        <v>5</v>
      </c>
      <c r="E444" s="7" t="s">
        <v>6</v>
      </c>
      <c r="F444" s="8" t="s">
        <v>7</v>
      </c>
      <c r="G444" s="7" t="s">
        <v>8</v>
      </c>
      <c r="H444" s="9"/>
      <c r="I444" s="4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0">
        <v>1.0</v>
      </c>
      <c r="B445" s="18" t="s">
        <v>72</v>
      </c>
      <c r="C445" s="19" t="s">
        <v>147</v>
      </c>
      <c r="D445" s="13" t="s">
        <v>11</v>
      </c>
      <c r="E445" s="14">
        <v>1.5</v>
      </c>
      <c r="F445" s="15">
        <v>293000.0</v>
      </c>
      <c r="G445" s="16">
        <f t="shared" ref="G445:G447" si="31">IFERROR(E445*F445,0)</f>
        <v>439500</v>
      </c>
      <c r="H445" s="17"/>
      <c r="I445" s="4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0">
        <v>2.0</v>
      </c>
      <c r="B446" s="29" t="s">
        <v>148</v>
      </c>
      <c r="C446" s="30" t="s">
        <v>149</v>
      </c>
      <c r="D446" s="20" t="s">
        <v>13</v>
      </c>
      <c r="E446" s="21">
        <v>2.0</v>
      </c>
      <c r="F446" s="22">
        <v>435000.0</v>
      </c>
      <c r="G446" s="16">
        <f t="shared" si="31"/>
        <v>870000</v>
      </c>
      <c r="H446" s="17"/>
      <c r="I446" s="4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0">
        <v>3.0</v>
      </c>
      <c r="B447" s="23" t="s">
        <v>14</v>
      </c>
      <c r="C447" s="17"/>
      <c r="D447" s="17"/>
      <c r="E447" s="17"/>
      <c r="F447" s="17"/>
      <c r="G447" s="24">
        <f t="shared" si="31"/>
        <v>0</v>
      </c>
      <c r="H447" s="17"/>
      <c r="I447" s="4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5" t="s">
        <v>15</v>
      </c>
      <c r="B448" s="2"/>
      <c r="C448" s="2"/>
      <c r="D448" s="2"/>
      <c r="E448" s="2"/>
      <c r="F448" s="2"/>
      <c r="G448" s="3"/>
      <c r="H448" s="26">
        <f>SUM(G445:G447)</f>
        <v>1309500</v>
      </c>
      <c r="I448" s="4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5" t="s">
        <v>16</v>
      </c>
      <c r="B449" s="2"/>
      <c r="C449" s="2"/>
      <c r="D449" s="2"/>
      <c r="E449" s="2"/>
      <c r="F449" s="2"/>
      <c r="G449" s="3"/>
      <c r="H449" s="26">
        <f>MAX(0,H448-648000)</f>
        <v>661500</v>
      </c>
      <c r="I449" s="4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7" t="s">
        <v>17</v>
      </c>
      <c r="B450" s="2"/>
      <c r="C450" s="2"/>
      <c r="D450" s="2"/>
      <c r="E450" s="2"/>
      <c r="F450" s="2"/>
      <c r="G450" s="3"/>
      <c r="H450" s="28">
        <v>649000.0</v>
      </c>
      <c r="I450" s="4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" t="s">
        <v>18</v>
      </c>
      <c r="B451" s="2"/>
      <c r="C451" s="2"/>
      <c r="D451" s="2"/>
      <c r="E451" s="2"/>
      <c r="F451" s="2"/>
      <c r="G451" s="2"/>
      <c r="H451" s="3"/>
      <c r="I451" s="4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7">
      <c r="A457" s="1" t="s">
        <v>0</v>
      </c>
      <c r="B457" s="2"/>
      <c r="C457" s="2"/>
      <c r="D457" s="2"/>
      <c r="E457" s="2"/>
      <c r="F457" s="2"/>
      <c r="G457" s="2"/>
      <c r="H457" s="3"/>
      <c r="I457" s="4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6" t="s">
        <v>150</v>
      </c>
      <c r="B458" s="2"/>
      <c r="C458" s="2"/>
      <c r="D458" s="2"/>
      <c r="E458" s="2"/>
      <c r="F458" s="2"/>
      <c r="G458" s="2"/>
      <c r="H458" s="3"/>
      <c r="I458" s="4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7" t="s">
        <v>2</v>
      </c>
      <c r="B459" s="7" t="s">
        <v>3</v>
      </c>
      <c r="C459" s="7" t="s">
        <v>4</v>
      </c>
      <c r="D459" s="7" t="s">
        <v>5</v>
      </c>
      <c r="E459" s="7" t="s">
        <v>6</v>
      </c>
      <c r="F459" s="8" t="s">
        <v>7</v>
      </c>
      <c r="G459" s="7" t="s">
        <v>8</v>
      </c>
      <c r="H459" s="9"/>
      <c r="I459" s="4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0">
        <v>1.0</v>
      </c>
      <c r="B460" s="18" t="s">
        <v>151</v>
      </c>
      <c r="C460" s="19" t="s">
        <v>152</v>
      </c>
      <c r="D460" s="13" t="s">
        <v>11</v>
      </c>
      <c r="E460" s="14">
        <v>2.83</v>
      </c>
      <c r="F460" s="15">
        <v>293000.0</v>
      </c>
      <c r="G460" s="16">
        <f t="shared" ref="G460:G462" si="32">IFERROR(E460*F460,0)</f>
        <v>829190</v>
      </c>
      <c r="H460" s="17"/>
      <c r="I460" s="4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0">
        <v>2.0</v>
      </c>
      <c r="B461" s="29" t="s">
        <v>34</v>
      </c>
      <c r="C461" s="30" t="s">
        <v>153</v>
      </c>
      <c r="D461" s="20" t="s">
        <v>13</v>
      </c>
      <c r="E461" s="21">
        <v>0.72</v>
      </c>
      <c r="F461" s="22">
        <v>435000.0</v>
      </c>
      <c r="G461" s="16">
        <f t="shared" si="32"/>
        <v>313200</v>
      </c>
      <c r="H461" s="17"/>
      <c r="I461" s="4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0">
        <v>3.0</v>
      </c>
      <c r="B462" s="23" t="s">
        <v>14</v>
      </c>
      <c r="C462" s="17"/>
      <c r="D462" s="17"/>
      <c r="E462" s="17"/>
      <c r="F462" s="17"/>
      <c r="G462" s="24">
        <f t="shared" si="32"/>
        <v>0</v>
      </c>
      <c r="H462" s="17"/>
      <c r="I462" s="4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5" t="s">
        <v>15</v>
      </c>
      <c r="B463" s="2"/>
      <c r="C463" s="2"/>
      <c r="D463" s="2"/>
      <c r="E463" s="2"/>
      <c r="F463" s="2"/>
      <c r="G463" s="3"/>
      <c r="H463" s="26">
        <f>SUM(G460:G462)</f>
        <v>1142390</v>
      </c>
      <c r="I463" s="4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5" t="s">
        <v>16</v>
      </c>
      <c r="B464" s="2"/>
      <c r="C464" s="2"/>
      <c r="D464" s="2"/>
      <c r="E464" s="2"/>
      <c r="F464" s="2"/>
      <c r="G464" s="3"/>
      <c r="H464" s="26">
        <f>MAX(0,H463-648000)</f>
        <v>494390</v>
      </c>
      <c r="I464" s="4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7" t="s">
        <v>17</v>
      </c>
      <c r="B465" s="2"/>
      <c r="C465" s="2"/>
      <c r="D465" s="2"/>
      <c r="E465" s="2"/>
      <c r="F465" s="2"/>
      <c r="G465" s="3"/>
      <c r="H465" s="28">
        <v>649000.0</v>
      </c>
      <c r="I465" s="4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" t="s">
        <v>18</v>
      </c>
      <c r="B466" s="2"/>
      <c r="C466" s="2"/>
      <c r="D466" s="2"/>
      <c r="E466" s="2"/>
      <c r="F466" s="2"/>
      <c r="G466" s="2"/>
      <c r="H466" s="3"/>
      <c r="I466" s="4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71">
      <c r="A471" s="1" t="s">
        <v>0</v>
      </c>
      <c r="B471" s="2"/>
      <c r="C471" s="2"/>
      <c r="D471" s="2"/>
      <c r="E471" s="2"/>
      <c r="F471" s="2"/>
      <c r="G471" s="2"/>
      <c r="H471" s="3"/>
      <c r="I471" s="4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6" t="s">
        <v>154</v>
      </c>
      <c r="B472" s="2"/>
      <c r="C472" s="2"/>
      <c r="D472" s="2"/>
      <c r="E472" s="2"/>
      <c r="F472" s="2"/>
      <c r="G472" s="2"/>
      <c r="H472" s="3"/>
      <c r="I472" s="4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7" t="s">
        <v>2</v>
      </c>
      <c r="B473" s="7" t="s">
        <v>3</v>
      </c>
      <c r="C473" s="7" t="s">
        <v>4</v>
      </c>
      <c r="D473" s="7" t="s">
        <v>5</v>
      </c>
      <c r="E473" s="7" t="s">
        <v>6</v>
      </c>
      <c r="F473" s="8" t="s">
        <v>7</v>
      </c>
      <c r="G473" s="7" t="s">
        <v>8</v>
      </c>
      <c r="H473" s="9"/>
      <c r="I473" s="4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0">
        <v>1.0</v>
      </c>
      <c r="B474" s="18" t="s">
        <v>155</v>
      </c>
      <c r="C474" s="19" t="s">
        <v>156</v>
      </c>
      <c r="D474" s="13" t="s">
        <v>11</v>
      </c>
      <c r="E474" s="14">
        <v>2.5</v>
      </c>
      <c r="F474" s="15">
        <v>293000.0</v>
      </c>
      <c r="G474" s="16">
        <f t="shared" ref="G474:G476" si="33">IFERROR(E474*F474,0)</f>
        <v>732500</v>
      </c>
      <c r="H474" s="17"/>
      <c r="I474" s="4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0">
        <v>2.0</v>
      </c>
      <c r="B475" s="29" t="s">
        <v>157</v>
      </c>
      <c r="C475" s="30" t="s">
        <v>158</v>
      </c>
      <c r="D475" s="20" t="s">
        <v>13</v>
      </c>
      <c r="E475" s="21">
        <v>0.97</v>
      </c>
      <c r="F475" s="22">
        <v>435000.0</v>
      </c>
      <c r="G475" s="16">
        <f t="shared" si="33"/>
        <v>421950</v>
      </c>
      <c r="H475" s="17"/>
      <c r="I475" s="4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0">
        <v>3.0</v>
      </c>
      <c r="B476" s="23" t="s">
        <v>14</v>
      </c>
      <c r="C476" s="17"/>
      <c r="D476" s="17"/>
      <c r="E476" s="17"/>
      <c r="F476" s="17"/>
      <c r="G476" s="24">
        <f t="shared" si="33"/>
        <v>0</v>
      </c>
      <c r="H476" s="17"/>
      <c r="I476" s="4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5" t="s">
        <v>15</v>
      </c>
      <c r="B477" s="2"/>
      <c r="C477" s="2"/>
      <c r="D477" s="2"/>
      <c r="E477" s="2"/>
      <c r="F477" s="2"/>
      <c r="G477" s="3"/>
      <c r="H477" s="26">
        <f>SUM(G474:G476)</f>
        <v>1154450</v>
      </c>
      <c r="I477" s="4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5" t="s">
        <v>16</v>
      </c>
      <c r="B478" s="2"/>
      <c r="C478" s="2"/>
      <c r="D478" s="2"/>
      <c r="E478" s="2"/>
      <c r="F478" s="2"/>
      <c r="G478" s="3"/>
      <c r="H478" s="26">
        <f>MAX(0,H477-648000)</f>
        <v>506450</v>
      </c>
      <c r="I478" s="4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7" t="s">
        <v>17</v>
      </c>
      <c r="B479" s="2"/>
      <c r="C479" s="2"/>
      <c r="D479" s="2"/>
      <c r="E479" s="2"/>
      <c r="F479" s="2"/>
      <c r="G479" s="3"/>
      <c r="H479" s="28">
        <v>649000.0</v>
      </c>
      <c r="I479" s="4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" t="s">
        <v>18</v>
      </c>
      <c r="B480" s="2"/>
      <c r="C480" s="2"/>
      <c r="D480" s="2"/>
      <c r="E480" s="2"/>
      <c r="F480" s="2"/>
      <c r="G480" s="2"/>
      <c r="H480" s="3"/>
      <c r="I480" s="4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7">
      <c r="A487" s="1" t="s">
        <v>0</v>
      </c>
      <c r="B487" s="2"/>
      <c r="C487" s="2"/>
      <c r="D487" s="2"/>
      <c r="E487" s="2"/>
      <c r="F487" s="2"/>
      <c r="G487" s="2"/>
      <c r="H487" s="3"/>
      <c r="I487" s="4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6" t="s">
        <v>159</v>
      </c>
      <c r="B488" s="2"/>
      <c r="C488" s="2"/>
      <c r="D488" s="2"/>
      <c r="E488" s="2"/>
      <c r="F488" s="2"/>
      <c r="G488" s="2"/>
      <c r="H488" s="3"/>
      <c r="I488" s="4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7" t="s">
        <v>2</v>
      </c>
      <c r="B489" s="7" t="s">
        <v>3</v>
      </c>
      <c r="C489" s="7" t="s">
        <v>4</v>
      </c>
      <c r="D489" s="7" t="s">
        <v>5</v>
      </c>
      <c r="E489" s="7" t="s">
        <v>6</v>
      </c>
      <c r="F489" s="8" t="s">
        <v>7</v>
      </c>
      <c r="G489" s="7" t="s">
        <v>8</v>
      </c>
      <c r="H489" s="9"/>
      <c r="I489" s="4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0">
        <v>1.0</v>
      </c>
      <c r="B490" s="18" t="s">
        <v>74</v>
      </c>
      <c r="C490" s="19" t="s">
        <v>160</v>
      </c>
      <c r="D490" s="13" t="s">
        <v>11</v>
      </c>
      <c r="E490" s="14">
        <v>2.08</v>
      </c>
      <c r="F490" s="15">
        <v>293000.0</v>
      </c>
      <c r="G490" s="16">
        <f t="shared" ref="G490:G492" si="34">IFERROR(E490*F490,0)</f>
        <v>609440</v>
      </c>
      <c r="H490" s="17"/>
      <c r="I490" s="4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0">
        <v>2.0</v>
      </c>
      <c r="B491" s="29" t="s">
        <v>22</v>
      </c>
      <c r="C491" s="30" t="s">
        <v>161</v>
      </c>
      <c r="D491" s="20" t="s">
        <v>13</v>
      </c>
      <c r="E491" s="21">
        <v>1.27</v>
      </c>
      <c r="F491" s="22">
        <v>435000.0</v>
      </c>
      <c r="G491" s="16">
        <f t="shared" si="34"/>
        <v>552450</v>
      </c>
      <c r="H491" s="17"/>
      <c r="I491" s="4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0">
        <v>3.0</v>
      </c>
      <c r="B492" s="23" t="s">
        <v>14</v>
      </c>
      <c r="C492" s="17"/>
      <c r="D492" s="17"/>
      <c r="E492" s="17"/>
      <c r="F492" s="17"/>
      <c r="G492" s="24">
        <f t="shared" si="34"/>
        <v>0</v>
      </c>
      <c r="H492" s="17"/>
      <c r="I492" s="4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5" t="s">
        <v>15</v>
      </c>
      <c r="B493" s="2"/>
      <c r="C493" s="2"/>
      <c r="D493" s="2"/>
      <c r="E493" s="2"/>
      <c r="F493" s="2"/>
      <c r="G493" s="3"/>
      <c r="H493" s="26">
        <f>SUM(G490:G492)</f>
        <v>1161890</v>
      </c>
      <c r="I493" s="4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5" t="s">
        <v>16</v>
      </c>
      <c r="B494" s="2"/>
      <c r="C494" s="2"/>
      <c r="D494" s="2"/>
      <c r="E494" s="2"/>
      <c r="F494" s="2"/>
      <c r="G494" s="3"/>
      <c r="H494" s="26">
        <f>MAX(0,H493-648000)</f>
        <v>513890</v>
      </c>
      <c r="I494" s="4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7" t="s">
        <v>17</v>
      </c>
      <c r="B495" s="2"/>
      <c r="C495" s="2"/>
      <c r="D495" s="2"/>
      <c r="E495" s="2"/>
      <c r="F495" s="2"/>
      <c r="G495" s="3"/>
      <c r="H495" s="28">
        <v>649000.0</v>
      </c>
      <c r="I495" s="4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" t="s">
        <v>18</v>
      </c>
      <c r="B496" s="2"/>
      <c r="C496" s="2"/>
      <c r="D496" s="2"/>
      <c r="E496" s="2"/>
      <c r="F496" s="2"/>
      <c r="G496" s="2"/>
      <c r="H496" s="3"/>
      <c r="I496" s="4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503">
      <c r="A503" s="1" t="s">
        <v>0</v>
      </c>
      <c r="B503" s="2"/>
      <c r="C503" s="2"/>
      <c r="D503" s="2"/>
      <c r="E503" s="2"/>
      <c r="F503" s="2"/>
      <c r="G503" s="2"/>
      <c r="H503" s="3"/>
      <c r="I503" s="4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6" t="s">
        <v>162</v>
      </c>
      <c r="B504" s="2"/>
      <c r="C504" s="2"/>
      <c r="D504" s="2"/>
      <c r="E504" s="2"/>
      <c r="F504" s="2"/>
      <c r="G504" s="2"/>
      <c r="H504" s="3"/>
      <c r="I504" s="4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7" t="s">
        <v>2</v>
      </c>
      <c r="B505" s="7" t="s">
        <v>3</v>
      </c>
      <c r="C505" s="7" t="s">
        <v>4</v>
      </c>
      <c r="D505" s="7" t="s">
        <v>5</v>
      </c>
      <c r="E505" s="7" t="s">
        <v>6</v>
      </c>
      <c r="F505" s="8" t="s">
        <v>7</v>
      </c>
      <c r="G505" s="7" t="s">
        <v>8</v>
      </c>
      <c r="H505" s="9"/>
      <c r="I505" s="4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0">
        <v>1.0</v>
      </c>
      <c r="B506" s="18" t="s">
        <v>94</v>
      </c>
      <c r="C506" s="19" t="s">
        <v>163</v>
      </c>
      <c r="D506" s="13" t="s">
        <v>11</v>
      </c>
      <c r="E506" s="14">
        <v>2.5</v>
      </c>
      <c r="F506" s="15">
        <v>293000.0</v>
      </c>
      <c r="G506" s="16">
        <f t="shared" ref="G506:G508" si="35">IFERROR(E506*F506,0)</f>
        <v>732500</v>
      </c>
      <c r="H506" s="17"/>
      <c r="I506" s="4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0">
        <v>2.0</v>
      </c>
      <c r="B507" s="29" t="s">
        <v>22</v>
      </c>
      <c r="C507" s="30" t="s">
        <v>164</v>
      </c>
      <c r="D507" s="20" t="s">
        <v>13</v>
      </c>
      <c r="E507" s="21">
        <v>0.98</v>
      </c>
      <c r="F507" s="22">
        <v>435000.0</v>
      </c>
      <c r="G507" s="16">
        <f t="shared" si="35"/>
        <v>426300</v>
      </c>
      <c r="H507" s="17"/>
      <c r="I507" s="4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0">
        <v>3.0</v>
      </c>
      <c r="B508" s="23" t="s">
        <v>14</v>
      </c>
      <c r="C508" s="17"/>
      <c r="D508" s="17"/>
      <c r="E508" s="17"/>
      <c r="F508" s="17"/>
      <c r="G508" s="24">
        <f t="shared" si="35"/>
        <v>0</v>
      </c>
      <c r="H508" s="17"/>
      <c r="I508" s="4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5" t="s">
        <v>15</v>
      </c>
      <c r="B509" s="2"/>
      <c r="C509" s="2"/>
      <c r="D509" s="2"/>
      <c r="E509" s="2"/>
      <c r="F509" s="2"/>
      <c r="G509" s="3"/>
      <c r="H509" s="26">
        <f>SUM(G506:G508)</f>
        <v>1158800</v>
      </c>
      <c r="I509" s="4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5" t="s">
        <v>16</v>
      </c>
      <c r="B510" s="2"/>
      <c r="C510" s="2"/>
      <c r="D510" s="2"/>
      <c r="E510" s="2"/>
      <c r="F510" s="2"/>
      <c r="G510" s="3"/>
      <c r="H510" s="26">
        <f>MAX(0,H509-648000)</f>
        <v>510800</v>
      </c>
      <c r="I510" s="4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7" t="s">
        <v>17</v>
      </c>
      <c r="B511" s="2"/>
      <c r="C511" s="2"/>
      <c r="D511" s="2"/>
      <c r="E511" s="2"/>
      <c r="F511" s="2"/>
      <c r="G511" s="3"/>
      <c r="H511" s="28">
        <v>649000.0</v>
      </c>
      <c r="I511" s="4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" t="s">
        <v>18</v>
      </c>
      <c r="B512" s="2"/>
      <c r="C512" s="2"/>
      <c r="D512" s="2"/>
      <c r="E512" s="2"/>
      <c r="F512" s="2"/>
      <c r="G512" s="2"/>
      <c r="H512" s="3"/>
      <c r="I512" s="4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20">
      <c r="A520" s="1" t="s">
        <v>0</v>
      </c>
      <c r="B520" s="2"/>
      <c r="C520" s="2"/>
      <c r="D520" s="2"/>
      <c r="E520" s="2"/>
      <c r="F520" s="2"/>
      <c r="G520" s="2"/>
      <c r="H520" s="3"/>
      <c r="I520" s="4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6" t="s">
        <v>165</v>
      </c>
      <c r="B521" s="2"/>
      <c r="C521" s="2"/>
      <c r="D521" s="2"/>
      <c r="E521" s="2"/>
      <c r="F521" s="2"/>
      <c r="G521" s="2"/>
      <c r="H521" s="3"/>
      <c r="I521" s="4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7" t="s">
        <v>2</v>
      </c>
      <c r="B522" s="7" t="s">
        <v>3</v>
      </c>
      <c r="C522" s="7" t="s">
        <v>4</v>
      </c>
      <c r="D522" s="7" t="s">
        <v>5</v>
      </c>
      <c r="E522" s="7" t="s">
        <v>6</v>
      </c>
      <c r="F522" s="8" t="s">
        <v>7</v>
      </c>
      <c r="G522" s="7" t="s">
        <v>8</v>
      </c>
      <c r="H522" s="9"/>
      <c r="I522" s="4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0">
        <v>1.0</v>
      </c>
      <c r="B523" s="18" t="s">
        <v>94</v>
      </c>
      <c r="C523" s="19" t="s">
        <v>166</v>
      </c>
      <c r="D523" s="13" t="s">
        <v>11</v>
      </c>
      <c r="E523" s="14">
        <v>2.0</v>
      </c>
      <c r="F523" s="15">
        <v>293000.0</v>
      </c>
      <c r="G523" s="16">
        <f t="shared" ref="G523:G525" si="36">IFERROR(E523*F523,0)</f>
        <v>586000</v>
      </c>
      <c r="H523" s="17"/>
      <c r="I523" s="4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0">
        <v>2.0</v>
      </c>
      <c r="B524" s="29" t="s">
        <v>25</v>
      </c>
      <c r="C524" s="30" t="s">
        <v>167</v>
      </c>
      <c r="D524" s="20" t="s">
        <v>13</v>
      </c>
      <c r="E524" s="21">
        <v>1.39</v>
      </c>
      <c r="F524" s="22">
        <v>435000.0</v>
      </c>
      <c r="G524" s="16">
        <f t="shared" si="36"/>
        <v>604650</v>
      </c>
      <c r="H524" s="17"/>
      <c r="I524" s="4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0">
        <v>3.0</v>
      </c>
      <c r="B525" s="23" t="s">
        <v>14</v>
      </c>
      <c r="C525" s="17"/>
      <c r="D525" s="17"/>
      <c r="E525" s="17"/>
      <c r="F525" s="17"/>
      <c r="G525" s="24">
        <f t="shared" si="36"/>
        <v>0</v>
      </c>
      <c r="H525" s="17"/>
      <c r="I525" s="4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5" t="s">
        <v>15</v>
      </c>
      <c r="B526" s="2"/>
      <c r="C526" s="2"/>
      <c r="D526" s="2"/>
      <c r="E526" s="2"/>
      <c r="F526" s="2"/>
      <c r="G526" s="3"/>
      <c r="H526" s="26">
        <f>SUM(G523:G525)</f>
        <v>1190650</v>
      </c>
      <c r="I526" s="4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5" t="s">
        <v>16</v>
      </c>
      <c r="B527" s="2"/>
      <c r="C527" s="2"/>
      <c r="D527" s="2"/>
      <c r="E527" s="2"/>
      <c r="F527" s="2"/>
      <c r="G527" s="3"/>
      <c r="H527" s="26">
        <f>MAX(0,H526-648000)</f>
        <v>542650</v>
      </c>
      <c r="I527" s="4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7" t="s">
        <v>17</v>
      </c>
      <c r="B528" s="2"/>
      <c r="C528" s="2"/>
      <c r="D528" s="2"/>
      <c r="E528" s="2"/>
      <c r="F528" s="2"/>
      <c r="G528" s="3"/>
      <c r="H528" s="28">
        <v>649000.0</v>
      </c>
      <c r="I528" s="4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" t="s">
        <v>18</v>
      </c>
      <c r="B529" s="2"/>
      <c r="C529" s="2"/>
      <c r="D529" s="2"/>
      <c r="E529" s="2"/>
      <c r="F529" s="2"/>
      <c r="G529" s="2"/>
      <c r="H529" s="3"/>
      <c r="I529" s="4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6">
      <c r="A536" s="1" t="s">
        <v>0</v>
      </c>
      <c r="B536" s="2"/>
      <c r="C536" s="2"/>
      <c r="D536" s="2"/>
      <c r="E536" s="2"/>
      <c r="F536" s="2"/>
      <c r="G536" s="2"/>
      <c r="H536" s="3"/>
      <c r="I536" s="4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6" t="s">
        <v>168</v>
      </c>
      <c r="B537" s="2"/>
      <c r="C537" s="2"/>
      <c r="D537" s="2"/>
      <c r="E537" s="2"/>
      <c r="F537" s="2"/>
      <c r="G537" s="2"/>
      <c r="H537" s="3"/>
      <c r="I537" s="4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7" t="s">
        <v>2</v>
      </c>
      <c r="B538" s="7" t="s">
        <v>3</v>
      </c>
      <c r="C538" s="7" t="s">
        <v>4</v>
      </c>
      <c r="D538" s="7" t="s">
        <v>5</v>
      </c>
      <c r="E538" s="7" t="s">
        <v>6</v>
      </c>
      <c r="F538" s="8" t="s">
        <v>7</v>
      </c>
      <c r="G538" s="7" t="s">
        <v>8</v>
      </c>
      <c r="H538" s="9"/>
      <c r="I538" s="4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0">
        <v>1.0</v>
      </c>
      <c r="B539" s="18" t="s">
        <v>169</v>
      </c>
      <c r="C539" s="19" t="s">
        <v>170</v>
      </c>
      <c r="D539" s="13" t="s">
        <v>11</v>
      </c>
      <c r="E539" s="14">
        <v>2.0</v>
      </c>
      <c r="F539" s="15">
        <v>293000.0</v>
      </c>
      <c r="G539" s="16">
        <f t="shared" ref="G539:G541" si="37">IFERROR(E539*F539,0)</f>
        <v>586000</v>
      </c>
      <c r="H539" s="17"/>
      <c r="I539" s="4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0">
        <v>2.0</v>
      </c>
      <c r="B540" s="29" t="s">
        <v>171</v>
      </c>
      <c r="C540" s="30" t="s">
        <v>172</v>
      </c>
      <c r="D540" s="20" t="s">
        <v>13</v>
      </c>
      <c r="E540" s="21">
        <v>1.4</v>
      </c>
      <c r="F540" s="22">
        <v>435000.0</v>
      </c>
      <c r="G540" s="16">
        <f t="shared" si="37"/>
        <v>609000</v>
      </c>
      <c r="H540" s="17"/>
      <c r="I540" s="4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0">
        <v>3.0</v>
      </c>
      <c r="B541" s="23" t="s">
        <v>14</v>
      </c>
      <c r="C541" s="17"/>
      <c r="D541" s="17"/>
      <c r="E541" s="17"/>
      <c r="F541" s="17"/>
      <c r="G541" s="24">
        <f t="shared" si="37"/>
        <v>0</v>
      </c>
      <c r="H541" s="17"/>
      <c r="I541" s="4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5" t="s">
        <v>15</v>
      </c>
      <c r="B542" s="2"/>
      <c r="C542" s="2"/>
      <c r="D542" s="2"/>
      <c r="E542" s="2"/>
      <c r="F542" s="2"/>
      <c r="G542" s="3"/>
      <c r="H542" s="26">
        <f>SUM(G539:G541)</f>
        <v>1195000</v>
      </c>
      <c r="I542" s="4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5" t="s">
        <v>16</v>
      </c>
      <c r="B543" s="2"/>
      <c r="C543" s="2"/>
      <c r="D543" s="2"/>
      <c r="E543" s="2"/>
      <c r="F543" s="2"/>
      <c r="G543" s="3"/>
      <c r="H543" s="26">
        <f>MAX(0,H542-648000)</f>
        <v>547000</v>
      </c>
      <c r="I543" s="4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7" t="s">
        <v>17</v>
      </c>
      <c r="B544" s="2"/>
      <c r="C544" s="2"/>
      <c r="D544" s="2"/>
      <c r="E544" s="2"/>
      <c r="F544" s="2"/>
      <c r="G544" s="3"/>
      <c r="H544" s="28">
        <v>649000.0</v>
      </c>
      <c r="I544" s="4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" t="s">
        <v>18</v>
      </c>
      <c r="B545" s="2"/>
      <c r="C545" s="2"/>
      <c r="D545" s="2"/>
      <c r="E545" s="2"/>
      <c r="F545" s="2"/>
      <c r="G545" s="2"/>
      <c r="H545" s="3"/>
      <c r="I545" s="4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54">
      <c r="A554" s="1" t="s">
        <v>0</v>
      </c>
      <c r="B554" s="2"/>
      <c r="C554" s="2"/>
      <c r="D554" s="2"/>
      <c r="E554" s="2"/>
      <c r="F554" s="2"/>
      <c r="G554" s="2"/>
      <c r="H554" s="3"/>
      <c r="I554" s="4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6" t="s">
        <v>173</v>
      </c>
      <c r="B555" s="2"/>
      <c r="C555" s="2"/>
      <c r="D555" s="2"/>
      <c r="E555" s="2"/>
      <c r="F555" s="2"/>
      <c r="G555" s="2"/>
      <c r="H555" s="3"/>
      <c r="I555" s="4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7" t="s">
        <v>2</v>
      </c>
      <c r="B556" s="7" t="s">
        <v>3</v>
      </c>
      <c r="C556" s="7" t="s">
        <v>4</v>
      </c>
      <c r="D556" s="7" t="s">
        <v>5</v>
      </c>
      <c r="E556" s="7" t="s">
        <v>6</v>
      </c>
      <c r="F556" s="8" t="s">
        <v>7</v>
      </c>
      <c r="G556" s="7" t="s">
        <v>8</v>
      </c>
      <c r="H556" s="9"/>
      <c r="I556" s="4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0">
        <v>1.0</v>
      </c>
      <c r="B557" s="18" t="s">
        <v>101</v>
      </c>
      <c r="C557" s="19" t="s">
        <v>174</v>
      </c>
      <c r="D557" s="13" t="s">
        <v>11</v>
      </c>
      <c r="E557" s="14">
        <v>2.12</v>
      </c>
      <c r="F557" s="15">
        <v>293000.0</v>
      </c>
      <c r="G557" s="16">
        <f t="shared" ref="G557:G559" si="38">IFERROR(E557*F557,0)</f>
        <v>621160</v>
      </c>
      <c r="H557" s="17"/>
      <c r="I557" s="4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0">
        <v>2.0</v>
      </c>
      <c r="B558" s="29" t="s">
        <v>175</v>
      </c>
      <c r="C558" s="30" t="s">
        <v>176</v>
      </c>
      <c r="D558" s="20" t="s">
        <v>13</v>
      </c>
      <c r="E558" s="21">
        <v>1.31</v>
      </c>
      <c r="F558" s="22">
        <v>435000.0</v>
      </c>
      <c r="G558" s="16">
        <f t="shared" si="38"/>
        <v>569850</v>
      </c>
      <c r="H558" s="17"/>
      <c r="I558" s="4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0">
        <v>3.0</v>
      </c>
      <c r="B559" s="23" t="s">
        <v>14</v>
      </c>
      <c r="C559" s="17"/>
      <c r="D559" s="17"/>
      <c r="E559" s="17"/>
      <c r="F559" s="17"/>
      <c r="G559" s="24">
        <f t="shared" si="38"/>
        <v>0</v>
      </c>
      <c r="H559" s="17"/>
      <c r="I559" s="4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5" t="s">
        <v>15</v>
      </c>
      <c r="B560" s="2"/>
      <c r="C560" s="2"/>
      <c r="D560" s="2"/>
      <c r="E560" s="2"/>
      <c r="F560" s="2"/>
      <c r="G560" s="3"/>
      <c r="H560" s="26">
        <f>SUM(G557:G559)</f>
        <v>1191010</v>
      </c>
      <c r="I560" s="4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5" t="s">
        <v>16</v>
      </c>
      <c r="B561" s="2"/>
      <c r="C561" s="2"/>
      <c r="D561" s="2"/>
      <c r="E561" s="2"/>
      <c r="F561" s="2"/>
      <c r="G561" s="3"/>
      <c r="H561" s="26">
        <f>MAX(0,H560-648000)</f>
        <v>543010</v>
      </c>
      <c r="I561" s="4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7" t="s">
        <v>17</v>
      </c>
      <c r="B562" s="2"/>
      <c r="C562" s="2"/>
      <c r="D562" s="2"/>
      <c r="E562" s="2"/>
      <c r="F562" s="2"/>
      <c r="G562" s="3"/>
      <c r="H562" s="28">
        <v>649000.0</v>
      </c>
      <c r="I562" s="4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" t="s">
        <v>18</v>
      </c>
      <c r="B563" s="2"/>
      <c r="C563" s="2"/>
      <c r="D563" s="2"/>
      <c r="E563" s="2"/>
      <c r="F563" s="2"/>
      <c r="G563" s="2"/>
      <c r="H563" s="3"/>
      <c r="I563" s="4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71">
      <c r="A571" s="1" t="s">
        <v>0</v>
      </c>
      <c r="B571" s="2"/>
      <c r="C571" s="2"/>
      <c r="D571" s="2"/>
      <c r="E571" s="2"/>
      <c r="F571" s="2"/>
      <c r="G571" s="2"/>
      <c r="H571" s="3"/>
      <c r="I571" s="4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6" t="s">
        <v>177</v>
      </c>
      <c r="B572" s="2"/>
      <c r="C572" s="2"/>
      <c r="D572" s="2"/>
      <c r="E572" s="2"/>
      <c r="F572" s="2"/>
      <c r="G572" s="2"/>
      <c r="H572" s="3"/>
      <c r="I572" s="4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7" t="s">
        <v>2</v>
      </c>
      <c r="B573" s="7" t="s">
        <v>3</v>
      </c>
      <c r="C573" s="7" t="s">
        <v>4</v>
      </c>
      <c r="D573" s="7" t="s">
        <v>5</v>
      </c>
      <c r="E573" s="7" t="s">
        <v>6</v>
      </c>
      <c r="F573" s="8" t="s">
        <v>7</v>
      </c>
      <c r="G573" s="7" t="s">
        <v>8</v>
      </c>
      <c r="H573" s="9"/>
      <c r="I573" s="4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0">
        <v>1.0</v>
      </c>
      <c r="B574" s="18" t="s">
        <v>178</v>
      </c>
      <c r="C574" s="19" t="s">
        <v>179</v>
      </c>
      <c r="D574" s="13" t="s">
        <v>11</v>
      </c>
      <c r="E574" s="14">
        <v>2.25</v>
      </c>
      <c r="F574" s="15">
        <v>293000.0</v>
      </c>
      <c r="G574" s="16">
        <f t="shared" ref="G574:G576" si="39">IFERROR(E574*F574,0)</f>
        <v>659250</v>
      </c>
      <c r="H574" s="17"/>
      <c r="I574" s="4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0">
        <v>2.0</v>
      </c>
      <c r="B575" s="29" t="s">
        <v>94</v>
      </c>
      <c r="C575" s="30" t="s">
        <v>180</v>
      </c>
      <c r="D575" s="20" t="s">
        <v>13</v>
      </c>
      <c r="E575" s="21">
        <v>1.37</v>
      </c>
      <c r="F575" s="22">
        <v>435000.0</v>
      </c>
      <c r="G575" s="16">
        <f t="shared" si="39"/>
        <v>595950</v>
      </c>
      <c r="H575" s="17"/>
      <c r="I575" s="4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0">
        <v>3.0</v>
      </c>
      <c r="B576" s="23" t="s">
        <v>14</v>
      </c>
      <c r="C576" s="17"/>
      <c r="D576" s="17"/>
      <c r="E576" s="31" t="s">
        <v>181</v>
      </c>
      <c r="F576" s="17"/>
      <c r="G576" s="24">
        <f t="shared" si="39"/>
        <v>0</v>
      </c>
      <c r="H576" s="17"/>
      <c r="I576" s="4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5" t="s">
        <v>15</v>
      </c>
      <c r="B577" s="2"/>
      <c r="C577" s="2"/>
      <c r="D577" s="2"/>
      <c r="E577" s="2"/>
      <c r="F577" s="2"/>
      <c r="G577" s="3"/>
      <c r="H577" s="26">
        <f>SUM(G574:G576)</f>
        <v>1255200</v>
      </c>
      <c r="I577" s="4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5" t="s">
        <v>16</v>
      </c>
      <c r="B578" s="2"/>
      <c r="C578" s="2"/>
      <c r="D578" s="2"/>
      <c r="E578" s="2"/>
      <c r="F578" s="2"/>
      <c r="G578" s="3"/>
      <c r="H578" s="26">
        <f>MAX(0,H577-648000)</f>
        <v>607200</v>
      </c>
      <c r="I578" s="4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7" t="s">
        <v>17</v>
      </c>
      <c r="B579" s="2"/>
      <c r="C579" s="2"/>
      <c r="D579" s="2"/>
      <c r="E579" s="2"/>
      <c r="F579" s="2"/>
      <c r="G579" s="3"/>
      <c r="H579" s="28">
        <v>649000.0</v>
      </c>
      <c r="I579" s="4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" t="s">
        <v>18</v>
      </c>
      <c r="B580" s="2"/>
      <c r="C580" s="2"/>
      <c r="D580" s="2"/>
      <c r="E580" s="2"/>
      <c r="F580" s="2"/>
      <c r="G580" s="2"/>
      <c r="H580" s="3"/>
      <c r="I580" s="4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8">
      <c r="A588" s="1" t="s">
        <v>0</v>
      </c>
      <c r="B588" s="2"/>
      <c r="C588" s="2"/>
      <c r="D588" s="2"/>
      <c r="E588" s="2"/>
      <c r="F588" s="2"/>
      <c r="G588" s="2"/>
      <c r="H588" s="3"/>
      <c r="I588" s="4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6" t="s">
        <v>182</v>
      </c>
      <c r="B589" s="2"/>
      <c r="C589" s="2"/>
      <c r="D589" s="2"/>
      <c r="E589" s="2"/>
      <c r="F589" s="2"/>
      <c r="G589" s="2"/>
      <c r="H589" s="3"/>
      <c r="I589" s="4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7" t="s">
        <v>2</v>
      </c>
      <c r="B590" s="7" t="s">
        <v>3</v>
      </c>
      <c r="C590" s="7" t="s">
        <v>4</v>
      </c>
      <c r="D590" s="7" t="s">
        <v>5</v>
      </c>
      <c r="E590" s="32" t="s">
        <v>70</v>
      </c>
      <c r="F590" s="8" t="s">
        <v>7</v>
      </c>
      <c r="G590" s="7" t="s">
        <v>8</v>
      </c>
      <c r="H590" s="9"/>
      <c r="I590" s="4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0">
        <v>1.0</v>
      </c>
      <c r="B591" s="18" t="s">
        <v>183</v>
      </c>
      <c r="C591" s="19" t="s">
        <v>184</v>
      </c>
      <c r="D591" s="13" t="s">
        <v>11</v>
      </c>
      <c r="E591" s="14">
        <v>2.0</v>
      </c>
      <c r="F591" s="15">
        <v>293000.0</v>
      </c>
      <c r="G591" s="16">
        <f t="shared" ref="G591:G593" si="40">IFERROR(E591*F591,0)</f>
        <v>586000</v>
      </c>
      <c r="H591" s="17"/>
      <c r="I591" s="4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0">
        <v>2.0</v>
      </c>
      <c r="B592" s="29" t="s">
        <v>185</v>
      </c>
      <c r="C592" s="30" t="s">
        <v>186</v>
      </c>
      <c r="D592" s="20" t="s">
        <v>13</v>
      </c>
      <c r="E592" s="21">
        <v>1.55</v>
      </c>
      <c r="F592" s="22">
        <v>435000.0</v>
      </c>
      <c r="G592" s="16">
        <f t="shared" si="40"/>
        <v>674250</v>
      </c>
      <c r="H592" s="17"/>
      <c r="I592" s="4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0">
        <v>3.0</v>
      </c>
      <c r="B593" s="23" t="s">
        <v>14</v>
      </c>
      <c r="C593" s="17"/>
      <c r="D593" s="17"/>
      <c r="E593" s="17"/>
      <c r="F593" s="17"/>
      <c r="G593" s="24">
        <f t="shared" si="40"/>
        <v>0</v>
      </c>
      <c r="H593" s="17"/>
      <c r="I593" s="4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5" t="s">
        <v>15</v>
      </c>
      <c r="B594" s="2"/>
      <c r="C594" s="2"/>
      <c r="D594" s="2"/>
      <c r="E594" s="2"/>
      <c r="F594" s="2"/>
      <c r="G594" s="3"/>
      <c r="H594" s="26">
        <f>SUM(G591:G593)</f>
        <v>1260250</v>
      </c>
      <c r="I594" s="4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5" t="s">
        <v>16</v>
      </c>
      <c r="B595" s="2"/>
      <c r="C595" s="2"/>
      <c r="D595" s="2"/>
      <c r="E595" s="2"/>
      <c r="F595" s="2"/>
      <c r="G595" s="3"/>
      <c r="H595" s="26">
        <f>MAX(0,H594-648000)</f>
        <v>612250</v>
      </c>
      <c r="I595" s="4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7" t="s">
        <v>17</v>
      </c>
      <c r="B596" s="2"/>
      <c r="C596" s="2"/>
      <c r="D596" s="2"/>
      <c r="E596" s="2"/>
      <c r="F596" s="2"/>
      <c r="G596" s="3"/>
      <c r="H596" s="28">
        <v>649000.0</v>
      </c>
      <c r="I596" s="4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" t="s">
        <v>18</v>
      </c>
      <c r="B597" s="2"/>
      <c r="C597" s="2"/>
      <c r="D597" s="2"/>
      <c r="E597" s="2"/>
      <c r="F597" s="2"/>
      <c r="G597" s="2"/>
      <c r="H597" s="3"/>
      <c r="I597" s="4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601">
      <c r="A601" s="1" t="s">
        <v>0</v>
      </c>
      <c r="B601" s="2"/>
      <c r="C601" s="2"/>
      <c r="D601" s="2"/>
      <c r="E601" s="2"/>
      <c r="F601" s="2"/>
      <c r="G601" s="2"/>
      <c r="H601" s="3"/>
      <c r="I601" s="4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6" t="s">
        <v>187</v>
      </c>
      <c r="B602" s="2"/>
      <c r="C602" s="2"/>
      <c r="D602" s="2"/>
      <c r="E602" s="2"/>
      <c r="F602" s="2"/>
      <c r="G602" s="2"/>
      <c r="H602" s="3"/>
      <c r="I602" s="4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7" t="s">
        <v>2</v>
      </c>
      <c r="B603" s="7" t="s">
        <v>3</v>
      </c>
      <c r="C603" s="7" t="s">
        <v>4</v>
      </c>
      <c r="D603" s="7" t="s">
        <v>5</v>
      </c>
      <c r="E603" s="7" t="s">
        <v>6</v>
      </c>
      <c r="F603" s="8" t="s">
        <v>7</v>
      </c>
      <c r="G603" s="7" t="s">
        <v>8</v>
      </c>
      <c r="H603" s="9"/>
      <c r="I603" s="4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0">
        <v>1.0</v>
      </c>
      <c r="B604" s="18" t="s">
        <v>188</v>
      </c>
      <c r="C604" s="19" t="s">
        <v>189</v>
      </c>
      <c r="D604" s="13" t="s">
        <v>11</v>
      </c>
      <c r="E604" s="14">
        <v>1.75</v>
      </c>
      <c r="F604" s="15">
        <v>293000.0</v>
      </c>
      <c r="G604" s="16">
        <f t="shared" ref="G604:G606" si="41">IFERROR(E604*F604,0)</f>
        <v>512750</v>
      </c>
      <c r="H604" s="17"/>
      <c r="I604" s="4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0">
        <v>2.0</v>
      </c>
      <c r="B605" s="29" t="s">
        <v>190</v>
      </c>
      <c r="C605" s="30" t="s">
        <v>191</v>
      </c>
      <c r="D605" s="20" t="s">
        <v>13</v>
      </c>
      <c r="E605" s="21">
        <v>1.68</v>
      </c>
      <c r="F605" s="22">
        <v>435000.0</v>
      </c>
      <c r="G605" s="16">
        <f t="shared" si="41"/>
        <v>730800</v>
      </c>
      <c r="H605" s="17"/>
      <c r="I605" s="4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0">
        <v>3.0</v>
      </c>
      <c r="B606" s="23" t="s">
        <v>14</v>
      </c>
      <c r="C606" s="17"/>
      <c r="D606" s="17"/>
      <c r="E606" s="17"/>
      <c r="F606" s="17"/>
      <c r="G606" s="24">
        <f t="shared" si="41"/>
        <v>0</v>
      </c>
      <c r="H606" s="17"/>
      <c r="I606" s="4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5" t="s">
        <v>15</v>
      </c>
      <c r="B607" s="2"/>
      <c r="C607" s="2"/>
      <c r="D607" s="2"/>
      <c r="E607" s="2"/>
      <c r="F607" s="2"/>
      <c r="G607" s="3"/>
      <c r="H607" s="26">
        <f>SUM(G604:G606)</f>
        <v>1243550</v>
      </c>
      <c r="I607" s="4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5" t="s">
        <v>16</v>
      </c>
      <c r="B608" s="2"/>
      <c r="C608" s="2"/>
      <c r="D608" s="2"/>
      <c r="E608" s="2"/>
      <c r="F608" s="2"/>
      <c r="G608" s="3"/>
      <c r="H608" s="26">
        <f>MAX(0,H607-648000)</f>
        <v>595550</v>
      </c>
      <c r="I608" s="4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7" t="s">
        <v>17</v>
      </c>
      <c r="B609" s="2"/>
      <c r="C609" s="2"/>
      <c r="D609" s="2"/>
      <c r="E609" s="2"/>
      <c r="F609" s="2"/>
      <c r="G609" s="3"/>
      <c r="H609" s="28">
        <v>649000.0</v>
      </c>
      <c r="I609" s="4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" t="s">
        <v>18</v>
      </c>
      <c r="B610" s="2"/>
      <c r="C610" s="2"/>
      <c r="D610" s="2"/>
      <c r="E610" s="2"/>
      <c r="F610" s="2"/>
      <c r="G610" s="2"/>
      <c r="H610" s="3"/>
      <c r="I610" s="4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5">
      <c r="A615" s="1" t="s">
        <v>0</v>
      </c>
      <c r="B615" s="2"/>
      <c r="C615" s="2"/>
      <c r="D615" s="2"/>
      <c r="E615" s="2"/>
      <c r="F615" s="2"/>
      <c r="G615" s="2"/>
      <c r="H615" s="3"/>
      <c r="I615" s="4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6" t="s">
        <v>192</v>
      </c>
      <c r="B616" s="2"/>
      <c r="C616" s="2"/>
      <c r="D616" s="2"/>
      <c r="E616" s="2"/>
      <c r="F616" s="2"/>
      <c r="G616" s="2"/>
      <c r="H616" s="3"/>
      <c r="I616" s="4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7" t="s">
        <v>2</v>
      </c>
      <c r="B617" s="7" t="s">
        <v>3</v>
      </c>
      <c r="C617" s="7" t="s">
        <v>4</v>
      </c>
      <c r="D617" s="7" t="s">
        <v>5</v>
      </c>
      <c r="E617" s="7" t="s">
        <v>6</v>
      </c>
      <c r="F617" s="8" t="s">
        <v>7</v>
      </c>
      <c r="G617" s="7" t="s">
        <v>8</v>
      </c>
      <c r="H617" s="9"/>
      <c r="I617" s="4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0">
        <v>1.0</v>
      </c>
      <c r="B618" s="18" t="s">
        <v>193</v>
      </c>
      <c r="C618" s="19" t="s">
        <v>194</v>
      </c>
      <c r="D618" s="13" t="s">
        <v>11</v>
      </c>
      <c r="E618" s="14">
        <v>1.84</v>
      </c>
      <c r="F618" s="15">
        <v>293000.0</v>
      </c>
      <c r="G618" s="16">
        <f t="shared" ref="G618:G620" si="42">IFERROR(E618*F618,0)</f>
        <v>539120</v>
      </c>
      <c r="H618" s="17"/>
      <c r="I618" s="4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0">
        <v>2.0</v>
      </c>
      <c r="B619" s="29" t="s">
        <v>27</v>
      </c>
      <c r="C619" s="30" t="s">
        <v>195</v>
      </c>
      <c r="D619" s="20" t="s">
        <v>13</v>
      </c>
      <c r="E619" s="21">
        <v>1.63</v>
      </c>
      <c r="F619" s="22">
        <v>435000.0</v>
      </c>
      <c r="G619" s="16">
        <f t="shared" si="42"/>
        <v>709050</v>
      </c>
      <c r="H619" s="17"/>
      <c r="I619" s="4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0">
        <v>3.0</v>
      </c>
      <c r="B620" s="23" t="s">
        <v>14</v>
      </c>
      <c r="C620" s="17"/>
      <c r="D620" s="17"/>
      <c r="E620" s="17"/>
      <c r="F620" s="17"/>
      <c r="G620" s="24">
        <f t="shared" si="42"/>
        <v>0</v>
      </c>
      <c r="H620" s="17"/>
      <c r="I620" s="4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5" t="s">
        <v>15</v>
      </c>
      <c r="B621" s="2"/>
      <c r="C621" s="2"/>
      <c r="D621" s="2"/>
      <c r="E621" s="2"/>
      <c r="F621" s="2"/>
      <c r="G621" s="3"/>
      <c r="H621" s="26">
        <f>SUM(G618:G620)</f>
        <v>1248170</v>
      </c>
      <c r="I621" s="4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5" t="s">
        <v>16</v>
      </c>
      <c r="B622" s="2"/>
      <c r="C622" s="2"/>
      <c r="D622" s="2"/>
      <c r="E622" s="2"/>
      <c r="F622" s="2"/>
      <c r="G622" s="3"/>
      <c r="H622" s="26">
        <f>MAX(0,H621-648000)</f>
        <v>600170</v>
      </c>
      <c r="I622" s="4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7" t="s">
        <v>17</v>
      </c>
      <c r="B623" s="2"/>
      <c r="C623" s="2"/>
      <c r="D623" s="2"/>
      <c r="E623" s="2"/>
      <c r="F623" s="2"/>
      <c r="G623" s="3"/>
      <c r="H623" s="28">
        <v>649000.0</v>
      </c>
      <c r="I623" s="4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" t="s">
        <v>18</v>
      </c>
      <c r="B624" s="2"/>
      <c r="C624" s="2"/>
      <c r="D624" s="2"/>
      <c r="E624" s="2"/>
      <c r="F624" s="2"/>
      <c r="G624" s="2"/>
      <c r="H624" s="3"/>
      <c r="I624" s="4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8">
      <c r="A628" s="1" t="s">
        <v>0</v>
      </c>
      <c r="B628" s="2"/>
      <c r="C628" s="2"/>
      <c r="D628" s="2"/>
      <c r="E628" s="2"/>
      <c r="F628" s="2"/>
      <c r="G628" s="2"/>
      <c r="H628" s="3"/>
      <c r="I628" s="4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6" t="s">
        <v>196</v>
      </c>
      <c r="B629" s="2"/>
      <c r="C629" s="2"/>
      <c r="D629" s="2"/>
      <c r="E629" s="2"/>
      <c r="F629" s="2"/>
      <c r="G629" s="2"/>
      <c r="H629" s="3"/>
      <c r="I629" s="4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7" t="s">
        <v>2</v>
      </c>
      <c r="B630" s="7" t="s">
        <v>3</v>
      </c>
      <c r="C630" s="7" t="s">
        <v>4</v>
      </c>
      <c r="D630" s="7" t="s">
        <v>5</v>
      </c>
      <c r="E630" s="7" t="s">
        <v>6</v>
      </c>
      <c r="F630" s="8" t="s">
        <v>7</v>
      </c>
      <c r="G630" s="7" t="s">
        <v>8</v>
      </c>
      <c r="H630" s="9"/>
      <c r="I630" s="4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0">
        <v>1.0</v>
      </c>
      <c r="B631" s="18" t="s">
        <v>197</v>
      </c>
      <c r="C631" s="19" t="s">
        <v>198</v>
      </c>
      <c r="D631" s="13" t="s">
        <v>11</v>
      </c>
      <c r="E631" s="14">
        <v>1.4</v>
      </c>
      <c r="F631" s="15">
        <v>293000.0</v>
      </c>
      <c r="G631" s="16">
        <f t="shared" ref="G631:G633" si="43">IFERROR(E631*F631,0)</f>
        <v>410200</v>
      </c>
      <c r="H631" s="17"/>
      <c r="I631" s="4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0">
        <v>2.0</v>
      </c>
      <c r="B632" s="29" t="s">
        <v>12</v>
      </c>
      <c r="C632" s="30" t="s">
        <v>199</v>
      </c>
      <c r="D632" s="20" t="s">
        <v>13</v>
      </c>
      <c r="E632" s="21">
        <v>1.97</v>
      </c>
      <c r="F632" s="22">
        <v>435000.0</v>
      </c>
      <c r="G632" s="16">
        <f t="shared" si="43"/>
        <v>856950</v>
      </c>
      <c r="H632" s="17"/>
      <c r="I632" s="4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0">
        <v>3.0</v>
      </c>
      <c r="B633" s="23" t="s">
        <v>14</v>
      </c>
      <c r="C633" s="17"/>
      <c r="D633" s="17"/>
      <c r="E633" s="17"/>
      <c r="F633" s="17"/>
      <c r="G633" s="24">
        <f t="shared" si="43"/>
        <v>0</v>
      </c>
      <c r="H633" s="17"/>
      <c r="I633" s="4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5" t="s">
        <v>15</v>
      </c>
      <c r="B634" s="2"/>
      <c r="C634" s="2"/>
      <c r="D634" s="2"/>
      <c r="E634" s="2"/>
      <c r="F634" s="2"/>
      <c r="G634" s="3"/>
      <c r="H634" s="26">
        <f>SUM(G631:G633)</f>
        <v>1267150</v>
      </c>
      <c r="I634" s="4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5" t="s">
        <v>16</v>
      </c>
      <c r="B635" s="2"/>
      <c r="C635" s="2"/>
      <c r="D635" s="2"/>
      <c r="E635" s="2"/>
      <c r="F635" s="2"/>
      <c r="G635" s="3"/>
      <c r="H635" s="26">
        <f>MAX(0,H634-648000)</f>
        <v>619150</v>
      </c>
      <c r="I635" s="4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7" t="s">
        <v>17</v>
      </c>
      <c r="B636" s="2"/>
      <c r="C636" s="2"/>
      <c r="D636" s="2"/>
      <c r="E636" s="2"/>
      <c r="F636" s="2"/>
      <c r="G636" s="3"/>
      <c r="H636" s="28">
        <v>649000.0</v>
      </c>
      <c r="I636" s="4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" t="s">
        <v>18</v>
      </c>
      <c r="B637" s="2"/>
      <c r="C637" s="2"/>
      <c r="D637" s="2"/>
      <c r="E637" s="2"/>
      <c r="F637" s="2"/>
      <c r="G637" s="2"/>
      <c r="H637" s="3"/>
      <c r="I637" s="4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43">
      <c r="A643" s="1" t="s">
        <v>0</v>
      </c>
      <c r="B643" s="2"/>
      <c r="C643" s="2"/>
      <c r="D643" s="2"/>
      <c r="E643" s="2"/>
      <c r="F643" s="2"/>
      <c r="G643" s="2"/>
      <c r="H643" s="3"/>
      <c r="I643" s="4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6" t="s">
        <v>200</v>
      </c>
      <c r="B644" s="2"/>
      <c r="C644" s="2"/>
      <c r="D644" s="2"/>
      <c r="E644" s="2"/>
      <c r="F644" s="2"/>
      <c r="G644" s="2"/>
      <c r="H644" s="3"/>
      <c r="I644" s="4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7" t="s">
        <v>2</v>
      </c>
      <c r="B645" s="7" t="s">
        <v>3</v>
      </c>
      <c r="C645" s="7" t="s">
        <v>4</v>
      </c>
      <c r="D645" s="7" t="s">
        <v>5</v>
      </c>
      <c r="E645" s="7" t="s">
        <v>6</v>
      </c>
      <c r="F645" s="8" t="s">
        <v>7</v>
      </c>
      <c r="G645" s="7" t="s">
        <v>8</v>
      </c>
      <c r="H645" s="9"/>
      <c r="I645" s="4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0">
        <v>1.0</v>
      </c>
      <c r="B646" s="18" t="s">
        <v>34</v>
      </c>
      <c r="C646" s="19" t="s">
        <v>201</v>
      </c>
      <c r="D646" s="13" t="s">
        <v>11</v>
      </c>
      <c r="E646" s="14">
        <v>2.95</v>
      </c>
      <c r="F646" s="15">
        <v>293000.0</v>
      </c>
      <c r="G646" s="16">
        <f t="shared" ref="G646:G648" si="44">IFERROR(E646*F646,0)</f>
        <v>864350</v>
      </c>
      <c r="H646" s="17"/>
      <c r="I646" s="4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0">
        <v>2.0</v>
      </c>
      <c r="B647" s="29" t="s">
        <v>202</v>
      </c>
      <c r="C647" s="30" t="s">
        <v>203</v>
      </c>
      <c r="D647" s="20" t="s">
        <v>13</v>
      </c>
      <c r="E647" s="21">
        <v>0.63</v>
      </c>
      <c r="F647" s="22">
        <v>435000.0</v>
      </c>
      <c r="G647" s="16">
        <f t="shared" si="44"/>
        <v>274050</v>
      </c>
      <c r="H647" s="17"/>
      <c r="I647" s="4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0">
        <v>3.0</v>
      </c>
      <c r="B648" s="23" t="s">
        <v>14</v>
      </c>
      <c r="C648" s="17"/>
      <c r="D648" s="17"/>
      <c r="E648" s="17"/>
      <c r="F648" s="17"/>
      <c r="G648" s="24">
        <f t="shared" si="44"/>
        <v>0</v>
      </c>
      <c r="H648" s="17"/>
      <c r="I648" s="4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5" t="s">
        <v>15</v>
      </c>
      <c r="B649" s="2"/>
      <c r="C649" s="2"/>
      <c r="D649" s="2"/>
      <c r="E649" s="2"/>
      <c r="F649" s="2"/>
      <c r="G649" s="3"/>
      <c r="H649" s="26">
        <f>SUM(G646:G648)</f>
        <v>1138400</v>
      </c>
      <c r="I649" s="4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5" t="s">
        <v>16</v>
      </c>
      <c r="B650" s="2"/>
      <c r="C650" s="2"/>
      <c r="D650" s="2"/>
      <c r="E650" s="2"/>
      <c r="F650" s="2"/>
      <c r="G650" s="3"/>
      <c r="H650" s="26">
        <f>MAX(0,H649-648000)</f>
        <v>490400</v>
      </c>
      <c r="I650" s="4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7" t="s">
        <v>17</v>
      </c>
      <c r="B651" s="2"/>
      <c r="C651" s="2"/>
      <c r="D651" s="2"/>
      <c r="E651" s="2"/>
      <c r="F651" s="2"/>
      <c r="G651" s="3"/>
      <c r="H651" s="28">
        <v>649000.0</v>
      </c>
      <c r="I651" s="4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" t="s">
        <v>18</v>
      </c>
      <c r="B652" s="2"/>
      <c r="C652" s="2"/>
      <c r="D652" s="2"/>
      <c r="E652" s="2"/>
      <c r="F652" s="2"/>
      <c r="G652" s="2"/>
      <c r="H652" s="3"/>
      <c r="I652" s="4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9">
      <c r="A659" s="1" t="s">
        <v>0</v>
      </c>
      <c r="B659" s="2"/>
      <c r="C659" s="2"/>
      <c r="D659" s="2"/>
      <c r="E659" s="2"/>
      <c r="F659" s="2"/>
      <c r="G659" s="2"/>
      <c r="H659" s="3"/>
      <c r="I659" s="4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6" t="s">
        <v>204</v>
      </c>
      <c r="B660" s="2"/>
      <c r="C660" s="2"/>
      <c r="D660" s="2"/>
      <c r="E660" s="2"/>
      <c r="F660" s="2"/>
      <c r="G660" s="2"/>
      <c r="H660" s="3"/>
      <c r="I660" s="4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7" t="s">
        <v>2</v>
      </c>
      <c r="B661" s="7" t="s">
        <v>3</v>
      </c>
      <c r="C661" s="7" t="s">
        <v>4</v>
      </c>
      <c r="D661" s="7" t="s">
        <v>5</v>
      </c>
      <c r="E661" s="7" t="s">
        <v>6</v>
      </c>
      <c r="F661" s="8" t="s">
        <v>7</v>
      </c>
      <c r="G661" s="7" t="s">
        <v>8</v>
      </c>
      <c r="H661" s="9"/>
      <c r="I661" s="4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0">
        <v>1.0</v>
      </c>
      <c r="B662" s="18" t="s">
        <v>183</v>
      </c>
      <c r="C662" s="19" t="s">
        <v>205</v>
      </c>
      <c r="D662" s="13" t="s">
        <v>11</v>
      </c>
      <c r="E662" s="14">
        <v>1.5</v>
      </c>
      <c r="F662" s="15">
        <v>293000.0</v>
      </c>
      <c r="G662" s="16">
        <f t="shared" ref="G662:G664" si="45">IFERROR(E662*F662,0)</f>
        <v>439500</v>
      </c>
      <c r="H662" s="17"/>
      <c r="I662" s="4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0">
        <v>2.0</v>
      </c>
      <c r="B663" s="29" t="s">
        <v>206</v>
      </c>
      <c r="C663" s="30" t="s">
        <v>207</v>
      </c>
      <c r="D663" s="20" t="s">
        <v>13</v>
      </c>
      <c r="E663" s="21">
        <v>1.96</v>
      </c>
      <c r="F663" s="22">
        <v>435000.0</v>
      </c>
      <c r="G663" s="16">
        <f t="shared" si="45"/>
        <v>852600</v>
      </c>
      <c r="H663" s="17"/>
      <c r="I663" s="4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0">
        <v>3.0</v>
      </c>
      <c r="B664" s="23" t="s">
        <v>14</v>
      </c>
      <c r="C664" s="17"/>
      <c r="D664" s="17"/>
      <c r="E664" s="17"/>
      <c r="F664" s="17"/>
      <c r="G664" s="24">
        <f t="shared" si="45"/>
        <v>0</v>
      </c>
      <c r="H664" s="17"/>
      <c r="I664" s="4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5" t="s">
        <v>15</v>
      </c>
      <c r="B665" s="2"/>
      <c r="C665" s="2"/>
      <c r="D665" s="2"/>
      <c r="E665" s="2"/>
      <c r="F665" s="2"/>
      <c r="G665" s="3"/>
      <c r="H665" s="26">
        <f>SUM(G662:G664)</f>
        <v>1292100</v>
      </c>
      <c r="I665" s="4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5" t="s">
        <v>16</v>
      </c>
      <c r="B666" s="2"/>
      <c r="C666" s="2"/>
      <c r="D666" s="2"/>
      <c r="E666" s="2"/>
      <c r="F666" s="2"/>
      <c r="G666" s="3"/>
      <c r="H666" s="26">
        <f>MAX(0,H665-648000)</f>
        <v>644100</v>
      </c>
      <c r="I666" s="4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7" t="s">
        <v>17</v>
      </c>
      <c r="B667" s="2"/>
      <c r="C667" s="2"/>
      <c r="D667" s="2"/>
      <c r="E667" s="2"/>
      <c r="F667" s="2"/>
      <c r="G667" s="3"/>
      <c r="H667" s="28">
        <v>649000.0</v>
      </c>
      <c r="I667" s="4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" t="s">
        <v>18</v>
      </c>
      <c r="B668" s="2"/>
      <c r="C668" s="2"/>
      <c r="D668" s="2"/>
      <c r="E668" s="2"/>
      <c r="F668" s="2"/>
      <c r="G668" s="2"/>
      <c r="H668" s="3"/>
      <c r="I668" s="4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75">
      <c r="A675" s="1" t="s">
        <v>0</v>
      </c>
      <c r="B675" s="2"/>
      <c r="C675" s="2"/>
      <c r="D675" s="2"/>
      <c r="E675" s="2"/>
      <c r="F675" s="2"/>
      <c r="G675" s="2"/>
      <c r="H675" s="3"/>
      <c r="I675" s="4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6" t="s">
        <v>208</v>
      </c>
      <c r="B676" s="2"/>
      <c r="C676" s="2"/>
      <c r="D676" s="2"/>
      <c r="E676" s="2"/>
      <c r="F676" s="2"/>
      <c r="G676" s="2"/>
      <c r="H676" s="3"/>
      <c r="I676" s="4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7" t="s">
        <v>2</v>
      </c>
      <c r="B677" s="7" t="s">
        <v>3</v>
      </c>
      <c r="C677" s="7" t="s">
        <v>4</v>
      </c>
      <c r="D677" s="7" t="s">
        <v>5</v>
      </c>
      <c r="E677" s="7" t="s">
        <v>6</v>
      </c>
      <c r="F677" s="8" t="s">
        <v>7</v>
      </c>
      <c r="G677" s="7" t="s">
        <v>8</v>
      </c>
      <c r="H677" s="9"/>
      <c r="I677" s="4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0">
        <v>1.0</v>
      </c>
      <c r="B678" s="18" t="s">
        <v>12</v>
      </c>
      <c r="C678" s="19" t="s">
        <v>209</v>
      </c>
      <c r="D678" s="13" t="s">
        <v>11</v>
      </c>
      <c r="E678" s="14">
        <v>2.21</v>
      </c>
      <c r="F678" s="15">
        <v>293000.0</v>
      </c>
      <c r="G678" s="16">
        <f t="shared" ref="G678:G680" si="46">IFERROR(E678*F678,0)</f>
        <v>647530</v>
      </c>
      <c r="H678" s="17"/>
      <c r="I678" s="4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0">
        <v>2.0</v>
      </c>
      <c r="B679" s="29" t="s">
        <v>55</v>
      </c>
      <c r="C679" s="30" t="s">
        <v>210</v>
      </c>
      <c r="D679" s="20" t="s">
        <v>13</v>
      </c>
      <c r="E679" s="21">
        <v>1.26</v>
      </c>
      <c r="F679" s="22">
        <v>435000.0</v>
      </c>
      <c r="G679" s="16">
        <f t="shared" si="46"/>
        <v>548100</v>
      </c>
      <c r="H679" s="17"/>
      <c r="I679" s="4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0">
        <v>3.0</v>
      </c>
      <c r="B680" s="23" t="s">
        <v>14</v>
      </c>
      <c r="C680" s="17"/>
      <c r="D680" s="17"/>
      <c r="E680" s="17"/>
      <c r="F680" s="17"/>
      <c r="G680" s="24">
        <f t="shared" si="46"/>
        <v>0</v>
      </c>
      <c r="H680" s="17"/>
      <c r="I680" s="4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5" t="s">
        <v>15</v>
      </c>
      <c r="B681" s="2"/>
      <c r="C681" s="2"/>
      <c r="D681" s="2"/>
      <c r="E681" s="2"/>
      <c r="F681" s="2"/>
      <c r="G681" s="3"/>
      <c r="H681" s="26">
        <f>SUM(G678:G680)</f>
        <v>1195630</v>
      </c>
      <c r="I681" s="4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5" t="s">
        <v>16</v>
      </c>
      <c r="B682" s="2"/>
      <c r="C682" s="2"/>
      <c r="D682" s="2"/>
      <c r="E682" s="2"/>
      <c r="F682" s="2"/>
      <c r="G682" s="3"/>
      <c r="H682" s="26">
        <f>MAX(0,H681-648000)</f>
        <v>547630</v>
      </c>
      <c r="I682" s="4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7" t="s">
        <v>17</v>
      </c>
      <c r="B683" s="2"/>
      <c r="C683" s="2"/>
      <c r="D683" s="2"/>
      <c r="E683" s="2"/>
      <c r="F683" s="2"/>
      <c r="G683" s="3"/>
      <c r="H683" s="28">
        <v>649000.0</v>
      </c>
      <c r="I683" s="4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" t="s">
        <v>18</v>
      </c>
      <c r="B684" s="2"/>
      <c r="C684" s="2"/>
      <c r="D684" s="2"/>
      <c r="E684" s="2"/>
      <c r="F684" s="2"/>
      <c r="G684" s="2"/>
      <c r="H684" s="3"/>
      <c r="I684" s="4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91">
      <c r="A691" s="1" t="s">
        <v>0</v>
      </c>
      <c r="B691" s="2"/>
      <c r="C691" s="2"/>
      <c r="D691" s="2"/>
      <c r="E691" s="2"/>
      <c r="F691" s="2"/>
      <c r="G691" s="2"/>
      <c r="H691" s="3"/>
      <c r="I691" s="4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6" t="s">
        <v>211</v>
      </c>
      <c r="B692" s="2"/>
      <c r="C692" s="2"/>
      <c r="D692" s="2"/>
      <c r="E692" s="2"/>
      <c r="F692" s="2"/>
      <c r="G692" s="2"/>
      <c r="H692" s="3"/>
      <c r="I692" s="4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7" t="s">
        <v>2</v>
      </c>
      <c r="B693" s="7" t="s">
        <v>3</v>
      </c>
      <c r="C693" s="7" t="s">
        <v>4</v>
      </c>
      <c r="D693" s="7" t="s">
        <v>5</v>
      </c>
      <c r="E693" s="7" t="s">
        <v>6</v>
      </c>
      <c r="F693" s="8" t="s">
        <v>7</v>
      </c>
      <c r="G693" s="7" t="s">
        <v>8</v>
      </c>
      <c r="H693" s="9"/>
      <c r="I693" s="4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0">
        <v>1.0</v>
      </c>
      <c r="B694" s="18" t="s">
        <v>212</v>
      </c>
      <c r="C694" s="19" t="s">
        <v>213</v>
      </c>
      <c r="D694" s="13" t="s">
        <v>11</v>
      </c>
      <c r="E694" s="14">
        <v>3.05</v>
      </c>
      <c r="F694" s="15">
        <v>293000.0</v>
      </c>
      <c r="G694" s="16">
        <f t="shared" ref="G694:G696" si="47">IFERROR(E694*F694,0)</f>
        <v>893650</v>
      </c>
      <c r="H694" s="17"/>
      <c r="I694" s="4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0">
        <v>2.0</v>
      </c>
      <c r="B695" s="29" t="s">
        <v>214</v>
      </c>
      <c r="C695" s="30" t="s">
        <v>215</v>
      </c>
      <c r="D695" s="20" t="s">
        <v>13</v>
      </c>
      <c r="E695" s="21">
        <v>0.58</v>
      </c>
      <c r="F695" s="22">
        <v>435000.0</v>
      </c>
      <c r="G695" s="16">
        <f t="shared" si="47"/>
        <v>252300</v>
      </c>
      <c r="H695" s="17"/>
      <c r="I695" s="4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0">
        <v>3.0</v>
      </c>
      <c r="B696" s="23" t="s">
        <v>14</v>
      </c>
      <c r="C696" s="17"/>
      <c r="D696" s="17"/>
      <c r="E696" s="17"/>
      <c r="F696" s="17"/>
      <c r="G696" s="24">
        <f t="shared" si="47"/>
        <v>0</v>
      </c>
      <c r="H696" s="17"/>
      <c r="I696" s="4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5" t="s">
        <v>15</v>
      </c>
      <c r="B697" s="2"/>
      <c r="C697" s="2"/>
      <c r="D697" s="2"/>
      <c r="E697" s="2"/>
      <c r="F697" s="2"/>
      <c r="G697" s="3"/>
      <c r="H697" s="26">
        <f>SUM(G694:G696)</f>
        <v>1145950</v>
      </c>
      <c r="I697" s="4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5" t="s">
        <v>16</v>
      </c>
      <c r="B698" s="2"/>
      <c r="C698" s="2"/>
      <c r="D698" s="2"/>
      <c r="E698" s="2"/>
      <c r="F698" s="2"/>
      <c r="G698" s="3"/>
      <c r="H698" s="26">
        <f>MAX(0,H697-648000)</f>
        <v>497950</v>
      </c>
      <c r="I698" s="4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7" t="s">
        <v>17</v>
      </c>
      <c r="B699" s="2"/>
      <c r="C699" s="2"/>
      <c r="D699" s="2"/>
      <c r="E699" s="2"/>
      <c r="F699" s="2"/>
      <c r="G699" s="3"/>
      <c r="H699" s="28">
        <v>649000.0</v>
      </c>
      <c r="I699" s="4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" t="s">
        <v>18</v>
      </c>
      <c r="B700" s="2"/>
      <c r="C700" s="2"/>
      <c r="D700" s="2"/>
      <c r="E700" s="2"/>
      <c r="F700" s="2"/>
      <c r="G700" s="2"/>
      <c r="H700" s="3"/>
      <c r="I700" s="4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6">
      <c r="A706" s="1" t="s">
        <v>0</v>
      </c>
      <c r="B706" s="2"/>
      <c r="C706" s="2"/>
      <c r="D706" s="2"/>
      <c r="E706" s="2"/>
      <c r="F706" s="2"/>
      <c r="G706" s="2"/>
      <c r="H706" s="3"/>
      <c r="I706" s="4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6" t="s">
        <v>216</v>
      </c>
      <c r="B707" s="2"/>
      <c r="C707" s="2"/>
      <c r="D707" s="2"/>
      <c r="E707" s="2"/>
      <c r="F707" s="2"/>
      <c r="G707" s="2"/>
      <c r="H707" s="3"/>
      <c r="I707" s="4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7" t="s">
        <v>2</v>
      </c>
      <c r="B708" s="7" t="s">
        <v>3</v>
      </c>
      <c r="C708" s="7" t="s">
        <v>4</v>
      </c>
      <c r="D708" s="7" t="s">
        <v>5</v>
      </c>
      <c r="E708" s="7" t="s">
        <v>6</v>
      </c>
      <c r="F708" s="8" t="s">
        <v>7</v>
      </c>
      <c r="G708" s="7" t="s">
        <v>8</v>
      </c>
      <c r="H708" s="9"/>
      <c r="I708" s="4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0">
        <v>1.0</v>
      </c>
      <c r="B709" s="18" t="s">
        <v>34</v>
      </c>
      <c r="C709" s="19" t="s">
        <v>217</v>
      </c>
      <c r="D709" s="13" t="s">
        <v>11</v>
      </c>
      <c r="E709" s="14">
        <v>1.92</v>
      </c>
      <c r="F709" s="15">
        <v>293000.0</v>
      </c>
      <c r="G709" s="16">
        <f t="shared" ref="G709:G711" si="48">IFERROR(E709*F709,0)</f>
        <v>562560</v>
      </c>
      <c r="H709" s="17"/>
      <c r="I709" s="4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0">
        <v>2.0</v>
      </c>
      <c r="B710" s="29" t="s">
        <v>218</v>
      </c>
      <c r="C710" s="30" t="s">
        <v>219</v>
      </c>
      <c r="D710" s="20" t="s">
        <v>13</v>
      </c>
      <c r="E710" s="21">
        <v>1.55</v>
      </c>
      <c r="F710" s="22">
        <v>435000.0</v>
      </c>
      <c r="G710" s="16">
        <f t="shared" si="48"/>
        <v>674250</v>
      </c>
      <c r="H710" s="17"/>
      <c r="I710" s="4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0">
        <v>3.0</v>
      </c>
      <c r="B711" s="23" t="s">
        <v>14</v>
      </c>
      <c r="C711" s="17"/>
      <c r="D711" s="17"/>
      <c r="E711" s="31" t="s">
        <v>181</v>
      </c>
      <c r="F711" s="17"/>
      <c r="G711" s="24">
        <f t="shared" si="48"/>
        <v>0</v>
      </c>
      <c r="H711" s="17"/>
      <c r="I711" s="4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5" t="s">
        <v>15</v>
      </c>
      <c r="B712" s="2"/>
      <c r="C712" s="2"/>
      <c r="D712" s="2"/>
      <c r="E712" s="2"/>
      <c r="F712" s="2"/>
      <c r="G712" s="3"/>
      <c r="H712" s="26">
        <f>SUM(G709:G711)</f>
        <v>1236810</v>
      </c>
      <c r="I712" s="4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5" t="s">
        <v>16</v>
      </c>
      <c r="B713" s="2"/>
      <c r="C713" s="2"/>
      <c r="D713" s="2"/>
      <c r="E713" s="2"/>
      <c r="F713" s="2"/>
      <c r="G713" s="3"/>
      <c r="H713" s="26">
        <f>MAX(0,H712-648000)</f>
        <v>588810</v>
      </c>
      <c r="I713" s="4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7" t="s">
        <v>17</v>
      </c>
      <c r="B714" s="2"/>
      <c r="C714" s="2"/>
      <c r="D714" s="2"/>
      <c r="E714" s="2"/>
      <c r="F714" s="2"/>
      <c r="G714" s="3"/>
      <c r="H714" s="28">
        <v>649000.0</v>
      </c>
      <c r="I714" s="4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" t="s">
        <v>18</v>
      </c>
      <c r="B715" s="2"/>
      <c r="C715" s="2"/>
      <c r="D715" s="2"/>
      <c r="E715" s="2"/>
      <c r="F715" s="2"/>
      <c r="G715" s="2"/>
      <c r="H715" s="3"/>
      <c r="I715" s="4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20">
      <c r="A720" s="1" t="s">
        <v>0</v>
      </c>
      <c r="B720" s="2"/>
      <c r="C720" s="2"/>
      <c r="D720" s="2"/>
      <c r="E720" s="2"/>
      <c r="F720" s="2"/>
      <c r="G720" s="2"/>
      <c r="H720" s="3"/>
      <c r="I720" s="4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6" t="s">
        <v>220</v>
      </c>
      <c r="B721" s="2"/>
      <c r="C721" s="2"/>
      <c r="D721" s="2"/>
      <c r="E721" s="2"/>
      <c r="F721" s="2"/>
      <c r="G721" s="2"/>
      <c r="H721" s="3"/>
      <c r="I721" s="4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7" t="s">
        <v>2</v>
      </c>
      <c r="B722" s="7" t="s">
        <v>3</v>
      </c>
      <c r="C722" s="7" t="s">
        <v>4</v>
      </c>
      <c r="D722" s="7" t="s">
        <v>5</v>
      </c>
      <c r="E722" s="7" t="s">
        <v>6</v>
      </c>
      <c r="F722" s="8" t="s">
        <v>7</v>
      </c>
      <c r="G722" s="7" t="s">
        <v>8</v>
      </c>
      <c r="H722" s="9"/>
      <c r="I722" s="4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0">
        <v>1.0</v>
      </c>
      <c r="B723" s="18" t="s">
        <v>34</v>
      </c>
      <c r="C723" s="19" t="s">
        <v>221</v>
      </c>
      <c r="D723" s="13" t="s">
        <v>11</v>
      </c>
      <c r="E723" s="14">
        <v>2.5</v>
      </c>
      <c r="F723" s="15">
        <v>293000.0</v>
      </c>
      <c r="G723" s="16">
        <f t="shared" ref="G723:G725" si="49">IFERROR(E723*F723,0)</f>
        <v>732500</v>
      </c>
      <c r="H723" s="17"/>
      <c r="I723" s="4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0">
        <v>2.0</v>
      </c>
      <c r="B724" s="29" t="s">
        <v>12</v>
      </c>
      <c r="C724" s="30" t="s">
        <v>222</v>
      </c>
      <c r="D724" s="20" t="s">
        <v>13</v>
      </c>
      <c r="E724" s="21">
        <v>1.0</v>
      </c>
      <c r="F724" s="22">
        <v>435000.0</v>
      </c>
      <c r="G724" s="16">
        <f t="shared" si="49"/>
        <v>435000</v>
      </c>
      <c r="H724" s="17"/>
      <c r="I724" s="4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0">
        <v>3.0</v>
      </c>
      <c r="B725" s="23" t="s">
        <v>14</v>
      </c>
      <c r="C725" s="17"/>
      <c r="D725" s="17"/>
      <c r="E725" s="17"/>
      <c r="F725" s="17"/>
      <c r="G725" s="24">
        <f t="shared" si="49"/>
        <v>0</v>
      </c>
      <c r="H725" s="17"/>
      <c r="I725" s="4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5" t="s">
        <v>15</v>
      </c>
      <c r="B726" s="2"/>
      <c r="C726" s="2"/>
      <c r="D726" s="2"/>
      <c r="E726" s="2"/>
      <c r="F726" s="2"/>
      <c r="G726" s="3"/>
      <c r="H726" s="26">
        <f>SUM(G723:G725)</f>
        <v>1167500</v>
      </c>
      <c r="I726" s="4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5" t="s">
        <v>16</v>
      </c>
      <c r="B727" s="2"/>
      <c r="C727" s="2"/>
      <c r="D727" s="2"/>
      <c r="E727" s="2"/>
      <c r="F727" s="2"/>
      <c r="G727" s="3"/>
      <c r="H727" s="26">
        <f>MAX(0,H726-648000)</f>
        <v>519500</v>
      </c>
      <c r="I727" s="4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7" t="s">
        <v>17</v>
      </c>
      <c r="B728" s="2"/>
      <c r="C728" s="2"/>
      <c r="D728" s="2"/>
      <c r="E728" s="2"/>
      <c r="F728" s="2"/>
      <c r="G728" s="3"/>
      <c r="H728" s="28">
        <v>649000.0</v>
      </c>
      <c r="I728" s="4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" t="s">
        <v>18</v>
      </c>
      <c r="B729" s="2"/>
      <c r="C729" s="2"/>
      <c r="D729" s="2"/>
      <c r="E729" s="2"/>
      <c r="F729" s="2"/>
      <c r="G729" s="2"/>
      <c r="H729" s="3"/>
      <c r="I729" s="4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4">
      <c r="A734" s="1" t="s">
        <v>0</v>
      </c>
      <c r="B734" s="2"/>
      <c r="C734" s="2"/>
      <c r="D734" s="2"/>
      <c r="E734" s="2"/>
      <c r="F734" s="2"/>
      <c r="G734" s="2"/>
      <c r="H734" s="3"/>
      <c r="I734" s="4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6" t="s">
        <v>223</v>
      </c>
      <c r="B735" s="2"/>
      <c r="C735" s="2"/>
      <c r="D735" s="2"/>
      <c r="E735" s="2"/>
      <c r="F735" s="2"/>
      <c r="G735" s="2"/>
      <c r="H735" s="3"/>
      <c r="I735" s="4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7" t="s">
        <v>2</v>
      </c>
      <c r="B736" s="7" t="s">
        <v>3</v>
      </c>
      <c r="C736" s="7" t="s">
        <v>4</v>
      </c>
      <c r="D736" s="7" t="s">
        <v>5</v>
      </c>
      <c r="E736" s="7" t="s">
        <v>6</v>
      </c>
      <c r="F736" s="8" t="s">
        <v>7</v>
      </c>
      <c r="G736" s="7" t="s">
        <v>8</v>
      </c>
      <c r="H736" s="9"/>
      <c r="I736" s="4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0">
        <v>1.0</v>
      </c>
      <c r="B737" s="18" t="s">
        <v>122</v>
      </c>
      <c r="C737" s="19" t="s">
        <v>224</v>
      </c>
      <c r="D737" s="13" t="s">
        <v>11</v>
      </c>
      <c r="E737" s="14">
        <v>2.08</v>
      </c>
      <c r="F737" s="15">
        <v>293000.0</v>
      </c>
      <c r="G737" s="16">
        <f t="shared" ref="G737:G739" si="50">IFERROR(E737*F737,0)</f>
        <v>609440</v>
      </c>
      <c r="H737" s="17"/>
      <c r="I737" s="4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0">
        <v>2.0</v>
      </c>
      <c r="B738" s="29" t="s">
        <v>103</v>
      </c>
      <c r="C738" s="30" t="s">
        <v>225</v>
      </c>
      <c r="D738" s="20" t="s">
        <v>13</v>
      </c>
      <c r="E738" s="21">
        <v>1.5</v>
      </c>
      <c r="F738" s="22">
        <v>435000.0</v>
      </c>
      <c r="G738" s="16">
        <f t="shared" si="50"/>
        <v>652500</v>
      </c>
      <c r="H738" s="17"/>
      <c r="I738" s="4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0">
        <v>3.0</v>
      </c>
      <c r="B739" s="23" t="s">
        <v>14</v>
      </c>
      <c r="C739" s="17"/>
      <c r="D739" s="17"/>
      <c r="E739" s="17"/>
      <c r="F739" s="17"/>
      <c r="G739" s="24">
        <f t="shared" si="50"/>
        <v>0</v>
      </c>
      <c r="H739" s="17"/>
      <c r="I739" s="4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5" t="s">
        <v>15</v>
      </c>
      <c r="B740" s="2"/>
      <c r="C740" s="2"/>
      <c r="D740" s="2"/>
      <c r="E740" s="2"/>
      <c r="F740" s="2"/>
      <c r="G740" s="3"/>
      <c r="H740" s="26">
        <f>SUM(G737:G739)</f>
        <v>1261940</v>
      </c>
      <c r="I740" s="4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5" t="s">
        <v>16</v>
      </c>
      <c r="B741" s="2"/>
      <c r="C741" s="2"/>
      <c r="D741" s="2"/>
      <c r="E741" s="2"/>
      <c r="F741" s="2"/>
      <c r="G741" s="3"/>
      <c r="H741" s="26">
        <f>MAX(0,H740-648000)</f>
        <v>613940</v>
      </c>
      <c r="I741" s="4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7" t="s">
        <v>17</v>
      </c>
      <c r="B742" s="2"/>
      <c r="C742" s="2"/>
      <c r="D742" s="2"/>
      <c r="E742" s="2"/>
      <c r="F742" s="2"/>
      <c r="G742" s="3"/>
      <c r="H742" s="28">
        <v>649000.0</v>
      </c>
      <c r="I742" s="4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" t="s">
        <v>18</v>
      </c>
      <c r="B743" s="2"/>
      <c r="C743" s="2"/>
      <c r="D743" s="2"/>
      <c r="E743" s="2"/>
      <c r="F743" s="2"/>
      <c r="G743" s="2"/>
      <c r="H743" s="3"/>
      <c r="I743" s="4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50" ht="29.25" customHeight="1">
      <c r="A750" s="1" t="s">
        <v>0</v>
      </c>
      <c r="B750" s="2"/>
      <c r="C750" s="2"/>
      <c r="D750" s="2"/>
      <c r="E750" s="2"/>
      <c r="F750" s="2"/>
      <c r="G750" s="2"/>
      <c r="H750" s="3"/>
      <c r="I750" s="4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6" t="s">
        <v>226</v>
      </c>
      <c r="B751" s="2"/>
      <c r="C751" s="2"/>
      <c r="D751" s="2"/>
      <c r="E751" s="2"/>
      <c r="F751" s="2"/>
      <c r="G751" s="2"/>
      <c r="H751" s="3"/>
      <c r="I751" s="4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7" t="s">
        <v>2</v>
      </c>
      <c r="B752" s="7" t="s">
        <v>3</v>
      </c>
      <c r="C752" s="7" t="s">
        <v>4</v>
      </c>
      <c r="D752" s="7" t="s">
        <v>5</v>
      </c>
      <c r="E752" s="7" t="s">
        <v>6</v>
      </c>
      <c r="F752" s="8" t="s">
        <v>7</v>
      </c>
      <c r="G752" s="7" t="s">
        <v>8</v>
      </c>
      <c r="H752" s="9"/>
      <c r="I752" s="4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0">
        <v>1.0</v>
      </c>
      <c r="B753" s="18" t="s">
        <v>227</v>
      </c>
      <c r="C753" s="19" t="s">
        <v>228</v>
      </c>
      <c r="D753" s="13" t="s">
        <v>11</v>
      </c>
      <c r="E753" s="14">
        <v>2.65</v>
      </c>
      <c r="F753" s="15">
        <v>293000.0</v>
      </c>
      <c r="G753" s="16">
        <f t="shared" ref="G753:G755" si="51">IFERROR(E753*F753,0)</f>
        <v>776450</v>
      </c>
      <c r="H753" s="17"/>
      <c r="I753" s="4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0">
        <v>2.0</v>
      </c>
      <c r="B754" s="29" t="s">
        <v>98</v>
      </c>
      <c r="C754" s="30" t="s">
        <v>229</v>
      </c>
      <c r="D754" s="20" t="s">
        <v>13</v>
      </c>
      <c r="E754" s="21">
        <v>0.88</v>
      </c>
      <c r="F754" s="22">
        <v>435000.0</v>
      </c>
      <c r="G754" s="16">
        <f t="shared" si="51"/>
        <v>382800</v>
      </c>
      <c r="H754" s="17"/>
      <c r="I754" s="4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0">
        <v>3.0</v>
      </c>
      <c r="B755" s="23" t="s">
        <v>14</v>
      </c>
      <c r="C755" s="17"/>
      <c r="D755" s="17"/>
      <c r="E755" s="17"/>
      <c r="F755" s="17"/>
      <c r="G755" s="24">
        <f t="shared" si="51"/>
        <v>0</v>
      </c>
      <c r="H755" s="17"/>
      <c r="I755" s="4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5" t="s">
        <v>15</v>
      </c>
      <c r="B756" s="2"/>
      <c r="C756" s="2"/>
      <c r="D756" s="2"/>
      <c r="E756" s="2"/>
      <c r="F756" s="2"/>
      <c r="G756" s="3"/>
      <c r="H756" s="26">
        <f>SUM(G753:G755)</f>
        <v>1159250</v>
      </c>
      <c r="I756" s="4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5" t="s">
        <v>16</v>
      </c>
      <c r="B757" s="2"/>
      <c r="C757" s="2"/>
      <c r="D757" s="2"/>
      <c r="E757" s="2"/>
      <c r="F757" s="2"/>
      <c r="G757" s="3"/>
      <c r="H757" s="26">
        <f>MAX(0,H756-648000)</f>
        <v>511250</v>
      </c>
      <c r="I757" s="4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7" t="s">
        <v>17</v>
      </c>
      <c r="B758" s="2"/>
      <c r="C758" s="2"/>
      <c r="D758" s="2"/>
      <c r="E758" s="2"/>
      <c r="F758" s="2"/>
      <c r="G758" s="3"/>
      <c r="H758" s="28">
        <v>649000.0</v>
      </c>
      <c r="I758" s="4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" t="s">
        <v>18</v>
      </c>
      <c r="B759" s="2"/>
      <c r="C759" s="2"/>
      <c r="D759" s="2"/>
      <c r="E759" s="2"/>
      <c r="F759" s="2"/>
      <c r="G759" s="2"/>
      <c r="H759" s="3"/>
      <c r="I759" s="4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5" ht="29.25" customHeight="1">
      <c r="A765" s="1" t="s">
        <v>0</v>
      </c>
      <c r="B765" s="2"/>
      <c r="C765" s="2"/>
      <c r="D765" s="2"/>
      <c r="E765" s="2"/>
      <c r="F765" s="2"/>
      <c r="G765" s="2"/>
      <c r="H765" s="3"/>
      <c r="I765" s="4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6" t="s">
        <v>230</v>
      </c>
      <c r="B766" s="2"/>
      <c r="C766" s="2"/>
      <c r="D766" s="2"/>
      <c r="E766" s="2"/>
      <c r="F766" s="2"/>
      <c r="G766" s="2"/>
      <c r="H766" s="3"/>
      <c r="I766" s="4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7" t="s">
        <v>2</v>
      </c>
      <c r="B767" s="7" t="s">
        <v>3</v>
      </c>
      <c r="C767" s="7" t="s">
        <v>4</v>
      </c>
      <c r="D767" s="7" t="s">
        <v>5</v>
      </c>
      <c r="E767" s="7" t="s">
        <v>6</v>
      </c>
      <c r="F767" s="8" t="s">
        <v>7</v>
      </c>
      <c r="G767" s="7" t="s">
        <v>8</v>
      </c>
      <c r="H767" s="9"/>
      <c r="I767" s="4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0">
        <v>1.0</v>
      </c>
      <c r="B768" s="18" t="s">
        <v>39</v>
      </c>
      <c r="C768" s="19" t="s">
        <v>231</v>
      </c>
      <c r="D768" s="13" t="s">
        <v>11</v>
      </c>
      <c r="E768" s="14">
        <v>1.8</v>
      </c>
      <c r="F768" s="15">
        <v>293000.0</v>
      </c>
      <c r="G768" s="16">
        <f t="shared" ref="G768:G770" si="52">IFERROR(E768*F768,0)</f>
        <v>527400</v>
      </c>
      <c r="H768" s="17"/>
      <c r="I768" s="4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0">
        <v>2.0</v>
      </c>
      <c r="B769" s="29" t="s">
        <v>197</v>
      </c>
      <c r="C769" s="30" t="s">
        <v>232</v>
      </c>
      <c r="D769" s="20" t="s">
        <v>13</v>
      </c>
      <c r="E769" s="21">
        <v>1.74</v>
      </c>
      <c r="F769" s="22">
        <v>435000.0</v>
      </c>
      <c r="G769" s="16">
        <f t="shared" si="52"/>
        <v>756900</v>
      </c>
      <c r="H769" s="17"/>
      <c r="I769" s="4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0">
        <v>3.0</v>
      </c>
      <c r="B770" s="23" t="s">
        <v>14</v>
      </c>
      <c r="C770" s="17"/>
      <c r="D770" s="17"/>
      <c r="E770" s="17"/>
      <c r="F770" s="17"/>
      <c r="G770" s="24">
        <f t="shared" si="52"/>
        <v>0</v>
      </c>
      <c r="H770" s="17"/>
      <c r="I770" s="4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5" t="s">
        <v>15</v>
      </c>
      <c r="B771" s="2"/>
      <c r="C771" s="2"/>
      <c r="D771" s="2"/>
      <c r="E771" s="2"/>
      <c r="F771" s="2"/>
      <c r="G771" s="3"/>
      <c r="H771" s="26">
        <f>SUM(G768:G770)</f>
        <v>1284300</v>
      </c>
      <c r="I771" s="4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5" t="s">
        <v>16</v>
      </c>
      <c r="B772" s="2"/>
      <c r="C772" s="2"/>
      <c r="D772" s="2"/>
      <c r="E772" s="2"/>
      <c r="F772" s="2"/>
      <c r="G772" s="3"/>
      <c r="H772" s="26">
        <f>MAX(0,H771-648000)</f>
        <v>636300</v>
      </c>
      <c r="I772" s="4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7" t="s">
        <v>17</v>
      </c>
      <c r="B773" s="2"/>
      <c r="C773" s="2"/>
      <c r="D773" s="2"/>
      <c r="E773" s="2"/>
      <c r="F773" s="2"/>
      <c r="G773" s="3"/>
      <c r="H773" s="28">
        <v>649000.0</v>
      </c>
      <c r="I773" s="4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" t="s">
        <v>18</v>
      </c>
      <c r="B774" s="2"/>
      <c r="C774" s="2"/>
      <c r="D774" s="2"/>
      <c r="E774" s="2"/>
      <c r="F774" s="2"/>
      <c r="G774" s="2"/>
      <c r="H774" s="3"/>
      <c r="I774" s="4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80" ht="29.25" customHeight="1">
      <c r="A780" s="1" t="s">
        <v>0</v>
      </c>
      <c r="B780" s="2"/>
      <c r="C780" s="2"/>
      <c r="D780" s="2"/>
      <c r="E780" s="2"/>
      <c r="F780" s="2"/>
      <c r="G780" s="2"/>
      <c r="H780" s="3"/>
      <c r="I780" s="4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6" t="s">
        <v>233</v>
      </c>
      <c r="B781" s="2"/>
      <c r="C781" s="2"/>
      <c r="D781" s="2"/>
      <c r="E781" s="2"/>
      <c r="F781" s="2"/>
      <c r="G781" s="2"/>
      <c r="H781" s="3"/>
      <c r="I781" s="4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7" t="s">
        <v>2</v>
      </c>
      <c r="B782" s="7" t="s">
        <v>3</v>
      </c>
      <c r="C782" s="7" t="s">
        <v>4</v>
      </c>
      <c r="D782" s="7" t="s">
        <v>5</v>
      </c>
      <c r="E782" s="7" t="s">
        <v>6</v>
      </c>
      <c r="F782" s="8" t="s">
        <v>7</v>
      </c>
      <c r="G782" s="7" t="s">
        <v>8</v>
      </c>
      <c r="H782" s="9"/>
      <c r="I782" s="4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0">
        <v>1.0</v>
      </c>
      <c r="B783" s="18" t="s">
        <v>234</v>
      </c>
      <c r="C783" s="19" t="s">
        <v>235</v>
      </c>
      <c r="D783" s="13" t="s">
        <v>11</v>
      </c>
      <c r="E783" s="14">
        <v>1.0</v>
      </c>
      <c r="F783" s="15">
        <v>293000.0</v>
      </c>
      <c r="G783" s="16">
        <f t="shared" ref="G783:G785" si="53">IFERROR(E783*F783,0)</f>
        <v>293000</v>
      </c>
      <c r="H783" s="17"/>
      <c r="I783" s="4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0">
        <v>2.0</v>
      </c>
      <c r="B784" s="29" t="s">
        <v>185</v>
      </c>
      <c r="C784" s="30" t="s">
        <v>236</v>
      </c>
      <c r="D784" s="20" t="s">
        <v>13</v>
      </c>
      <c r="E784" s="21">
        <v>2.45</v>
      </c>
      <c r="F784" s="22">
        <v>435000.0</v>
      </c>
      <c r="G784" s="16">
        <f t="shared" si="53"/>
        <v>1065750</v>
      </c>
      <c r="H784" s="17"/>
      <c r="I784" s="4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0">
        <v>3.0</v>
      </c>
      <c r="B785" s="23" t="s">
        <v>14</v>
      </c>
      <c r="C785" s="17"/>
      <c r="D785" s="17"/>
      <c r="E785" s="17"/>
      <c r="F785" s="17"/>
      <c r="G785" s="24">
        <f t="shared" si="53"/>
        <v>0</v>
      </c>
      <c r="H785" s="17"/>
      <c r="I785" s="4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5" t="s">
        <v>15</v>
      </c>
      <c r="B786" s="2"/>
      <c r="C786" s="2"/>
      <c r="D786" s="2"/>
      <c r="E786" s="2"/>
      <c r="F786" s="2"/>
      <c r="G786" s="3"/>
      <c r="H786" s="26">
        <f>SUM(G783:G785)</f>
        <v>1358750</v>
      </c>
      <c r="I786" s="4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5" t="s">
        <v>16</v>
      </c>
      <c r="B787" s="2"/>
      <c r="C787" s="2"/>
      <c r="D787" s="2"/>
      <c r="E787" s="2"/>
      <c r="F787" s="2"/>
      <c r="G787" s="3"/>
      <c r="H787" s="26">
        <f>MAX(0,H786-648000)</f>
        <v>710750</v>
      </c>
      <c r="I787" s="4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7" t="s">
        <v>17</v>
      </c>
      <c r="B788" s="2"/>
      <c r="C788" s="2"/>
      <c r="D788" s="2"/>
      <c r="E788" s="2"/>
      <c r="F788" s="2"/>
      <c r="G788" s="3"/>
      <c r="H788" s="28">
        <v>649000.0</v>
      </c>
      <c r="I788" s="4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" t="s">
        <v>18</v>
      </c>
      <c r="B789" s="2"/>
      <c r="C789" s="2"/>
      <c r="D789" s="2"/>
      <c r="E789" s="2"/>
      <c r="F789" s="2"/>
      <c r="G789" s="2"/>
      <c r="H789" s="3"/>
      <c r="I789" s="4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5" ht="29.25" customHeight="1">
      <c r="A795" s="1" t="s">
        <v>0</v>
      </c>
      <c r="B795" s="2"/>
      <c r="C795" s="2"/>
      <c r="D795" s="2"/>
      <c r="E795" s="2"/>
      <c r="F795" s="2"/>
      <c r="G795" s="2"/>
      <c r="H795" s="3"/>
      <c r="I795" s="4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6" t="s">
        <v>237</v>
      </c>
      <c r="B796" s="2"/>
      <c r="C796" s="2"/>
      <c r="D796" s="2"/>
      <c r="E796" s="2"/>
      <c r="F796" s="2"/>
      <c r="G796" s="2"/>
      <c r="H796" s="3"/>
      <c r="I796" s="4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7" t="s">
        <v>2</v>
      </c>
      <c r="B797" s="7" t="s">
        <v>3</v>
      </c>
      <c r="C797" s="7" t="s">
        <v>4</v>
      </c>
      <c r="D797" s="7" t="s">
        <v>5</v>
      </c>
      <c r="E797" s="7" t="s">
        <v>6</v>
      </c>
      <c r="F797" s="8" t="s">
        <v>7</v>
      </c>
      <c r="G797" s="7" t="s">
        <v>8</v>
      </c>
      <c r="H797" s="9"/>
      <c r="I797" s="4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0">
        <v>1.0</v>
      </c>
      <c r="B798" s="18" t="s">
        <v>238</v>
      </c>
      <c r="C798" s="19" t="s">
        <v>239</v>
      </c>
      <c r="D798" s="13" t="s">
        <v>11</v>
      </c>
      <c r="E798" s="14">
        <v>1.5</v>
      </c>
      <c r="F798" s="15">
        <v>293000.0</v>
      </c>
      <c r="G798" s="16">
        <f t="shared" ref="G798:G800" si="54">IFERROR(E798*F798,0)</f>
        <v>439500</v>
      </c>
      <c r="H798" s="17"/>
      <c r="I798" s="4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0">
        <v>2.0</v>
      </c>
      <c r="B799" s="29" t="s">
        <v>240</v>
      </c>
      <c r="C799" s="30" t="s">
        <v>241</v>
      </c>
      <c r="D799" s="20" t="s">
        <v>13</v>
      </c>
      <c r="E799" s="21">
        <v>2.0</v>
      </c>
      <c r="F799" s="22">
        <v>435000.0</v>
      </c>
      <c r="G799" s="16">
        <f t="shared" si="54"/>
        <v>870000</v>
      </c>
      <c r="H799" s="17"/>
      <c r="I799" s="4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0">
        <v>3.0</v>
      </c>
      <c r="B800" s="23" t="s">
        <v>14</v>
      </c>
      <c r="C800" s="17"/>
      <c r="D800" s="17"/>
      <c r="E800" s="17"/>
      <c r="F800" s="17"/>
      <c r="G800" s="24">
        <f t="shared" si="54"/>
        <v>0</v>
      </c>
      <c r="H800" s="17"/>
      <c r="I800" s="4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5" t="s">
        <v>15</v>
      </c>
      <c r="B801" s="2"/>
      <c r="C801" s="2"/>
      <c r="D801" s="2"/>
      <c r="E801" s="2"/>
      <c r="F801" s="2"/>
      <c r="G801" s="3"/>
      <c r="H801" s="26">
        <f>SUM(G798:G800)</f>
        <v>1309500</v>
      </c>
      <c r="I801" s="4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5" t="s">
        <v>16</v>
      </c>
      <c r="B802" s="2"/>
      <c r="C802" s="2"/>
      <c r="D802" s="2"/>
      <c r="E802" s="2"/>
      <c r="F802" s="2"/>
      <c r="G802" s="3"/>
      <c r="H802" s="26">
        <f>MAX(0,H801-648000)</f>
        <v>661500</v>
      </c>
      <c r="I802" s="4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7" t="s">
        <v>17</v>
      </c>
      <c r="B803" s="2"/>
      <c r="C803" s="2"/>
      <c r="D803" s="2"/>
      <c r="E803" s="2"/>
      <c r="F803" s="2"/>
      <c r="G803" s="3"/>
      <c r="H803" s="28">
        <v>649000.0</v>
      </c>
      <c r="I803" s="4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" t="s">
        <v>18</v>
      </c>
      <c r="B804" s="2"/>
      <c r="C804" s="2"/>
      <c r="D804" s="2"/>
      <c r="E804" s="2"/>
      <c r="F804" s="2"/>
      <c r="G804" s="2"/>
      <c r="H804" s="3"/>
      <c r="I804" s="4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10" ht="29.25" customHeight="1">
      <c r="A810" s="1" t="s">
        <v>0</v>
      </c>
      <c r="B810" s="2"/>
      <c r="C810" s="2"/>
      <c r="D810" s="2"/>
      <c r="E810" s="2"/>
      <c r="F810" s="2"/>
      <c r="G810" s="2"/>
      <c r="H810" s="3"/>
      <c r="I810" s="4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6" t="s">
        <v>242</v>
      </c>
      <c r="B811" s="2"/>
      <c r="C811" s="2"/>
      <c r="D811" s="2"/>
      <c r="E811" s="2"/>
      <c r="F811" s="2"/>
      <c r="G811" s="2"/>
      <c r="H811" s="3"/>
      <c r="I811" s="4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7" t="s">
        <v>2</v>
      </c>
      <c r="B812" s="7" t="s">
        <v>3</v>
      </c>
      <c r="C812" s="7" t="s">
        <v>4</v>
      </c>
      <c r="D812" s="7" t="s">
        <v>5</v>
      </c>
      <c r="E812" s="7" t="s">
        <v>6</v>
      </c>
      <c r="F812" s="8" t="s">
        <v>7</v>
      </c>
      <c r="G812" s="7" t="s">
        <v>8</v>
      </c>
      <c r="H812" s="9"/>
      <c r="I812" s="4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0">
        <v>1.0</v>
      </c>
      <c r="B813" s="18" t="s">
        <v>243</v>
      </c>
      <c r="C813" s="19" t="s">
        <v>244</v>
      </c>
      <c r="D813" s="13" t="s">
        <v>11</v>
      </c>
      <c r="E813" s="14">
        <v>1.45</v>
      </c>
      <c r="F813" s="15">
        <v>293000.0</v>
      </c>
      <c r="G813" s="16">
        <f t="shared" ref="G813:G815" si="55">IFERROR(E813*F813,0)</f>
        <v>424850</v>
      </c>
      <c r="H813" s="17"/>
      <c r="I813" s="4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0">
        <v>2.0</v>
      </c>
      <c r="B814" s="29" t="s">
        <v>55</v>
      </c>
      <c r="C814" s="30" t="s">
        <v>245</v>
      </c>
      <c r="D814" s="20" t="s">
        <v>13</v>
      </c>
      <c r="E814" s="21">
        <v>2.0</v>
      </c>
      <c r="F814" s="22">
        <v>435000.0</v>
      </c>
      <c r="G814" s="16">
        <f t="shared" si="55"/>
        <v>870000</v>
      </c>
      <c r="H814" s="17"/>
      <c r="I814" s="4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0">
        <v>3.0</v>
      </c>
      <c r="B815" s="23" t="s">
        <v>14</v>
      </c>
      <c r="C815" s="17"/>
      <c r="D815" s="17"/>
      <c r="E815" s="17"/>
      <c r="F815" s="17"/>
      <c r="G815" s="24">
        <f t="shared" si="55"/>
        <v>0</v>
      </c>
      <c r="H815" s="17"/>
      <c r="I815" s="4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5" t="s">
        <v>15</v>
      </c>
      <c r="B816" s="2"/>
      <c r="C816" s="2"/>
      <c r="D816" s="2"/>
      <c r="E816" s="2"/>
      <c r="F816" s="2"/>
      <c r="G816" s="3"/>
      <c r="H816" s="26">
        <f>SUM(G813:G815)</f>
        <v>1294850</v>
      </c>
      <c r="I816" s="4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5" t="s">
        <v>16</v>
      </c>
      <c r="B817" s="2"/>
      <c r="C817" s="2"/>
      <c r="D817" s="2"/>
      <c r="E817" s="2"/>
      <c r="F817" s="2"/>
      <c r="G817" s="3"/>
      <c r="H817" s="26">
        <f>MAX(0,H816-648000)</f>
        <v>646850</v>
      </c>
      <c r="I817" s="4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7" t="s">
        <v>17</v>
      </c>
      <c r="B818" s="2"/>
      <c r="C818" s="2"/>
      <c r="D818" s="2"/>
      <c r="E818" s="2"/>
      <c r="F818" s="2"/>
      <c r="G818" s="3"/>
      <c r="H818" s="28">
        <v>649000.0</v>
      </c>
      <c r="I818" s="4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" t="s">
        <v>18</v>
      </c>
      <c r="B819" s="2"/>
      <c r="C819" s="2"/>
      <c r="D819" s="2"/>
      <c r="E819" s="2"/>
      <c r="F819" s="2"/>
      <c r="G819" s="2"/>
      <c r="H819" s="3"/>
      <c r="I819" s="4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5" ht="29.25" customHeight="1">
      <c r="A825" s="1" t="s">
        <v>0</v>
      </c>
      <c r="B825" s="2"/>
      <c r="C825" s="2"/>
      <c r="D825" s="2"/>
      <c r="E825" s="2"/>
      <c r="F825" s="2"/>
      <c r="G825" s="2"/>
      <c r="H825" s="3"/>
      <c r="I825" s="4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6" t="s">
        <v>246</v>
      </c>
      <c r="B826" s="2"/>
      <c r="C826" s="2"/>
      <c r="D826" s="2"/>
      <c r="E826" s="2"/>
      <c r="F826" s="2"/>
      <c r="G826" s="2"/>
      <c r="H826" s="3"/>
      <c r="I826" s="4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7" t="s">
        <v>2</v>
      </c>
      <c r="B827" s="7" t="s">
        <v>3</v>
      </c>
      <c r="C827" s="7" t="s">
        <v>4</v>
      </c>
      <c r="D827" s="7" t="s">
        <v>5</v>
      </c>
      <c r="E827" s="7" t="s">
        <v>6</v>
      </c>
      <c r="F827" s="8" t="s">
        <v>7</v>
      </c>
      <c r="G827" s="7" t="s">
        <v>8</v>
      </c>
      <c r="H827" s="9"/>
      <c r="I827" s="4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0">
        <v>1.0</v>
      </c>
      <c r="B828" s="18" t="s">
        <v>247</v>
      </c>
      <c r="C828" s="19" t="s">
        <v>248</v>
      </c>
      <c r="D828" s="13" t="s">
        <v>11</v>
      </c>
      <c r="E828" s="14">
        <v>1.5</v>
      </c>
      <c r="F828" s="15">
        <v>293000.0</v>
      </c>
      <c r="G828" s="16">
        <f t="shared" ref="G828:G830" si="56">IFERROR(E828*F828,0)</f>
        <v>439500</v>
      </c>
      <c r="H828" s="17"/>
      <c r="I828" s="4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0">
        <v>2.0</v>
      </c>
      <c r="B829" s="29" t="s">
        <v>249</v>
      </c>
      <c r="C829" s="30" t="s">
        <v>250</v>
      </c>
      <c r="D829" s="20" t="s">
        <v>13</v>
      </c>
      <c r="E829" s="21">
        <v>1.97</v>
      </c>
      <c r="F829" s="22">
        <v>435000.0</v>
      </c>
      <c r="G829" s="16">
        <f t="shared" si="56"/>
        <v>856950</v>
      </c>
      <c r="H829" s="17"/>
      <c r="I829" s="4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0">
        <v>3.0</v>
      </c>
      <c r="B830" s="23" t="s">
        <v>14</v>
      </c>
      <c r="C830" s="17"/>
      <c r="D830" s="17"/>
      <c r="E830" s="17"/>
      <c r="F830" s="17"/>
      <c r="G830" s="24">
        <f t="shared" si="56"/>
        <v>0</v>
      </c>
      <c r="H830" s="17"/>
      <c r="I830" s="4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5" t="s">
        <v>15</v>
      </c>
      <c r="B831" s="2"/>
      <c r="C831" s="2"/>
      <c r="D831" s="2"/>
      <c r="E831" s="2"/>
      <c r="F831" s="2"/>
      <c r="G831" s="3"/>
      <c r="H831" s="26">
        <f>SUM(G828:G830)</f>
        <v>1296450</v>
      </c>
      <c r="I831" s="4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5" t="s">
        <v>16</v>
      </c>
      <c r="B832" s="2"/>
      <c r="C832" s="2"/>
      <c r="D832" s="2"/>
      <c r="E832" s="2"/>
      <c r="F832" s="2"/>
      <c r="G832" s="3"/>
      <c r="H832" s="26">
        <f>MAX(0,H831-648000)</f>
        <v>648450</v>
      </c>
      <c r="I832" s="4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7" t="s">
        <v>17</v>
      </c>
      <c r="B833" s="2"/>
      <c r="C833" s="2"/>
      <c r="D833" s="2"/>
      <c r="E833" s="2"/>
      <c r="F833" s="2"/>
      <c r="G833" s="3"/>
      <c r="H833" s="28">
        <v>649000.0</v>
      </c>
      <c r="I833" s="4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" t="s">
        <v>18</v>
      </c>
      <c r="B834" s="2"/>
      <c r="C834" s="2"/>
      <c r="D834" s="2"/>
      <c r="E834" s="2"/>
      <c r="F834" s="2"/>
      <c r="G834" s="2"/>
      <c r="H834" s="3"/>
      <c r="I834" s="4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41" ht="29.25" customHeight="1">
      <c r="A841" s="1" t="s">
        <v>0</v>
      </c>
      <c r="B841" s="2"/>
      <c r="C841" s="2"/>
      <c r="D841" s="2"/>
      <c r="E841" s="2"/>
      <c r="F841" s="2"/>
      <c r="G841" s="2"/>
      <c r="H841" s="3"/>
      <c r="I841" s="4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6" t="s">
        <v>251</v>
      </c>
      <c r="B842" s="2"/>
      <c r="C842" s="2"/>
      <c r="D842" s="2"/>
      <c r="E842" s="2"/>
      <c r="F842" s="2"/>
      <c r="G842" s="2"/>
      <c r="H842" s="3"/>
      <c r="I842" s="4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7" t="s">
        <v>2</v>
      </c>
      <c r="B843" s="7" t="s">
        <v>3</v>
      </c>
      <c r="C843" s="7" t="s">
        <v>4</v>
      </c>
      <c r="D843" s="7" t="s">
        <v>5</v>
      </c>
      <c r="E843" s="7" t="s">
        <v>6</v>
      </c>
      <c r="F843" s="8" t="s">
        <v>7</v>
      </c>
      <c r="G843" s="7" t="s">
        <v>8</v>
      </c>
      <c r="H843" s="9"/>
      <c r="I843" s="4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0">
        <v>1.0</v>
      </c>
      <c r="B844" s="18" t="s">
        <v>74</v>
      </c>
      <c r="C844" s="19" t="s">
        <v>149</v>
      </c>
      <c r="D844" s="13" t="s">
        <v>11</v>
      </c>
      <c r="E844" s="14">
        <v>2.0</v>
      </c>
      <c r="F844" s="15">
        <v>293000.0</v>
      </c>
      <c r="G844" s="16">
        <f t="shared" ref="G844:G846" si="57">IFERROR(E844*F844,0)</f>
        <v>586000</v>
      </c>
      <c r="H844" s="17"/>
      <c r="I844" s="4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0">
        <v>2.0</v>
      </c>
      <c r="B845" s="29" t="s">
        <v>41</v>
      </c>
      <c r="C845" s="30" t="s">
        <v>252</v>
      </c>
      <c r="D845" s="20" t="s">
        <v>13</v>
      </c>
      <c r="E845" s="21">
        <v>1.51</v>
      </c>
      <c r="F845" s="22">
        <v>435000.0</v>
      </c>
      <c r="G845" s="16">
        <f t="shared" si="57"/>
        <v>656850</v>
      </c>
      <c r="H845" s="17"/>
      <c r="I845" s="4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0">
        <v>3.0</v>
      </c>
      <c r="B846" s="23" t="s">
        <v>14</v>
      </c>
      <c r="C846" s="17"/>
      <c r="D846" s="17"/>
      <c r="E846" s="17"/>
      <c r="F846" s="17"/>
      <c r="G846" s="24">
        <f t="shared" si="57"/>
        <v>0</v>
      </c>
      <c r="H846" s="17"/>
      <c r="I846" s="4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5" t="s">
        <v>15</v>
      </c>
      <c r="B847" s="2"/>
      <c r="C847" s="2"/>
      <c r="D847" s="2"/>
      <c r="E847" s="2"/>
      <c r="F847" s="2"/>
      <c r="G847" s="3"/>
      <c r="H847" s="26">
        <f>SUM(G844:G846)</f>
        <v>1242850</v>
      </c>
      <c r="I847" s="4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5" t="s">
        <v>16</v>
      </c>
      <c r="B848" s="2"/>
      <c r="C848" s="2"/>
      <c r="D848" s="2"/>
      <c r="E848" s="2"/>
      <c r="F848" s="2"/>
      <c r="G848" s="3"/>
      <c r="H848" s="26">
        <f>MAX(0,H847-648000)</f>
        <v>594850</v>
      </c>
      <c r="I848" s="4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7" t="s">
        <v>17</v>
      </c>
      <c r="B849" s="2"/>
      <c r="C849" s="2"/>
      <c r="D849" s="2"/>
      <c r="E849" s="2"/>
      <c r="F849" s="2"/>
      <c r="G849" s="3"/>
      <c r="H849" s="28">
        <v>649000.0</v>
      </c>
      <c r="I849" s="4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" t="s">
        <v>18</v>
      </c>
      <c r="B850" s="2"/>
      <c r="C850" s="2"/>
      <c r="D850" s="2"/>
      <c r="E850" s="2"/>
      <c r="F850" s="2"/>
      <c r="G850" s="2"/>
      <c r="H850" s="3"/>
      <c r="I850" s="4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5" ht="29.25" customHeight="1">
      <c r="A855" s="1" t="s">
        <v>0</v>
      </c>
      <c r="B855" s="2"/>
      <c r="C855" s="2"/>
      <c r="D855" s="2"/>
      <c r="E855" s="2"/>
      <c r="F855" s="2"/>
      <c r="G855" s="2"/>
      <c r="H855" s="3"/>
      <c r="I855" s="4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6" t="s">
        <v>253</v>
      </c>
      <c r="B856" s="2"/>
      <c r="C856" s="2"/>
      <c r="D856" s="2"/>
      <c r="E856" s="2"/>
      <c r="F856" s="2"/>
      <c r="G856" s="2"/>
      <c r="H856" s="3"/>
      <c r="I856" s="4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7" t="s">
        <v>2</v>
      </c>
      <c r="B857" s="7" t="s">
        <v>3</v>
      </c>
      <c r="C857" s="7" t="s">
        <v>4</v>
      </c>
      <c r="D857" s="7" t="s">
        <v>5</v>
      </c>
      <c r="E857" s="7" t="s">
        <v>6</v>
      </c>
      <c r="F857" s="8" t="s">
        <v>7</v>
      </c>
      <c r="G857" s="7" t="s">
        <v>8</v>
      </c>
      <c r="H857" s="9"/>
      <c r="I857" s="4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0">
        <v>1.0</v>
      </c>
      <c r="B858" s="18" t="s">
        <v>254</v>
      </c>
      <c r="C858" s="19" t="s">
        <v>255</v>
      </c>
      <c r="D858" s="13" t="s">
        <v>11</v>
      </c>
      <c r="E858" s="14">
        <v>2.5</v>
      </c>
      <c r="F858" s="15">
        <v>293000.0</v>
      </c>
      <c r="G858" s="16">
        <f t="shared" ref="G858:G860" si="58">IFERROR(E858*F858,0)</f>
        <v>732500</v>
      </c>
      <c r="H858" s="17"/>
      <c r="I858" s="4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0">
        <v>2.0</v>
      </c>
      <c r="B859" s="29" t="s">
        <v>12</v>
      </c>
      <c r="C859" s="30" t="s">
        <v>256</v>
      </c>
      <c r="D859" s="20" t="s">
        <v>13</v>
      </c>
      <c r="E859" s="21">
        <v>1.0</v>
      </c>
      <c r="F859" s="22">
        <v>435000.0</v>
      </c>
      <c r="G859" s="16">
        <f t="shared" si="58"/>
        <v>435000</v>
      </c>
      <c r="H859" s="17"/>
      <c r="I859" s="4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0">
        <v>3.0</v>
      </c>
      <c r="B860" s="23" t="s">
        <v>14</v>
      </c>
      <c r="C860" s="17"/>
      <c r="D860" s="17"/>
      <c r="E860" s="17"/>
      <c r="F860" s="17"/>
      <c r="G860" s="24">
        <f t="shared" si="58"/>
        <v>0</v>
      </c>
      <c r="H860" s="17"/>
      <c r="I860" s="4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5" t="s">
        <v>15</v>
      </c>
      <c r="B861" s="2"/>
      <c r="C861" s="2"/>
      <c r="D861" s="2"/>
      <c r="E861" s="2"/>
      <c r="F861" s="2"/>
      <c r="G861" s="3"/>
      <c r="H861" s="26">
        <f>SUM(G858:G860)</f>
        <v>1167500</v>
      </c>
      <c r="I861" s="4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5" t="s">
        <v>16</v>
      </c>
      <c r="B862" s="2"/>
      <c r="C862" s="2"/>
      <c r="D862" s="2"/>
      <c r="E862" s="2"/>
      <c r="F862" s="2"/>
      <c r="G862" s="3"/>
      <c r="H862" s="26">
        <f>MAX(0,H861-648000)</f>
        <v>519500</v>
      </c>
      <c r="I862" s="4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7" t="s">
        <v>17</v>
      </c>
      <c r="B863" s="2"/>
      <c r="C863" s="2"/>
      <c r="D863" s="2"/>
      <c r="E863" s="2"/>
      <c r="F863" s="2"/>
      <c r="G863" s="3"/>
      <c r="H863" s="28">
        <v>649000.0</v>
      </c>
      <c r="I863" s="4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" t="s">
        <v>18</v>
      </c>
      <c r="B864" s="2"/>
      <c r="C864" s="2"/>
      <c r="D864" s="2"/>
      <c r="E864" s="2"/>
      <c r="F864" s="2"/>
      <c r="G864" s="2"/>
      <c r="H864" s="3"/>
      <c r="I864" s="4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70" ht="29.25" customHeight="1">
      <c r="A870" s="1" t="s">
        <v>0</v>
      </c>
      <c r="B870" s="2"/>
      <c r="C870" s="2"/>
      <c r="D870" s="2"/>
      <c r="E870" s="2"/>
      <c r="F870" s="2"/>
      <c r="G870" s="2"/>
      <c r="H870" s="3"/>
      <c r="I870" s="4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6" t="s">
        <v>257</v>
      </c>
      <c r="B871" s="2"/>
      <c r="C871" s="2"/>
      <c r="D871" s="2"/>
      <c r="E871" s="2"/>
      <c r="F871" s="2"/>
      <c r="G871" s="2"/>
      <c r="H871" s="3"/>
      <c r="I871" s="4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7" t="s">
        <v>2</v>
      </c>
      <c r="B872" s="7" t="s">
        <v>3</v>
      </c>
      <c r="C872" s="7" t="s">
        <v>4</v>
      </c>
      <c r="D872" s="7" t="s">
        <v>5</v>
      </c>
      <c r="E872" s="7" t="s">
        <v>6</v>
      </c>
      <c r="F872" s="8" t="s">
        <v>7</v>
      </c>
      <c r="G872" s="7" t="s">
        <v>8</v>
      </c>
      <c r="H872" s="9"/>
      <c r="I872" s="4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0">
        <v>1.0</v>
      </c>
      <c r="B873" s="18" t="s">
        <v>258</v>
      </c>
      <c r="C873" s="19" t="s">
        <v>259</v>
      </c>
      <c r="D873" s="13" t="s">
        <v>11</v>
      </c>
      <c r="E873" s="14">
        <v>2.5</v>
      </c>
      <c r="F873" s="15">
        <v>293000.0</v>
      </c>
      <c r="G873" s="16">
        <f t="shared" ref="G873:G875" si="59">IFERROR(E873*F873,0)</f>
        <v>732500</v>
      </c>
      <c r="H873" s="17"/>
      <c r="I873" s="4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0">
        <v>2.0</v>
      </c>
      <c r="B874" s="29" t="s">
        <v>260</v>
      </c>
      <c r="C874" s="30" t="s">
        <v>261</v>
      </c>
      <c r="D874" s="20" t="s">
        <v>13</v>
      </c>
      <c r="E874" s="21">
        <v>1.0</v>
      </c>
      <c r="F874" s="22">
        <v>435000.0</v>
      </c>
      <c r="G874" s="16">
        <f t="shared" si="59"/>
        <v>435000</v>
      </c>
      <c r="H874" s="17"/>
      <c r="I874" s="4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0">
        <v>3.0</v>
      </c>
      <c r="B875" s="23" t="s">
        <v>14</v>
      </c>
      <c r="C875" s="17"/>
      <c r="D875" s="17"/>
      <c r="E875" s="17"/>
      <c r="F875" s="17"/>
      <c r="G875" s="24">
        <f t="shared" si="59"/>
        <v>0</v>
      </c>
      <c r="H875" s="17"/>
      <c r="I875" s="4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5" t="s">
        <v>15</v>
      </c>
      <c r="B876" s="2"/>
      <c r="C876" s="2"/>
      <c r="D876" s="2"/>
      <c r="E876" s="2"/>
      <c r="F876" s="2"/>
      <c r="G876" s="3"/>
      <c r="H876" s="26">
        <f>SUM(G873:G875)</f>
        <v>1167500</v>
      </c>
      <c r="I876" s="4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5" t="s">
        <v>16</v>
      </c>
      <c r="B877" s="2"/>
      <c r="C877" s="2"/>
      <c r="D877" s="2"/>
      <c r="E877" s="2"/>
      <c r="F877" s="2"/>
      <c r="G877" s="3"/>
      <c r="H877" s="26">
        <f>MAX(0,H876-648000)</f>
        <v>519500</v>
      </c>
      <c r="I877" s="4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7" t="s">
        <v>17</v>
      </c>
      <c r="B878" s="2"/>
      <c r="C878" s="2"/>
      <c r="D878" s="2"/>
      <c r="E878" s="2"/>
      <c r="F878" s="2"/>
      <c r="G878" s="3"/>
      <c r="H878" s="28">
        <v>649000.0</v>
      </c>
      <c r="I878" s="4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" t="s">
        <v>18</v>
      </c>
      <c r="B879" s="2"/>
      <c r="C879" s="2"/>
      <c r="D879" s="2"/>
      <c r="E879" s="2"/>
      <c r="F879" s="2"/>
      <c r="G879" s="2"/>
      <c r="H879" s="3"/>
      <c r="I879" s="4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4" ht="29.25" customHeight="1">
      <c r="A884" s="1" t="s">
        <v>0</v>
      </c>
      <c r="B884" s="2"/>
      <c r="C884" s="2"/>
      <c r="D884" s="2"/>
      <c r="E884" s="2"/>
      <c r="F884" s="2"/>
      <c r="G884" s="2"/>
      <c r="H884" s="3"/>
      <c r="I884" s="4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6" t="s">
        <v>262</v>
      </c>
      <c r="B885" s="2"/>
      <c r="C885" s="2"/>
      <c r="D885" s="2"/>
      <c r="E885" s="2"/>
      <c r="F885" s="2"/>
      <c r="G885" s="2"/>
      <c r="H885" s="3"/>
      <c r="I885" s="4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7" t="s">
        <v>2</v>
      </c>
      <c r="B886" s="7" t="s">
        <v>3</v>
      </c>
      <c r="C886" s="7" t="s">
        <v>4</v>
      </c>
      <c r="D886" s="7" t="s">
        <v>5</v>
      </c>
      <c r="E886" s="7" t="s">
        <v>6</v>
      </c>
      <c r="F886" s="8" t="s">
        <v>7</v>
      </c>
      <c r="G886" s="7" t="s">
        <v>8</v>
      </c>
      <c r="H886" s="9"/>
      <c r="I886" s="4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0">
        <v>1.0</v>
      </c>
      <c r="B887" s="18" t="s">
        <v>263</v>
      </c>
      <c r="C887" s="19" t="s">
        <v>264</v>
      </c>
      <c r="D887" s="13" t="s">
        <v>11</v>
      </c>
      <c r="E887" s="14">
        <v>2.07</v>
      </c>
      <c r="F887" s="15">
        <v>293000.0</v>
      </c>
      <c r="G887" s="16">
        <f t="shared" ref="G887:G889" si="60">IFERROR(E887*F887,0)</f>
        <v>606510</v>
      </c>
      <c r="H887" s="17"/>
      <c r="I887" s="4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0">
        <v>2.0</v>
      </c>
      <c r="B888" s="29" t="s">
        <v>265</v>
      </c>
      <c r="C888" s="30" t="s">
        <v>266</v>
      </c>
      <c r="D888" s="20" t="s">
        <v>13</v>
      </c>
      <c r="E888" s="21">
        <v>1.7</v>
      </c>
      <c r="F888" s="22">
        <v>435000.0</v>
      </c>
      <c r="G888" s="16">
        <f t="shared" si="60"/>
        <v>739500</v>
      </c>
      <c r="H888" s="17"/>
      <c r="I888" s="4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0">
        <v>3.0</v>
      </c>
      <c r="B889" s="23" t="s">
        <v>14</v>
      </c>
      <c r="C889" s="17"/>
      <c r="D889" s="17"/>
      <c r="E889" s="17"/>
      <c r="F889" s="17"/>
      <c r="G889" s="24">
        <f t="shared" si="60"/>
        <v>0</v>
      </c>
      <c r="H889" s="17"/>
      <c r="I889" s="4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5" t="s">
        <v>15</v>
      </c>
      <c r="B890" s="2"/>
      <c r="C890" s="2"/>
      <c r="D890" s="2"/>
      <c r="E890" s="2"/>
      <c r="F890" s="2"/>
      <c r="G890" s="3"/>
      <c r="H890" s="26">
        <f>SUM(G887:G889)</f>
        <v>1346010</v>
      </c>
      <c r="I890" s="4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5" t="s">
        <v>16</v>
      </c>
      <c r="B891" s="2"/>
      <c r="C891" s="2"/>
      <c r="D891" s="2"/>
      <c r="E891" s="2"/>
      <c r="F891" s="2"/>
      <c r="G891" s="3"/>
      <c r="H891" s="26">
        <f>MAX(0,H890-648000)</f>
        <v>698010</v>
      </c>
      <c r="I891" s="4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7" t="s">
        <v>17</v>
      </c>
      <c r="B892" s="2"/>
      <c r="C892" s="2"/>
      <c r="D892" s="2"/>
      <c r="E892" s="2"/>
      <c r="F892" s="2"/>
      <c r="G892" s="3"/>
      <c r="H892" s="28">
        <v>649000.0</v>
      </c>
      <c r="I892" s="4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" t="s">
        <v>18</v>
      </c>
      <c r="B893" s="2"/>
      <c r="C893" s="2"/>
      <c r="D893" s="2"/>
      <c r="E893" s="2"/>
      <c r="F893" s="2"/>
      <c r="G893" s="2"/>
      <c r="H893" s="3"/>
      <c r="I893" s="4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8" ht="29.25" customHeight="1">
      <c r="A898" s="1" t="s">
        <v>0</v>
      </c>
      <c r="B898" s="2"/>
      <c r="C898" s="2"/>
      <c r="D898" s="2"/>
      <c r="E898" s="2"/>
      <c r="F898" s="2"/>
      <c r="G898" s="2"/>
      <c r="H898" s="3"/>
      <c r="I898" s="4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6" t="s">
        <v>267</v>
      </c>
      <c r="B899" s="2"/>
      <c r="C899" s="2"/>
      <c r="D899" s="2"/>
      <c r="E899" s="2"/>
      <c r="F899" s="2"/>
      <c r="G899" s="2"/>
      <c r="H899" s="3"/>
      <c r="I899" s="4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7" t="s">
        <v>2</v>
      </c>
      <c r="B900" s="7" t="s">
        <v>3</v>
      </c>
      <c r="C900" s="7" t="s">
        <v>4</v>
      </c>
      <c r="D900" s="7" t="s">
        <v>5</v>
      </c>
      <c r="E900" s="7" t="s">
        <v>6</v>
      </c>
      <c r="F900" s="8" t="s">
        <v>7</v>
      </c>
      <c r="G900" s="7" t="s">
        <v>8</v>
      </c>
      <c r="H900" s="9"/>
      <c r="I900" s="4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0">
        <v>1.0</v>
      </c>
      <c r="B901" s="18" t="s">
        <v>238</v>
      </c>
      <c r="C901" s="19" t="s">
        <v>268</v>
      </c>
      <c r="D901" s="13" t="s">
        <v>11</v>
      </c>
      <c r="E901" s="14">
        <v>1.17</v>
      </c>
      <c r="F901" s="15">
        <v>293000.0</v>
      </c>
      <c r="G901" s="16">
        <f t="shared" ref="G901:G903" si="61">IFERROR(E901*F901,0)</f>
        <v>342810</v>
      </c>
      <c r="H901" s="17"/>
      <c r="I901" s="4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0">
        <v>2.0</v>
      </c>
      <c r="B902" s="29" t="s">
        <v>269</v>
      </c>
      <c r="C902" s="30" t="s">
        <v>115</v>
      </c>
      <c r="D902" s="20" t="s">
        <v>13</v>
      </c>
      <c r="E902" s="21">
        <v>2.35</v>
      </c>
      <c r="F902" s="22">
        <v>435000.0</v>
      </c>
      <c r="G902" s="16">
        <f t="shared" si="61"/>
        <v>1022250</v>
      </c>
      <c r="H902" s="17"/>
      <c r="I902" s="4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0">
        <v>3.0</v>
      </c>
      <c r="B903" s="23" t="s">
        <v>14</v>
      </c>
      <c r="C903" s="17"/>
      <c r="D903" s="17"/>
      <c r="E903" s="17"/>
      <c r="F903" s="17"/>
      <c r="G903" s="24">
        <f t="shared" si="61"/>
        <v>0</v>
      </c>
      <c r="H903" s="17"/>
      <c r="I903" s="4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5" t="s">
        <v>15</v>
      </c>
      <c r="B904" s="2"/>
      <c r="C904" s="2"/>
      <c r="D904" s="2"/>
      <c r="E904" s="2"/>
      <c r="F904" s="2"/>
      <c r="G904" s="3"/>
      <c r="H904" s="26">
        <f>SUM(G901:G903)</f>
        <v>1365060</v>
      </c>
      <c r="I904" s="4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5" t="s">
        <v>16</v>
      </c>
      <c r="B905" s="2"/>
      <c r="C905" s="2"/>
      <c r="D905" s="2"/>
      <c r="E905" s="2"/>
      <c r="F905" s="2"/>
      <c r="G905" s="3"/>
      <c r="H905" s="26">
        <f>MAX(0,H904-648000)</f>
        <v>717060</v>
      </c>
      <c r="I905" s="4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7" t="s">
        <v>17</v>
      </c>
      <c r="B906" s="2"/>
      <c r="C906" s="2"/>
      <c r="D906" s="2"/>
      <c r="E906" s="2"/>
      <c r="F906" s="2"/>
      <c r="G906" s="3"/>
      <c r="H906" s="28">
        <v>649000.0</v>
      </c>
      <c r="I906" s="4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" t="s">
        <v>18</v>
      </c>
      <c r="B907" s="2"/>
      <c r="C907" s="2"/>
      <c r="D907" s="2"/>
      <c r="E907" s="2"/>
      <c r="F907" s="2"/>
      <c r="G907" s="2"/>
      <c r="H907" s="3"/>
      <c r="I907" s="4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13" ht="29.25" customHeight="1">
      <c r="A913" s="1" t="s">
        <v>0</v>
      </c>
      <c r="B913" s="2"/>
      <c r="C913" s="2"/>
      <c r="D913" s="2"/>
      <c r="E913" s="2"/>
      <c r="F913" s="2"/>
      <c r="G913" s="2"/>
      <c r="H913" s="3"/>
      <c r="I913" s="4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6" t="s">
        <v>270</v>
      </c>
      <c r="B914" s="2"/>
      <c r="C914" s="2"/>
      <c r="D914" s="2"/>
      <c r="E914" s="2"/>
      <c r="F914" s="2"/>
      <c r="G914" s="2"/>
      <c r="H914" s="3"/>
      <c r="I914" s="4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7" t="s">
        <v>2</v>
      </c>
      <c r="B915" s="7" t="s">
        <v>3</v>
      </c>
      <c r="C915" s="7" t="s">
        <v>4</v>
      </c>
      <c r="D915" s="7" t="s">
        <v>5</v>
      </c>
      <c r="E915" s="7" t="s">
        <v>6</v>
      </c>
      <c r="F915" s="8" t="s">
        <v>7</v>
      </c>
      <c r="G915" s="7" t="s">
        <v>8</v>
      </c>
      <c r="H915" s="9"/>
      <c r="I915" s="4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0">
        <v>1.0</v>
      </c>
      <c r="B916" s="18" t="s">
        <v>94</v>
      </c>
      <c r="C916" s="19" t="s">
        <v>271</v>
      </c>
      <c r="D916" s="13" t="s">
        <v>11</v>
      </c>
      <c r="E916" s="14">
        <v>2.7</v>
      </c>
      <c r="F916" s="15">
        <v>293000.0</v>
      </c>
      <c r="G916" s="16">
        <f t="shared" ref="G916:G918" si="62">IFERROR(E916*F916,0)</f>
        <v>791100</v>
      </c>
      <c r="H916" s="17"/>
      <c r="I916" s="4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0">
        <v>2.0</v>
      </c>
      <c r="B917" s="29" t="s">
        <v>22</v>
      </c>
      <c r="C917" s="30" t="s">
        <v>272</v>
      </c>
      <c r="D917" s="20" t="s">
        <v>13</v>
      </c>
      <c r="E917" s="21">
        <v>0.88</v>
      </c>
      <c r="F917" s="22">
        <v>435000.0</v>
      </c>
      <c r="G917" s="16">
        <f t="shared" si="62"/>
        <v>382800</v>
      </c>
      <c r="H917" s="17"/>
      <c r="I917" s="4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0">
        <v>3.0</v>
      </c>
      <c r="B918" s="23" t="s">
        <v>14</v>
      </c>
      <c r="C918" s="17"/>
      <c r="D918" s="17"/>
      <c r="E918" s="17"/>
      <c r="F918" s="17"/>
      <c r="G918" s="24">
        <f t="shared" si="62"/>
        <v>0</v>
      </c>
      <c r="H918" s="17"/>
      <c r="I918" s="4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5" t="s">
        <v>15</v>
      </c>
      <c r="B919" s="2"/>
      <c r="C919" s="2"/>
      <c r="D919" s="2"/>
      <c r="E919" s="2"/>
      <c r="F919" s="2"/>
      <c r="G919" s="3"/>
      <c r="H919" s="26">
        <f>SUM(G916:G918)</f>
        <v>1173900</v>
      </c>
      <c r="I919" s="4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5" t="s">
        <v>16</v>
      </c>
      <c r="B920" s="2"/>
      <c r="C920" s="2"/>
      <c r="D920" s="2"/>
      <c r="E920" s="2"/>
      <c r="F920" s="2"/>
      <c r="G920" s="3"/>
      <c r="H920" s="26">
        <f>MAX(0,H919-648000)</f>
        <v>525900</v>
      </c>
      <c r="I920" s="4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7" t="s">
        <v>17</v>
      </c>
      <c r="B921" s="2"/>
      <c r="C921" s="2"/>
      <c r="D921" s="2"/>
      <c r="E921" s="2"/>
      <c r="F921" s="2"/>
      <c r="G921" s="3"/>
      <c r="H921" s="28">
        <v>649000.0</v>
      </c>
      <c r="I921" s="4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" t="s">
        <v>18</v>
      </c>
      <c r="B922" s="2"/>
      <c r="C922" s="2"/>
      <c r="D922" s="2"/>
      <c r="E922" s="2"/>
      <c r="F922" s="2"/>
      <c r="G922" s="2"/>
      <c r="H922" s="3"/>
      <c r="I922" s="4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8" ht="29.25" customHeight="1">
      <c r="A928" s="1" t="s">
        <v>0</v>
      </c>
      <c r="B928" s="2"/>
      <c r="C928" s="2"/>
      <c r="D928" s="2"/>
      <c r="E928" s="2"/>
      <c r="F928" s="2"/>
      <c r="G928" s="2"/>
      <c r="H928" s="3"/>
      <c r="I928" s="4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6" t="s">
        <v>273</v>
      </c>
      <c r="B929" s="2"/>
      <c r="C929" s="2"/>
      <c r="D929" s="2"/>
      <c r="E929" s="2"/>
      <c r="F929" s="2"/>
      <c r="G929" s="2"/>
      <c r="H929" s="3"/>
      <c r="I929" s="4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7" t="s">
        <v>2</v>
      </c>
      <c r="B930" s="7" t="s">
        <v>3</v>
      </c>
      <c r="C930" s="7" t="s">
        <v>4</v>
      </c>
      <c r="D930" s="7" t="s">
        <v>5</v>
      </c>
      <c r="E930" s="7" t="s">
        <v>6</v>
      </c>
      <c r="F930" s="8" t="s">
        <v>7</v>
      </c>
      <c r="G930" s="7" t="s">
        <v>8</v>
      </c>
      <c r="H930" s="9"/>
      <c r="I930" s="4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0">
        <v>1.0</v>
      </c>
      <c r="B931" s="18" t="s">
        <v>41</v>
      </c>
      <c r="C931" s="19" t="s">
        <v>274</v>
      </c>
      <c r="D931" s="13" t="s">
        <v>11</v>
      </c>
      <c r="E931" s="14">
        <v>2.05</v>
      </c>
      <c r="F931" s="15">
        <v>293000.0</v>
      </c>
      <c r="G931" s="16">
        <f t="shared" ref="G931:G933" si="63">IFERROR(E931*F931,0)</f>
        <v>600650</v>
      </c>
      <c r="H931" s="17"/>
      <c r="I931" s="4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10">
        <v>2.0</v>
      </c>
      <c r="B932" s="29" t="s">
        <v>27</v>
      </c>
      <c r="C932" s="30" t="s">
        <v>275</v>
      </c>
      <c r="D932" s="20" t="s">
        <v>13</v>
      </c>
      <c r="E932" s="21">
        <v>1.5</v>
      </c>
      <c r="F932" s="22">
        <v>435000.0</v>
      </c>
      <c r="G932" s="16">
        <f t="shared" si="63"/>
        <v>652500</v>
      </c>
      <c r="H932" s="17"/>
      <c r="I932" s="4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0">
        <v>3.0</v>
      </c>
      <c r="B933" s="23" t="s">
        <v>14</v>
      </c>
      <c r="C933" s="17"/>
      <c r="D933" s="17"/>
      <c r="E933" s="17"/>
      <c r="F933" s="17"/>
      <c r="G933" s="24">
        <f t="shared" si="63"/>
        <v>0</v>
      </c>
      <c r="H933" s="17"/>
      <c r="I933" s="4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5" t="s">
        <v>15</v>
      </c>
      <c r="B934" s="2"/>
      <c r="C934" s="2"/>
      <c r="D934" s="2"/>
      <c r="E934" s="2"/>
      <c r="F934" s="2"/>
      <c r="G934" s="3"/>
      <c r="H934" s="26">
        <f>SUM(G931:G933)</f>
        <v>1253150</v>
      </c>
      <c r="I934" s="4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5" t="s">
        <v>16</v>
      </c>
      <c r="B935" s="2"/>
      <c r="C935" s="2"/>
      <c r="D935" s="2"/>
      <c r="E935" s="2"/>
      <c r="F935" s="2"/>
      <c r="G935" s="3"/>
      <c r="H935" s="26">
        <f>MAX(0,H934-648000)</f>
        <v>605150</v>
      </c>
      <c r="I935" s="4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7" t="s">
        <v>17</v>
      </c>
      <c r="B936" s="2"/>
      <c r="C936" s="2"/>
      <c r="D936" s="2"/>
      <c r="E936" s="2"/>
      <c r="F936" s="2"/>
      <c r="G936" s="3"/>
      <c r="H936" s="28">
        <v>649000.0</v>
      </c>
      <c r="I936" s="4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" t="s">
        <v>18</v>
      </c>
      <c r="B937" s="2"/>
      <c r="C937" s="2"/>
      <c r="D937" s="2"/>
      <c r="E937" s="2"/>
      <c r="F937" s="2"/>
      <c r="G937" s="2"/>
      <c r="H937" s="3"/>
      <c r="I937" s="4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44" ht="29.25" customHeight="1">
      <c r="A944" s="1" t="s">
        <v>0</v>
      </c>
      <c r="B944" s="2"/>
      <c r="C944" s="2"/>
      <c r="D944" s="2"/>
      <c r="E944" s="2"/>
      <c r="F944" s="2"/>
      <c r="G944" s="2"/>
      <c r="H944" s="3"/>
      <c r="I944" s="4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6" t="s">
        <v>276</v>
      </c>
      <c r="B945" s="2"/>
      <c r="C945" s="2"/>
      <c r="D945" s="2"/>
      <c r="E945" s="2"/>
      <c r="F945" s="2"/>
      <c r="G945" s="2"/>
      <c r="H945" s="3"/>
      <c r="I945" s="4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7" t="s">
        <v>2</v>
      </c>
      <c r="B946" s="7" t="s">
        <v>3</v>
      </c>
      <c r="C946" s="7" t="s">
        <v>4</v>
      </c>
      <c r="D946" s="7" t="s">
        <v>5</v>
      </c>
      <c r="E946" s="7" t="s">
        <v>6</v>
      </c>
      <c r="F946" s="8" t="s">
        <v>7</v>
      </c>
      <c r="G946" s="7" t="s">
        <v>8</v>
      </c>
      <c r="H946" s="9"/>
      <c r="I946" s="4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10">
        <v>1.0</v>
      </c>
      <c r="B947" s="18" t="s">
        <v>277</v>
      </c>
      <c r="C947" s="19" t="s">
        <v>278</v>
      </c>
      <c r="D947" s="13" t="s">
        <v>11</v>
      </c>
      <c r="E947" s="14">
        <v>2.0</v>
      </c>
      <c r="F947" s="15">
        <v>293000.0</v>
      </c>
      <c r="G947" s="16">
        <f t="shared" ref="G947:G949" si="64">IFERROR(E947*F947,0)</f>
        <v>586000</v>
      </c>
      <c r="H947" s="17"/>
      <c r="I947" s="4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0">
        <v>2.0</v>
      </c>
      <c r="B948" s="29" t="s">
        <v>279</v>
      </c>
      <c r="C948" s="30" t="s">
        <v>280</v>
      </c>
      <c r="D948" s="20" t="s">
        <v>13</v>
      </c>
      <c r="E948" s="21">
        <v>1.6</v>
      </c>
      <c r="F948" s="22">
        <v>435000.0</v>
      </c>
      <c r="G948" s="16">
        <f t="shared" si="64"/>
        <v>696000</v>
      </c>
      <c r="H948" s="17"/>
      <c r="I948" s="4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0">
        <v>3.0</v>
      </c>
      <c r="B949" s="23" t="s">
        <v>14</v>
      </c>
      <c r="C949" s="17"/>
      <c r="D949" s="17"/>
      <c r="E949" s="17"/>
      <c r="F949" s="17"/>
      <c r="G949" s="24">
        <f t="shared" si="64"/>
        <v>0</v>
      </c>
      <c r="H949" s="17"/>
      <c r="I949" s="4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5" t="s">
        <v>15</v>
      </c>
      <c r="B950" s="2"/>
      <c r="C950" s="2"/>
      <c r="D950" s="2"/>
      <c r="E950" s="2"/>
      <c r="F950" s="2"/>
      <c r="G950" s="3"/>
      <c r="H950" s="26">
        <f>SUM(G947:G949)</f>
        <v>1282000</v>
      </c>
      <c r="I950" s="4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5" t="s">
        <v>16</v>
      </c>
      <c r="B951" s="2"/>
      <c r="C951" s="2"/>
      <c r="D951" s="2"/>
      <c r="E951" s="2"/>
      <c r="F951" s="2"/>
      <c r="G951" s="3"/>
      <c r="H951" s="26">
        <f>MAX(0,H950-648000)</f>
        <v>634000</v>
      </c>
      <c r="I951" s="4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7" t="s">
        <v>17</v>
      </c>
      <c r="B952" s="2"/>
      <c r="C952" s="2"/>
      <c r="D952" s="2"/>
      <c r="E952" s="2"/>
      <c r="F952" s="2"/>
      <c r="G952" s="3"/>
      <c r="H952" s="28">
        <v>649000.0</v>
      </c>
      <c r="I952" s="4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1" t="s">
        <v>18</v>
      </c>
      <c r="B953" s="2"/>
      <c r="C953" s="2"/>
      <c r="D953" s="2"/>
      <c r="E953" s="2"/>
      <c r="F953" s="2"/>
      <c r="G953" s="2"/>
      <c r="H953" s="3"/>
      <c r="I953" s="4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61" ht="29.25" customHeight="1">
      <c r="A961" s="1" t="s">
        <v>0</v>
      </c>
      <c r="B961" s="2"/>
      <c r="C961" s="2"/>
      <c r="D961" s="2"/>
      <c r="E961" s="2"/>
      <c r="F961" s="2"/>
      <c r="G961" s="2"/>
      <c r="H961" s="3"/>
      <c r="I961" s="4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6" t="s">
        <v>281</v>
      </c>
      <c r="B962" s="2"/>
      <c r="C962" s="2"/>
      <c r="D962" s="2"/>
      <c r="E962" s="2"/>
      <c r="F962" s="2"/>
      <c r="G962" s="2"/>
      <c r="H962" s="3"/>
      <c r="I962" s="4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7" t="s">
        <v>2</v>
      </c>
      <c r="B963" s="7" t="s">
        <v>3</v>
      </c>
      <c r="C963" s="7" t="s">
        <v>4</v>
      </c>
      <c r="D963" s="7" t="s">
        <v>5</v>
      </c>
      <c r="E963" s="7" t="s">
        <v>6</v>
      </c>
      <c r="F963" s="8" t="s">
        <v>7</v>
      </c>
      <c r="G963" s="7" t="s">
        <v>8</v>
      </c>
      <c r="H963" s="9"/>
      <c r="I963" s="4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10">
        <v>1.0</v>
      </c>
      <c r="B964" s="18" t="s">
        <v>282</v>
      </c>
      <c r="C964" s="19" t="s">
        <v>283</v>
      </c>
      <c r="D964" s="13" t="s">
        <v>11</v>
      </c>
      <c r="E964" s="14">
        <v>1.64</v>
      </c>
      <c r="F964" s="15">
        <v>293000.0</v>
      </c>
      <c r="G964" s="16">
        <f t="shared" ref="G964:G966" si="65">IFERROR(E964*F964,0)</f>
        <v>480520</v>
      </c>
      <c r="H964" s="17"/>
      <c r="I964" s="4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10">
        <v>2.0</v>
      </c>
      <c r="B965" s="29" t="s">
        <v>118</v>
      </c>
      <c r="C965" s="30" t="s">
        <v>284</v>
      </c>
      <c r="D965" s="20" t="s">
        <v>13</v>
      </c>
      <c r="E965" s="21">
        <v>1.88</v>
      </c>
      <c r="F965" s="22">
        <v>435000.0</v>
      </c>
      <c r="G965" s="16">
        <f t="shared" si="65"/>
        <v>817800</v>
      </c>
      <c r="H965" s="17"/>
      <c r="I965" s="4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10">
        <v>3.0</v>
      </c>
      <c r="B966" s="23" t="s">
        <v>14</v>
      </c>
      <c r="C966" s="17"/>
      <c r="D966" s="17"/>
      <c r="E966" s="17"/>
      <c r="F966" s="17"/>
      <c r="G966" s="24">
        <f t="shared" si="65"/>
        <v>0</v>
      </c>
      <c r="H966" s="17"/>
      <c r="I966" s="4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5" t="s">
        <v>15</v>
      </c>
      <c r="B967" s="2"/>
      <c r="C967" s="2"/>
      <c r="D967" s="2"/>
      <c r="E967" s="2"/>
      <c r="F967" s="2"/>
      <c r="G967" s="3"/>
      <c r="H967" s="26">
        <f>SUM(G964:G966)</f>
        <v>1298320</v>
      </c>
      <c r="I967" s="4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5" t="s">
        <v>16</v>
      </c>
      <c r="B968" s="2"/>
      <c r="C968" s="2"/>
      <c r="D968" s="2"/>
      <c r="E968" s="2"/>
      <c r="F968" s="2"/>
      <c r="G968" s="3"/>
      <c r="H968" s="26">
        <f>MAX(0,H967-648000)</f>
        <v>650320</v>
      </c>
      <c r="I968" s="4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7" t="s">
        <v>17</v>
      </c>
      <c r="B969" s="2"/>
      <c r="C969" s="2"/>
      <c r="D969" s="2"/>
      <c r="E969" s="2"/>
      <c r="F969" s="2"/>
      <c r="G969" s="3"/>
      <c r="H969" s="28">
        <v>649000.0</v>
      </c>
      <c r="I969" s="4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1" t="s">
        <v>18</v>
      </c>
      <c r="B970" s="2"/>
      <c r="C970" s="2"/>
      <c r="D970" s="2"/>
      <c r="E970" s="2"/>
      <c r="F970" s="2"/>
      <c r="G970" s="2"/>
      <c r="H970" s="3"/>
      <c r="I970" s="4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6" ht="29.25" customHeight="1">
      <c r="A976" s="1" t="s">
        <v>0</v>
      </c>
      <c r="B976" s="2"/>
      <c r="C976" s="2"/>
      <c r="D976" s="2"/>
      <c r="E976" s="2"/>
      <c r="F976" s="2"/>
      <c r="G976" s="2"/>
      <c r="H976" s="3"/>
      <c r="I976" s="4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6" t="s">
        <v>285</v>
      </c>
      <c r="B977" s="2"/>
      <c r="C977" s="2"/>
      <c r="D977" s="2"/>
      <c r="E977" s="2"/>
      <c r="F977" s="2"/>
      <c r="G977" s="2"/>
      <c r="H977" s="3"/>
      <c r="I977" s="4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7" t="s">
        <v>2</v>
      </c>
      <c r="B978" s="7" t="s">
        <v>3</v>
      </c>
      <c r="C978" s="7" t="s">
        <v>4</v>
      </c>
      <c r="D978" s="7" t="s">
        <v>5</v>
      </c>
      <c r="E978" s="7" t="s">
        <v>6</v>
      </c>
      <c r="F978" s="8" t="s">
        <v>7</v>
      </c>
      <c r="G978" s="7" t="s">
        <v>8</v>
      </c>
      <c r="H978" s="9"/>
      <c r="I978" s="4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10">
        <v>1.0</v>
      </c>
      <c r="B979" s="18" t="s">
        <v>58</v>
      </c>
      <c r="C979" s="19" t="s">
        <v>286</v>
      </c>
      <c r="D979" s="13" t="s">
        <v>11</v>
      </c>
      <c r="E979" s="14">
        <v>1.92</v>
      </c>
      <c r="F979" s="15">
        <v>293000.0</v>
      </c>
      <c r="G979" s="16">
        <f t="shared" ref="G979:G981" si="66">IFERROR(E979*F979,0)</f>
        <v>562560</v>
      </c>
      <c r="H979" s="17"/>
      <c r="I979" s="4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10">
        <v>2.0</v>
      </c>
      <c r="B980" s="29" t="s">
        <v>175</v>
      </c>
      <c r="C980" s="30" t="s">
        <v>287</v>
      </c>
      <c r="D980" s="20" t="s">
        <v>13</v>
      </c>
      <c r="E980" s="21">
        <v>1.47</v>
      </c>
      <c r="F980" s="22">
        <v>435000.0</v>
      </c>
      <c r="G980" s="16">
        <f t="shared" si="66"/>
        <v>639450</v>
      </c>
      <c r="H980" s="17"/>
      <c r="I980" s="4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10">
        <v>3.0</v>
      </c>
      <c r="B981" s="23" t="s">
        <v>14</v>
      </c>
      <c r="C981" s="17"/>
      <c r="D981" s="17"/>
      <c r="E981" s="17"/>
      <c r="F981" s="17"/>
      <c r="G981" s="24">
        <f t="shared" si="66"/>
        <v>0</v>
      </c>
      <c r="H981" s="17"/>
      <c r="I981" s="4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5" t="s">
        <v>15</v>
      </c>
      <c r="B982" s="2"/>
      <c r="C982" s="2"/>
      <c r="D982" s="2"/>
      <c r="E982" s="2"/>
      <c r="F982" s="2"/>
      <c r="G982" s="3"/>
      <c r="H982" s="26">
        <f>SUM(G979:G981)</f>
        <v>1202010</v>
      </c>
      <c r="I982" s="4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5" t="s">
        <v>16</v>
      </c>
      <c r="B983" s="2"/>
      <c r="C983" s="2"/>
      <c r="D983" s="2"/>
      <c r="E983" s="2"/>
      <c r="F983" s="2"/>
      <c r="G983" s="3"/>
      <c r="H983" s="26">
        <f>MAX(0,H982-648000)</f>
        <v>554010</v>
      </c>
      <c r="I983" s="4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7" t="s">
        <v>17</v>
      </c>
      <c r="B984" s="2"/>
      <c r="C984" s="2"/>
      <c r="D984" s="2"/>
      <c r="E984" s="2"/>
      <c r="F984" s="2"/>
      <c r="G984" s="3"/>
      <c r="H984" s="28">
        <v>649000.0</v>
      </c>
      <c r="I984" s="4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1" t="s">
        <v>18</v>
      </c>
      <c r="B985" s="2"/>
      <c r="C985" s="2"/>
      <c r="D985" s="2"/>
      <c r="E985" s="2"/>
      <c r="F985" s="2"/>
      <c r="G985" s="2"/>
      <c r="H985" s="3"/>
      <c r="I985" s="4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92" ht="29.25" customHeight="1">
      <c r="A992" s="1" t="s">
        <v>0</v>
      </c>
      <c r="B992" s="2"/>
      <c r="C992" s="2"/>
      <c r="D992" s="2"/>
      <c r="E992" s="2"/>
      <c r="F992" s="2"/>
      <c r="G992" s="2"/>
      <c r="H992" s="3"/>
      <c r="I992" s="4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6" t="s">
        <v>288</v>
      </c>
      <c r="B993" s="2"/>
      <c r="C993" s="2"/>
      <c r="D993" s="2"/>
      <c r="E993" s="2"/>
      <c r="F993" s="2"/>
      <c r="G993" s="2"/>
      <c r="H993" s="3"/>
      <c r="I993" s="4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7" t="s">
        <v>2</v>
      </c>
      <c r="B994" s="7" t="s">
        <v>3</v>
      </c>
      <c r="C994" s="7" t="s">
        <v>4</v>
      </c>
      <c r="D994" s="7" t="s">
        <v>5</v>
      </c>
      <c r="E994" s="7" t="s">
        <v>6</v>
      </c>
      <c r="F994" s="8" t="s">
        <v>7</v>
      </c>
      <c r="G994" s="7" t="s">
        <v>8</v>
      </c>
      <c r="H994" s="9"/>
      <c r="I994" s="4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10">
        <v>1.0</v>
      </c>
      <c r="B995" s="18" t="s">
        <v>289</v>
      </c>
      <c r="C995" s="19" t="s">
        <v>290</v>
      </c>
      <c r="D995" s="13" t="s">
        <v>11</v>
      </c>
      <c r="E995" s="14">
        <v>2.0</v>
      </c>
      <c r="F995" s="15">
        <v>293000.0</v>
      </c>
      <c r="G995" s="16">
        <f t="shared" ref="G995:G997" si="67">IFERROR(E995*F995,0)</f>
        <v>586000</v>
      </c>
      <c r="H995" s="17"/>
      <c r="I995" s="4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10">
        <v>2.0</v>
      </c>
      <c r="B996" s="29" t="s">
        <v>12</v>
      </c>
      <c r="C996" s="30" t="s">
        <v>291</v>
      </c>
      <c r="D996" s="20" t="s">
        <v>13</v>
      </c>
      <c r="E996" s="21">
        <v>1.46</v>
      </c>
      <c r="F996" s="22">
        <v>435000.0</v>
      </c>
      <c r="G996" s="16">
        <f t="shared" si="67"/>
        <v>635100</v>
      </c>
      <c r="H996" s="17"/>
      <c r="I996" s="4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10">
        <v>3.0</v>
      </c>
      <c r="B997" s="23" t="s">
        <v>14</v>
      </c>
      <c r="C997" s="17"/>
      <c r="D997" s="17"/>
      <c r="E997" s="17"/>
      <c r="F997" s="17"/>
      <c r="G997" s="24">
        <f t="shared" si="67"/>
        <v>0</v>
      </c>
      <c r="H997" s="17"/>
      <c r="I997" s="4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25" t="s">
        <v>15</v>
      </c>
      <c r="B998" s="2"/>
      <c r="C998" s="2"/>
      <c r="D998" s="2"/>
      <c r="E998" s="2"/>
      <c r="F998" s="2"/>
      <c r="G998" s="3"/>
      <c r="H998" s="26">
        <f>SUM(G995:G997)</f>
        <v>1221100</v>
      </c>
      <c r="I998" s="4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25" t="s">
        <v>16</v>
      </c>
      <c r="B999" s="2"/>
      <c r="C999" s="2"/>
      <c r="D999" s="2"/>
      <c r="E999" s="2"/>
      <c r="F999" s="2"/>
      <c r="G999" s="3"/>
      <c r="H999" s="26">
        <f>MAX(0,H998-648000)</f>
        <v>573100</v>
      </c>
      <c r="I999" s="4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27" t="s">
        <v>17</v>
      </c>
      <c r="B1000" s="2"/>
      <c r="C1000" s="2"/>
      <c r="D1000" s="2"/>
      <c r="E1000" s="2"/>
      <c r="F1000" s="2"/>
      <c r="G1000" s="3"/>
      <c r="H1000" s="28">
        <v>649000.0</v>
      </c>
      <c r="I1000" s="4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1" t="s">
        <v>18</v>
      </c>
      <c r="B1001" s="2"/>
      <c r="C1001" s="2"/>
      <c r="D1001" s="2"/>
      <c r="E1001" s="2"/>
      <c r="F1001" s="2"/>
      <c r="G1001" s="2"/>
      <c r="H1001" s="3"/>
      <c r="I1001" s="4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9" ht="29.25" customHeight="1">
      <c r="A1009" s="1" t="s">
        <v>0</v>
      </c>
      <c r="B1009" s="2"/>
      <c r="C1009" s="2"/>
      <c r="D1009" s="2"/>
      <c r="E1009" s="2"/>
      <c r="F1009" s="2"/>
      <c r="G1009" s="2"/>
      <c r="H1009" s="3"/>
      <c r="I1009" s="4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6" t="s">
        <v>292</v>
      </c>
      <c r="B1010" s="2"/>
      <c r="C1010" s="2"/>
      <c r="D1010" s="2"/>
      <c r="E1010" s="2"/>
      <c r="F1010" s="2"/>
      <c r="G1010" s="2"/>
      <c r="H1010" s="3"/>
      <c r="I1010" s="4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7" t="s">
        <v>2</v>
      </c>
      <c r="B1011" s="7" t="s">
        <v>3</v>
      </c>
      <c r="C1011" s="7" t="s">
        <v>4</v>
      </c>
      <c r="D1011" s="7" t="s">
        <v>5</v>
      </c>
      <c r="E1011" s="7" t="s">
        <v>6</v>
      </c>
      <c r="F1011" s="8" t="s">
        <v>7</v>
      </c>
      <c r="G1011" s="7" t="s">
        <v>8</v>
      </c>
      <c r="H1011" s="9"/>
      <c r="I1011" s="4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10">
        <v>1.0</v>
      </c>
      <c r="B1012" s="18" t="s">
        <v>94</v>
      </c>
      <c r="C1012" s="19" t="s">
        <v>293</v>
      </c>
      <c r="D1012" s="13" t="s">
        <v>11</v>
      </c>
      <c r="E1012" s="14">
        <v>1.96</v>
      </c>
      <c r="F1012" s="15">
        <v>293000.0</v>
      </c>
      <c r="G1012" s="16">
        <f t="shared" ref="G1012:G1014" si="68">IFERROR(E1012*F1012,0)</f>
        <v>574280</v>
      </c>
      <c r="H1012" s="17"/>
      <c r="I1012" s="4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10">
        <v>2.0</v>
      </c>
      <c r="B1013" s="29" t="s">
        <v>294</v>
      </c>
      <c r="C1013" s="30" t="s">
        <v>295</v>
      </c>
      <c r="D1013" s="20" t="s">
        <v>13</v>
      </c>
      <c r="E1013" s="21">
        <v>1.45</v>
      </c>
      <c r="F1013" s="22">
        <v>435000.0</v>
      </c>
      <c r="G1013" s="16">
        <f t="shared" si="68"/>
        <v>630750</v>
      </c>
      <c r="H1013" s="17"/>
      <c r="I1013" s="4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10">
        <v>3.0</v>
      </c>
      <c r="B1014" s="23" t="s">
        <v>14</v>
      </c>
      <c r="C1014" s="17"/>
      <c r="D1014" s="17"/>
      <c r="E1014" s="17"/>
      <c r="F1014" s="17"/>
      <c r="G1014" s="24">
        <f t="shared" si="68"/>
        <v>0</v>
      </c>
      <c r="H1014" s="17"/>
      <c r="I1014" s="4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25" t="s">
        <v>15</v>
      </c>
      <c r="B1015" s="2"/>
      <c r="C1015" s="2"/>
      <c r="D1015" s="2"/>
      <c r="E1015" s="2"/>
      <c r="F1015" s="2"/>
      <c r="G1015" s="3"/>
      <c r="H1015" s="26">
        <f>SUM(G1012:G1014)</f>
        <v>1205030</v>
      </c>
      <c r="I1015" s="4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25" t="s">
        <v>16</v>
      </c>
      <c r="B1016" s="2"/>
      <c r="C1016" s="2"/>
      <c r="D1016" s="2"/>
      <c r="E1016" s="2"/>
      <c r="F1016" s="2"/>
      <c r="G1016" s="3"/>
      <c r="H1016" s="26">
        <f>MAX(0,H1015-648000)</f>
        <v>557030</v>
      </c>
      <c r="I1016" s="4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27" t="s">
        <v>17</v>
      </c>
      <c r="B1017" s="2"/>
      <c r="C1017" s="2"/>
      <c r="D1017" s="2"/>
      <c r="E1017" s="2"/>
      <c r="F1017" s="2"/>
      <c r="G1017" s="3"/>
      <c r="H1017" s="28">
        <v>649000.0</v>
      </c>
      <c r="I1017" s="4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1" t="s">
        <v>18</v>
      </c>
      <c r="B1018" s="2"/>
      <c r="C1018" s="2"/>
      <c r="D1018" s="2"/>
      <c r="E1018" s="2"/>
      <c r="F1018" s="2"/>
      <c r="G1018" s="2"/>
      <c r="H1018" s="3"/>
      <c r="I1018" s="4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26" ht="29.25" customHeight="1">
      <c r="A1026" s="1" t="s">
        <v>0</v>
      </c>
      <c r="B1026" s="2"/>
      <c r="C1026" s="2"/>
      <c r="D1026" s="2"/>
      <c r="E1026" s="2"/>
      <c r="F1026" s="2"/>
      <c r="G1026" s="2"/>
      <c r="H1026" s="3"/>
      <c r="I1026" s="4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6" t="s">
        <v>296</v>
      </c>
      <c r="B1027" s="2"/>
      <c r="C1027" s="2"/>
      <c r="D1027" s="2"/>
      <c r="E1027" s="2"/>
      <c r="F1027" s="2"/>
      <c r="G1027" s="2"/>
      <c r="H1027" s="3"/>
      <c r="I1027" s="4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7" t="s">
        <v>2</v>
      </c>
      <c r="B1028" s="7" t="s">
        <v>3</v>
      </c>
      <c r="C1028" s="7" t="s">
        <v>4</v>
      </c>
      <c r="D1028" s="7" t="s">
        <v>5</v>
      </c>
      <c r="E1028" s="7" t="s">
        <v>6</v>
      </c>
      <c r="F1028" s="8" t="s">
        <v>7</v>
      </c>
      <c r="G1028" s="7" t="s">
        <v>8</v>
      </c>
      <c r="H1028" s="9"/>
      <c r="I1028" s="4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10">
        <v>1.0</v>
      </c>
      <c r="B1029" s="18" t="s">
        <v>218</v>
      </c>
      <c r="C1029" s="19" t="s">
        <v>297</v>
      </c>
      <c r="D1029" s="13" t="s">
        <v>11</v>
      </c>
      <c r="E1029" s="14">
        <v>1.63</v>
      </c>
      <c r="F1029" s="15">
        <v>293000.0</v>
      </c>
      <c r="G1029" s="16">
        <f t="shared" ref="G1029:G1031" si="69">IFERROR(E1029*F1029,0)</f>
        <v>477590</v>
      </c>
      <c r="H1029" s="17"/>
      <c r="I1029" s="4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10">
        <v>2.0</v>
      </c>
      <c r="B1030" s="29" t="s">
        <v>298</v>
      </c>
      <c r="C1030" s="30" t="s">
        <v>299</v>
      </c>
      <c r="D1030" s="20" t="s">
        <v>13</v>
      </c>
      <c r="E1030" s="21">
        <v>1.65</v>
      </c>
      <c r="F1030" s="22">
        <v>435000.0</v>
      </c>
      <c r="G1030" s="16">
        <f t="shared" si="69"/>
        <v>717750</v>
      </c>
      <c r="H1030" s="17"/>
      <c r="I1030" s="4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10">
        <v>3.0</v>
      </c>
      <c r="B1031" s="23" t="s">
        <v>14</v>
      </c>
      <c r="C1031" s="17"/>
      <c r="D1031" s="17"/>
      <c r="E1031" s="17"/>
      <c r="F1031" s="17"/>
      <c r="G1031" s="24">
        <f t="shared" si="69"/>
        <v>0</v>
      </c>
      <c r="H1031" s="17"/>
      <c r="I1031" s="4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25" t="s">
        <v>15</v>
      </c>
      <c r="B1032" s="2"/>
      <c r="C1032" s="2"/>
      <c r="D1032" s="2"/>
      <c r="E1032" s="2"/>
      <c r="F1032" s="2"/>
      <c r="G1032" s="3"/>
      <c r="H1032" s="26">
        <f>SUM(G1029:G1031)</f>
        <v>1195340</v>
      </c>
      <c r="I1032" s="4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25" t="s">
        <v>16</v>
      </c>
      <c r="B1033" s="2"/>
      <c r="C1033" s="2"/>
      <c r="D1033" s="2"/>
      <c r="E1033" s="2"/>
      <c r="F1033" s="2"/>
      <c r="G1033" s="3"/>
      <c r="H1033" s="26">
        <f>MAX(0,H1032-648000)</f>
        <v>547340</v>
      </c>
      <c r="I1033" s="4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27" t="s">
        <v>17</v>
      </c>
      <c r="B1034" s="2"/>
      <c r="C1034" s="2"/>
      <c r="D1034" s="2"/>
      <c r="E1034" s="2"/>
      <c r="F1034" s="2"/>
      <c r="G1034" s="3"/>
      <c r="H1034" s="28">
        <v>649000.0</v>
      </c>
      <c r="I1034" s="4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1" t="s">
        <v>18</v>
      </c>
      <c r="B1035" s="2"/>
      <c r="C1035" s="2"/>
      <c r="D1035" s="2"/>
      <c r="E1035" s="2"/>
      <c r="F1035" s="2"/>
      <c r="G1035" s="2"/>
      <c r="H1035" s="3"/>
      <c r="I1035" s="4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41" ht="29.25" customHeight="1">
      <c r="A1041" s="1" t="s">
        <v>0</v>
      </c>
      <c r="B1041" s="2"/>
      <c r="C1041" s="2"/>
      <c r="D1041" s="2"/>
      <c r="E1041" s="2"/>
      <c r="F1041" s="2"/>
      <c r="G1041" s="2"/>
      <c r="H1041" s="3"/>
      <c r="I1041" s="4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6" t="s">
        <v>300</v>
      </c>
      <c r="B1042" s="2"/>
      <c r="C1042" s="2"/>
      <c r="D1042" s="2"/>
      <c r="E1042" s="2"/>
      <c r="F1042" s="2"/>
      <c r="G1042" s="2"/>
      <c r="H1042" s="3"/>
      <c r="I1042" s="4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7" t="s">
        <v>2</v>
      </c>
      <c r="B1043" s="7" t="s">
        <v>3</v>
      </c>
      <c r="C1043" s="7" t="s">
        <v>4</v>
      </c>
      <c r="D1043" s="7" t="s">
        <v>5</v>
      </c>
      <c r="E1043" s="7" t="s">
        <v>6</v>
      </c>
      <c r="F1043" s="8" t="s">
        <v>7</v>
      </c>
      <c r="G1043" s="7" t="s">
        <v>8</v>
      </c>
      <c r="H1043" s="9"/>
      <c r="I1043" s="4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10">
        <v>1.0</v>
      </c>
      <c r="B1044" s="18" t="s">
        <v>301</v>
      </c>
      <c r="C1044" s="19" t="s">
        <v>302</v>
      </c>
      <c r="D1044" s="13" t="s">
        <v>11</v>
      </c>
      <c r="E1044" s="14">
        <v>1.95</v>
      </c>
      <c r="F1044" s="15">
        <v>293000.0</v>
      </c>
      <c r="G1044" s="16">
        <f t="shared" ref="G1044:G1046" si="70">IFERROR(E1044*F1044,0)</f>
        <v>571350</v>
      </c>
      <c r="H1044" s="17"/>
      <c r="I1044" s="4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10">
        <v>2.0</v>
      </c>
      <c r="B1045" s="29" t="s">
        <v>197</v>
      </c>
      <c r="C1045" s="30" t="s">
        <v>303</v>
      </c>
      <c r="D1045" s="20" t="s">
        <v>13</v>
      </c>
      <c r="E1045" s="21">
        <v>1.46</v>
      </c>
      <c r="F1045" s="22">
        <v>435000.0</v>
      </c>
      <c r="G1045" s="16">
        <f t="shared" si="70"/>
        <v>635100</v>
      </c>
      <c r="H1045" s="17"/>
      <c r="I1045" s="4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10">
        <v>3.0</v>
      </c>
      <c r="B1046" s="23" t="s">
        <v>14</v>
      </c>
      <c r="C1046" s="17"/>
      <c r="D1046" s="17"/>
      <c r="E1046" s="17"/>
      <c r="F1046" s="17"/>
      <c r="G1046" s="24">
        <f t="shared" si="70"/>
        <v>0</v>
      </c>
      <c r="H1046" s="17"/>
      <c r="I1046" s="4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25" t="s">
        <v>15</v>
      </c>
      <c r="B1047" s="2"/>
      <c r="C1047" s="2"/>
      <c r="D1047" s="2"/>
      <c r="E1047" s="2"/>
      <c r="F1047" s="2"/>
      <c r="G1047" s="3"/>
      <c r="H1047" s="26">
        <f>SUM(G1044:G1046)</f>
        <v>1206450</v>
      </c>
      <c r="I1047" s="4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25" t="s">
        <v>16</v>
      </c>
      <c r="B1048" s="2"/>
      <c r="C1048" s="2"/>
      <c r="D1048" s="2"/>
      <c r="E1048" s="2"/>
      <c r="F1048" s="2"/>
      <c r="G1048" s="3"/>
      <c r="H1048" s="26">
        <f>MAX(0,H1047-648000)</f>
        <v>558450</v>
      </c>
      <c r="I1048" s="4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27" t="s">
        <v>17</v>
      </c>
      <c r="B1049" s="2"/>
      <c r="C1049" s="2"/>
      <c r="D1049" s="2"/>
      <c r="E1049" s="2"/>
      <c r="F1049" s="2"/>
      <c r="G1049" s="3"/>
      <c r="H1049" s="28">
        <v>649000.0</v>
      </c>
      <c r="I1049" s="4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1" t="s">
        <v>18</v>
      </c>
      <c r="B1050" s="2"/>
      <c r="C1050" s="2"/>
      <c r="D1050" s="2"/>
      <c r="E1050" s="2"/>
      <c r="F1050" s="2"/>
      <c r="G1050" s="2"/>
      <c r="H1050" s="3"/>
      <c r="I1050" s="4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6" ht="29.25" customHeight="1">
      <c r="A1056" s="1" t="s">
        <v>0</v>
      </c>
      <c r="B1056" s="2"/>
      <c r="C1056" s="2"/>
      <c r="D1056" s="2"/>
      <c r="E1056" s="2"/>
      <c r="F1056" s="2"/>
      <c r="G1056" s="2"/>
      <c r="H1056" s="3"/>
      <c r="I1056" s="4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6" t="s">
        <v>304</v>
      </c>
      <c r="B1057" s="2"/>
      <c r="C1057" s="2"/>
      <c r="D1057" s="2"/>
      <c r="E1057" s="2"/>
      <c r="F1057" s="2"/>
      <c r="G1057" s="2"/>
      <c r="H1057" s="3"/>
      <c r="I1057" s="4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7" t="s">
        <v>2</v>
      </c>
      <c r="B1058" s="7" t="s">
        <v>3</v>
      </c>
      <c r="C1058" s="7" t="s">
        <v>4</v>
      </c>
      <c r="D1058" s="7" t="s">
        <v>5</v>
      </c>
      <c r="E1058" s="7" t="s">
        <v>6</v>
      </c>
      <c r="F1058" s="8" t="s">
        <v>7</v>
      </c>
      <c r="G1058" s="7" t="s">
        <v>8</v>
      </c>
      <c r="H1058" s="9"/>
      <c r="I1058" s="4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10">
        <v>1.0</v>
      </c>
      <c r="B1059" s="18" t="s">
        <v>41</v>
      </c>
      <c r="C1059" s="19" t="s">
        <v>305</v>
      </c>
      <c r="D1059" s="13" t="s">
        <v>11</v>
      </c>
      <c r="E1059" s="14">
        <v>3.0</v>
      </c>
      <c r="F1059" s="15">
        <v>293000.0</v>
      </c>
      <c r="G1059" s="16">
        <f t="shared" ref="G1059:G1061" si="71">IFERROR(E1059*F1059,0)</f>
        <v>879000</v>
      </c>
      <c r="H1059" s="17"/>
      <c r="I1059" s="4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10">
        <v>2.0</v>
      </c>
      <c r="B1060" s="29" t="s">
        <v>22</v>
      </c>
      <c r="C1060" s="30" t="s">
        <v>306</v>
      </c>
      <c r="D1060" s="20" t="s">
        <v>13</v>
      </c>
      <c r="E1060" s="21">
        <v>0.65</v>
      </c>
      <c r="F1060" s="22">
        <v>435000.0</v>
      </c>
      <c r="G1060" s="16">
        <f t="shared" si="71"/>
        <v>282750</v>
      </c>
      <c r="H1060" s="17"/>
      <c r="I1060" s="4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10">
        <v>3.0</v>
      </c>
      <c r="B1061" s="23" t="s">
        <v>14</v>
      </c>
      <c r="C1061" s="17"/>
      <c r="D1061" s="17"/>
      <c r="E1061" s="17"/>
      <c r="F1061" s="17"/>
      <c r="G1061" s="24">
        <f t="shared" si="71"/>
        <v>0</v>
      </c>
      <c r="H1061" s="17"/>
      <c r="I1061" s="4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25" t="s">
        <v>15</v>
      </c>
      <c r="B1062" s="2"/>
      <c r="C1062" s="2"/>
      <c r="D1062" s="2"/>
      <c r="E1062" s="2"/>
      <c r="F1062" s="2"/>
      <c r="G1062" s="3"/>
      <c r="H1062" s="26">
        <f>SUM(G1059:G1061)</f>
        <v>1161750</v>
      </c>
      <c r="I1062" s="4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25" t="s">
        <v>16</v>
      </c>
      <c r="B1063" s="2"/>
      <c r="C1063" s="2"/>
      <c r="D1063" s="2"/>
      <c r="E1063" s="2"/>
      <c r="F1063" s="2"/>
      <c r="G1063" s="3"/>
      <c r="H1063" s="26">
        <f>MAX(0,H1062-648000)</f>
        <v>513750</v>
      </c>
      <c r="I1063" s="4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27" t="s">
        <v>17</v>
      </c>
      <c r="B1064" s="2"/>
      <c r="C1064" s="2"/>
      <c r="D1064" s="2"/>
      <c r="E1064" s="2"/>
      <c r="F1064" s="2"/>
      <c r="G1064" s="3"/>
      <c r="H1064" s="28">
        <v>649000.0</v>
      </c>
      <c r="I1064" s="4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1" t="s">
        <v>18</v>
      </c>
      <c r="B1065" s="2"/>
      <c r="C1065" s="2"/>
      <c r="D1065" s="2"/>
      <c r="E1065" s="2"/>
      <c r="F1065" s="2"/>
      <c r="G1065" s="2"/>
      <c r="H1065" s="3"/>
      <c r="I1065" s="4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70" ht="29.25" customHeight="1">
      <c r="A1070" s="1" t="s">
        <v>0</v>
      </c>
      <c r="B1070" s="2"/>
      <c r="C1070" s="2"/>
      <c r="D1070" s="2"/>
      <c r="E1070" s="2"/>
      <c r="F1070" s="2"/>
      <c r="G1070" s="2"/>
      <c r="H1070" s="3"/>
      <c r="I1070" s="4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6" t="s">
        <v>307</v>
      </c>
      <c r="B1071" s="2"/>
      <c r="C1071" s="2"/>
      <c r="D1071" s="2"/>
      <c r="E1071" s="2"/>
      <c r="F1071" s="2"/>
      <c r="G1071" s="2"/>
      <c r="H1071" s="3"/>
      <c r="I1071" s="4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7" t="s">
        <v>2</v>
      </c>
      <c r="B1072" s="7" t="s">
        <v>3</v>
      </c>
      <c r="C1072" s="7" t="s">
        <v>4</v>
      </c>
      <c r="D1072" s="7" t="s">
        <v>5</v>
      </c>
      <c r="E1072" s="7" t="s">
        <v>6</v>
      </c>
      <c r="F1072" s="8" t="s">
        <v>7</v>
      </c>
      <c r="G1072" s="7" t="s">
        <v>8</v>
      </c>
      <c r="H1072" s="9"/>
      <c r="I1072" s="4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10">
        <v>1.0</v>
      </c>
      <c r="B1073" s="18" t="s">
        <v>308</v>
      </c>
      <c r="C1073" s="19" t="s">
        <v>309</v>
      </c>
      <c r="D1073" s="13" t="s">
        <v>11</v>
      </c>
      <c r="E1073" s="14">
        <v>1.93</v>
      </c>
      <c r="F1073" s="15">
        <v>293000.0</v>
      </c>
      <c r="G1073" s="16">
        <f t="shared" ref="G1073:G1075" si="72">IFERROR(E1073*F1073,0)</f>
        <v>565490</v>
      </c>
      <c r="H1073" s="17"/>
      <c r="I1073" s="4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10">
        <v>2.0</v>
      </c>
      <c r="B1074" s="29" t="s">
        <v>310</v>
      </c>
      <c r="C1074" s="30" t="s">
        <v>311</v>
      </c>
      <c r="D1074" s="20" t="s">
        <v>13</v>
      </c>
      <c r="E1074" s="21">
        <v>1.48</v>
      </c>
      <c r="F1074" s="22">
        <v>435000.0</v>
      </c>
      <c r="G1074" s="16">
        <f t="shared" si="72"/>
        <v>643800</v>
      </c>
      <c r="H1074" s="17"/>
      <c r="I1074" s="4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10">
        <v>3.0</v>
      </c>
      <c r="B1075" s="23" t="s">
        <v>14</v>
      </c>
      <c r="C1075" s="17"/>
      <c r="D1075" s="17"/>
      <c r="E1075" s="31" t="s">
        <v>181</v>
      </c>
      <c r="F1075" s="17"/>
      <c r="G1075" s="24">
        <f t="shared" si="72"/>
        <v>0</v>
      </c>
      <c r="H1075" s="17"/>
      <c r="I1075" s="4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25" t="s">
        <v>15</v>
      </c>
      <c r="B1076" s="2"/>
      <c r="C1076" s="2"/>
      <c r="D1076" s="2"/>
      <c r="E1076" s="2"/>
      <c r="F1076" s="2"/>
      <c r="G1076" s="3"/>
      <c r="H1076" s="26">
        <f>SUM(G1073:G1075)</f>
        <v>1209290</v>
      </c>
      <c r="I1076" s="4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25" t="s">
        <v>16</v>
      </c>
      <c r="B1077" s="2"/>
      <c r="C1077" s="2"/>
      <c r="D1077" s="2"/>
      <c r="E1077" s="2"/>
      <c r="F1077" s="2"/>
      <c r="G1077" s="3"/>
      <c r="H1077" s="26">
        <f>MAX(0,H1076-648000)</f>
        <v>561290</v>
      </c>
      <c r="I1077" s="4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27" t="s">
        <v>17</v>
      </c>
      <c r="B1078" s="2"/>
      <c r="C1078" s="2"/>
      <c r="D1078" s="2"/>
      <c r="E1078" s="2"/>
      <c r="F1078" s="2"/>
      <c r="G1078" s="3"/>
      <c r="H1078" s="28">
        <v>649000.0</v>
      </c>
      <c r="I1078" s="4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1" t="s">
        <v>18</v>
      </c>
      <c r="B1079" s="2"/>
      <c r="C1079" s="2"/>
      <c r="D1079" s="2"/>
      <c r="E1079" s="2"/>
      <c r="F1079" s="2"/>
      <c r="G1079" s="2"/>
      <c r="H1079" s="3"/>
      <c r="I1079" s="4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5" ht="29.25" customHeight="1">
      <c r="A1085" s="1" t="s">
        <v>0</v>
      </c>
      <c r="B1085" s="2"/>
      <c r="C1085" s="2"/>
      <c r="D1085" s="2"/>
      <c r="E1085" s="2"/>
      <c r="F1085" s="2"/>
      <c r="G1085" s="2"/>
      <c r="H1085" s="3"/>
      <c r="I1085" s="4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6" t="s">
        <v>312</v>
      </c>
      <c r="B1086" s="2"/>
      <c r="C1086" s="2"/>
      <c r="D1086" s="2"/>
      <c r="E1086" s="2"/>
      <c r="F1086" s="2"/>
      <c r="G1086" s="2"/>
      <c r="H1086" s="3"/>
      <c r="I1086" s="4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7" t="s">
        <v>2</v>
      </c>
      <c r="B1087" s="7" t="s">
        <v>3</v>
      </c>
      <c r="C1087" s="7" t="s">
        <v>4</v>
      </c>
      <c r="D1087" s="7" t="s">
        <v>5</v>
      </c>
      <c r="E1087" s="7" t="s">
        <v>6</v>
      </c>
      <c r="F1087" s="8" t="s">
        <v>7</v>
      </c>
      <c r="G1087" s="7" t="s">
        <v>8</v>
      </c>
      <c r="H1087" s="9"/>
      <c r="I1087" s="4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10">
        <v>1.0</v>
      </c>
      <c r="B1088" s="18" t="s">
        <v>243</v>
      </c>
      <c r="C1088" s="19" t="s">
        <v>313</v>
      </c>
      <c r="D1088" s="13" t="s">
        <v>11</v>
      </c>
      <c r="E1088" s="14">
        <v>2.9</v>
      </c>
      <c r="F1088" s="15">
        <v>293000.0</v>
      </c>
      <c r="G1088" s="16">
        <f t="shared" ref="G1088:G1090" si="73">IFERROR(E1088*F1088,0)</f>
        <v>849700</v>
      </c>
      <c r="H1088" s="17"/>
      <c r="I1088" s="4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10">
        <v>2.0</v>
      </c>
      <c r="B1089" s="29" t="s">
        <v>22</v>
      </c>
      <c r="C1089" s="30" t="s">
        <v>314</v>
      </c>
      <c r="D1089" s="20" t="s">
        <v>13</v>
      </c>
      <c r="E1089" s="21">
        <v>0.62</v>
      </c>
      <c r="F1089" s="22">
        <v>435000.0</v>
      </c>
      <c r="G1089" s="16">
        <f t="shared" si="73"/>
        <v>269700</v>
      </c>
      <c r="H1089" s="17"/>
      <c r="I1089" s="4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10">
        <v>3.0</v>
      </c>
      <c r="B1090" s="23" t="s">
        <v>14</v>
      </c>
      <c r="C1090" s="17"/>
      <c r="D1090" s="17"/>
      <c r="E1090" s="17"/>
      <c r="F1090" s="17"/>
      <c r="G1090" s="24">
        <f t="shared" si="73"/>
        <v>0</v>
      </c>
      <c r="H1090" s="17"/>
      <c r="I1090" s="4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25" t="s">
        <v>15</v>
      </c>
      <c r="B1091" s="2"/>
      <c r="C1091" s="2"/>
      <c r="D1091" s="2"/>
      <c r="E1091" s="2"/>
      <c r="F1091" s="2"/>
      <c r="G1091" s="3"/>
      <c r="H1091" s="26">
        <f>SUM(G1088:G1090)</f>
        <v>1119400</v>
      </c>
      <c r="I1091" s="4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25" t="s">
        <v>16</v>
      </c>
      <c r="B1092" s="2"/>
      <c r="C1092" s="2"/>
      <c r="D1092" s="2"/>
      <c r="E1092" s="2"/>
      <c r="F1092" s="2"/>
      <c r="G1092" s="3"/>
      <c r="H1092" s="26">
        <f>MAX(0,H1091-648000)</f>
        <v>471400</v>
      </c>
      <c r="I1092" s="4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27" t="s">
        <v>17</v>
      </c>
      <c r="B1093" s="2"/>
      <c r="C1093" s="2"/>
      <c r="D1093" s="2"/>
      <c r="E1093" s="2"/>
      <c r="F1093" s="2"/>
      <c r="G1093" s="3"/>
      <c r="H1093" s="28">
        <v>649000.0</v>
      </c>
      <c r="I1093" s="4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1" t="s">
        <v>18</v>
      </c>
      <c r="B1094" s="2"/>
      <c r="C1094" s="2"/>
      <c r="D1094" s="2"/>
      <c r="E1094" s="2"/>
      <c r="F1094" s="2"/>
      <c r="G1094" s="2"/>
      <c r="H1094" s="3"/>
      <c r="I1094" s="4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100" ht="29.25" customHeight="1">
      <c r="A1100" s="1" t="s">
        <v>0</v>
      </c>
      <c r="B1100" s="2"/>
      <c r="C1100" s="2"/>
      <c r="D1100" s="2"/>
      <c r="E1100" s="2"/>
      <c r="F1100" s="2"/>
      <c r="G1100" s="2"/>
      <c r="H1100" s="3"/>
      <c r="I1100" s="4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6" t="s">
        <v>315</v>
      </c>
      <c r="B1101" s="2"/>
      <c r="C1101" s="2"/>
      <c r="D1101" s="2"/>
      <c r="E1101" s="2"/>
      <c r="F1101" s="2"/>
      <c r="G1101" s="2"/>
      <c r="H1101" s="3"/>
      <c r="I1101" s="4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7" t="s">
        <v>2</v>
      </c>
      <c r="B1102" s="7" t="s">
        <v>3</v>
      </c>
      <c r="C1102" s="7" t="s">
        <v>4</v>
      </c>
      <c r="D1102" s="7" t="s">
        <v>5</v>
      </c>
      <c r="E1102" s="7" t="s">
        <v>6</v>
      </c>
      <c r="F1102" s="8" t="s">
        <v>7</v>
      </c>
      <c r="G1102" s="7" t="s">
        <v>8</v>
      </c>
      <c r="H1102" s="9"/>
      <c r="I1102" s="4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10">
        <v>1.0</v>
      </c>
      <c r="B1103" s="18" t="s">
        <v>316</v>
      </c>
      <c r="C1103" s="19" t="s">
        <v>203</v>
      </c>
      <c r="D1103" s="13" t="s">
        <v>11</v>
      </c>
      <c r="E1103" s="14">
        <v>3.0</v>
      </c>
      <c r="F1103" s="15">
        <v>293000.0</v>
      </c>
      <c r="G1103" s="16">
        <f t="shared" ref="G1103:G1105" si="74">IFERROR(E1103*F1103,0)</f>
        <v>879000</v>
      </c>
      <c r="H1103" s="17"/>
      <c r="I1103" s="4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10">
        <v>2.0</v>
      </c>
      <c r="B1104" s="29" t="s">
        <v>12</v>
      </c>
      <c r="C1104" s="30" t="s">
        <v>317</v>
      </c>
      <c r="D1104" s="20" t="s">
        <v>13</v>
      </c>
      <c r="E1104" s="21">
        <v>0.58</v>
      </c>
      <c r="F1104" s="22">
        <v>435000.0</v>
      </c>
      <c r="G1104" s="16">
        <f t="shared" si="74"/>
        <v>252300</v>
      </c>
      <c r="H1104" s="17"/>
      <c r="I1104" s="4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10">
        <v>3.0</v>
      </c>
      <c r="B1105" s="23" t="s">
        <v>14</v>
      </c>
      <c r="C1105" s="17"/>
      <c r="D1105" s="17"/>
      <c r="E1105" s="17"/>
      <c r="F1105" s="17"/>
      <c r="G1105" s="24">
        <f t="shared" si="74"/>
        <v>0</v>
      </c>
      <c r="H1105" s="17"/>
      <c r="I1105" s="4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25" t="s">
        <v>15</v>
      </c>
      <c r="B1106" s="2"/>
      <c r="C1106" s="2"/>
      <c r="D1106" s="2"/>
      <c r="E1106" s="2"/>
      <c r="F1106" s="2"/>
      <c r="G1106" s="3"/>
      <c r="H1106" s="26">
        <f>SUM(G1103:G1105)</f>
        <v>1131300</v>
      </c>
      <c r="I1106" s="4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25" t="s">
        <v>16</v>
      </c>
      <c r="B1107" s="2"/>
      <c r="C1107" s="2"/>
      <c r="D1107" s="2"/>
      <c r="E1107" s="2"/>
      <c r="F1107" s="2"/>
      <c r="G1107" s="3"/>
      <c r="H1107" s="26">
        <f>MAX(0,H1106-648000)</f>
        <v>483300</v>
      </c>
      <c r="I1107" s="4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27" t="s">
        <v>17</v>
      </c>
      <c r="B1108" s="2"/>
      <c r="C1108" s="2"/>
      <c r="D1108" s="2"/>
      <c r="E1108" s="2"/>
      <c r="F1108" s="2"/>
      <c r="G1108" s="3"/>
      <c r="H1108" s="28">
        <v>649000.0</v>
      </c>
      <c r="I1108" s="4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1" t="s">
        <v>18</v>
      </c>
      <c r="B1109" s="2"/>
      <c r="C1109" s="2"/>
      <c r="D1109" s="2"/>
      <c r="E1109" s="2"/>
      <c r="F1109" s="2"/>
      <c r="G1109" s="2"/>
      <c r="H1109" s="3"/>
      <c r="I1109" s="4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4" ht="29.25" customHeight="1">
      <c r="A1114" s="1" t="s">
        <v>0</v>
      </c>
      <c r="B1114" s="2"/>
      <c r="C1114" s="2"/>
      <c r="D1114" s="2"/>
      <c r="E1114" s="2"/>
      <c r="F1114" s="2"/>
      <c r="G1114" s="2"/>
      <c r="H1114" s="3"/>
      <c r="I1114" s="4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6" t="s">
        <v>318</v>
      </c>
      <c r="B1115" s="2"/>
      <c r="C1115" s="2"/>
      <c r="D1115" s="2"/>
      <c r="E1115" s="2"/>
      <c r="F1115" s="2"/>
      <c r="G1115" s="2"/>
      <c r="H1115" s="3"/>
      <c r="I1115" s="4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7" t="s">
        <v>2</v>
      </c>
      <c r="B1116" s="7" t="s">
        <v>3</v>
      </c>
      <c r="C1116" s="7" t="s">
        <v>4</v>
      </c>
      <c r="D1116" s="7" t="s">
        <v>5</v>
      </c>
      <c r="E1116" s="7" t="s">
        <v>6</v>
      </c>
      <c r="F1116" s="8" t="s">
        <v>7</v>
      </c>
      <c r="G1116" s="7" t="s">
        <v>8</v>
      </c>
      <c r="H1116" s="9"/>
      <c r="I1116" s="4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10">
        <v>1.0</v>
      </c>
      <c r="B1117" s="18" t="s">
        <v>298</v>
      </c>
      <c r="C1117" s="19" t="s">
        <v>319</v>
      </c>
      <c r="D1117" s="13" t="s">
        <v>11</v>
      </c>
      <c r="E1117" s="14">
        <v>1.57</v>
      </c>
      <c r="F1117" s="15">
        <v>293000.0</v>
      </c>
      <c r="G1117" s="16">
        <f t="shared" ref="G1117:G1119" si="75">IFERROR(E1117*F1117,0)</f>
        <v>460010</v>
      </c>
      <c r="H1117" s="17"/>
      <c r="I1117" s="4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10">
        <v>2.0</v>
      </c>
      <c r="B1118" s="29" t="s">
        <v>320</v>
      </c>
      <c r="C1118" s="30" t="s">
        <v>321</v>
      </c>
      <c r="D1118" s="20" t="s">
        <v>13</v>
      </c>
      <c r="E1118" s="21">
        <v>1.91</v>
      </c>
      <c r="F1118" s="22">
        <v>435000.0</v>
      </c>
      <c r="G1118" s="16">
        <f t="shared" si="75"/>
        <v>830850</v>
      </c>
      <c r="H1118" s="17"/>
      <c r="I1118" s="4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10">
        <v>3.0</v>
      </c>
      <c r="B1119" s="23" t="s">
        <v>14</v>
      </c>
      <c r="C1119" s="17"/>
      <c r="D1119" s="17"/>
      <c r="E1119" s="17"/>
      <c r="F1119" s="17"/>
      <c r="G1119" s="24">
        <f t="shared" si="75"/>
        <v>0</v>
      </c>
      <c r="H1119" s="17"/>
      <c r="I1119" s="4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25" t="s">
        <v>15</v>
      </c>
      <c r="B1120" s="2"/>
      <c r="C1120" s="2"/>
      <c r="D1120" s="2"/>
      <c r="E1120" s="2"/>
      <c r="F1120" s="2"/>
      <c r="G1120" s="3"/>
      <c r="H1120" s="26">
        <f>SUM(G1117:G1119)</f>
        <v>1290860</v>
      </c>
      <c r="I1120" s="4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25" t="s">
        <v>16</v>
      </c>
      <c r="B1121" s="2"/>
      <c r="C1121" s="2"/>
      <c r="D1121" s="2"/>
      <c r="E1121" s="2"/>
      <c r="F1121" s="2"/>
      <c r="G1121" s="3"/>
      <c r="H1121" s="26">
        <f>MAX(0,H1120-648000)</f>
        <v>642860</v>
      </c>
      <c r="I1121" s="4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27" t="s">
        <v>17</v>
      </c>
      <c r="B1122" s="2"/>
      <c r="C1122" s="2"/>
      <c r="D1122" s="2"/>
      <c r="E1122" s="2"/>
      <c r="F1122" s="2"/>
      <c r="G1122" s="3"/>
      <c r="H1122" s="28">
        <v>649000.0</v>
      </c>
      <c r="I1122" s="4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1" t="s">
        <v>18</v>
      </c>
      <c r="B1123" s="2"/>
      <c r="C1123" s="2"/>
      <c r="D1123" s="2"/>
      <c r="E1123" s="2"/>
      <c r="F1123" s="2"/>
      <c r="G1123" s="2"/>
      <c r="H1123" s="3"/>
      <c r="I1123" s="4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9" ht="29.25" customHeight="1">
      <c r="A1129" s="1" t="s">
        <v>0</v>
      </c>
      <c r="B1129" s="2"/>
      <c r="C1129" s="2"/>
      <c r="D1129" s="2"/>
      <c r="E1129" s="2"/>
      <c r="F1129" s="2"/>
      <c r="G1129" s="2"/>
      <c r="H1129" s="3"/>
      <c r="I1129" s="4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6" t="s">
        <v>322</v>
      </c>
      <c r="B1130" s="2"/>
      <c r="C1130" s="2"/>
      <c r="D1130" s="2"/>
      <c r="E1130" s="2"/>
      <c r="F1130" s="2"/>
      <c r="G1130" s="2"/>
      <c r="H1130" s="3"/>
      <c r="I1130" s="4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7" t="s">
        <v>2</v>
      </c>
      <c r="B1131" s="7" t="s">
        <v>3</v>
      </c>
      <c r="C1131" s="7" t="s">
        <v>4</v>
      </c>
      <c r="D1131" s="7" t="s">
        <v>5</v>
      </c>
      <c r="E1131" s="7" t="s">
        <v>6</v>
      </c>
      <c r="F1131" s="8" t="s">
        <v>7</v>
      </c>
      <c r="G1131" s="7" t="s">
        <v>8</v>
      </c>
      <c r="H1131" s="9"/>
      <c r="I1131" s="4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10">
        <v>1.0</v>
      </c>
      <c r="B1132" s="18" t="s">
        <v>323</v>
      </c>
      <c r="C1132" s="19" t="s">
        <v>324</v>
      </c>
      <c r="D1132" s="13" t="s">
        <v>11</v>
      </c>
      <c r="E1132" s="14">
        <v>1.95</v>
      </c>
      <c r="F1132" s="15">
        <v>293000.0</v>
      </c>
      <c r="G1132" s="16">
        <f t="shared" ref="G1132:G1134" si="76">IFERROR(E1132*F1132,0)</f>
        <v>571350</v>
      </c>
      <c r="H1132" s="17"/>
      <c r="I1132" s="4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10">
        <v>2.0</v>
      </c>
      <c r="B1133" s="29" t="s">
        <v>98</v>
      </c>
      <c r="C1133" s="30" t="s">
        <v>325</v>
      </c>
      <c r="D1133" s="20" t="s">
        <v>13</v>
      </c>
      <c r="E1133" s="21">
        <v>1.46</v>
      </c>
      <c r="F1133" s="22">
        <v>435000.0</v>
      </c>
      <c r="G1133" s="16">
        <f t="shared" si="76"/>
        <v>635100</v>
      </c>
      <c r="H1133" s="17"/>
      <c r="I1133" s="4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10">
        <v>3.0</v>
      </c>
      <c r="B1134" s="23" t="s">
        <v>14</v>
      </c>
      <c r="C1134" s="17"/>
      <c r="D1134" s="17"/>
      <c r="E1134" s="17"/>
      <c r="F1134" s="17"/>
      <c r="G1134" s="24">
        <f t="shared" si="76"/>
        <v>0</v>
      </c>
      <c r="H1134" s="17"/>
      <c r="I1134" s="4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25" t="s">
        <v>15</v>
      </c>
      <c r="B1135" s="2"/>
      <c r="C1135" s="2"/>
      <c r="D1135" s="2"/>
      <c r="E1135" s="2"/>
      <c r="F1135" s="2"/>
      <c r="G1135" s="3"/>
      <c r="H1135" s="26">
        <f>SUM(G1132:G1134)</f>
        <v>1206450</v>
      </c>
      <c r="I1135" s="4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25" t="s">
        <v>16</v>
      </c>
      <c r="B1136" s="2"/>
      <c r="C1136" s="2"/>
      <c r="D1136" s="2"/>
      <c r="E1136" s="2"/>
      <c r="F1136" s="2"/>
      <c r="G1136" s="3"/>
      <c r="H1136" s="26">
        <f>MAX(0,H1135-648000)</f>
        <v>558450</v>
      </c>
      <c r="I1136" s="4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27" t="s">
        <v>17</v>
      </c>
      <c r="B1137" s="2"/>
      <c r="C1137" s="2"/>
      <c r="D1137" s="2"/>
      <c r="E1137" s="2"/>
      <c r="F1137" s="2"/>
      <c r="G1137" s="3"/>
      <c r="H1137" s="28">
        <v>649000.0</v>
      </c>
      <c r="I1137" s="4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1" t="s">
        <v>18</v>
      </c>
      <c r="B1138" s="2"/>
      <c r="C1138" s="2"/>
      <c r="D1138" s="2"/>
      <c r="E1138" s="2"/>
      <c r="F1138" s="2"/>
      <c r="G1138" s="2"/>
      <c r="H1138" s="3"/>
      <c r="I1138" s="4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45" ht="29.25" customHeight="1">
      <c r="A1145" s="1" t="s">
        <v>0</v>
      </c>
      <c r="B1145" s="2"/>
      <c r="C1145" s="2"/>
      <c r="D1145" s="2"/>
      <c r="E1145" s="2"/>
      <c r="F1145" s="2"/>
      <c r="G1145" s="2"/>
      <c r="H1145" s="3"/>
      <c r="I1145" s="4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6" t="s">
        <v>326</v>
      </c>
      <c r="B1146" s="2"/>
      <c r="C1146" s="2"/>
      <c r="D1146" s="2"/>
      <c r="E1146" s="2"/>
      <c r="F1146" s="2"/>
      <c r="G1146" s="2"/>
      <c r="H1146" s="3"/>
      <c r="I1146" s="4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7" t="s">
        <v>2</v>
      </c>
      <c r="B1147" s="7" t="s">
        <v>3</v>
      </c>
      <c r="C1147" s="7" t="s">
        <v>4</v>
      </c>
      <c r="D1147" s="7" t="s">
        <v>5</v>
      </c>
      <c r="E1147" s="7" t="s">
        <v>6</v>
      </c>
      <c r="F1147" s="8" t="s">
        <v>7</v>
      </c>
      <c r="G1147" s="7" t="s">
        <v>8</v>
      </c>
      <c r="H1147" s="9"/>
      <c r="I1147" s="4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10">
        <v>1.0</v>
      </c>
      <c r="B1148" s="18" t="s">
        <v>327</v>
      </c>
      <c r="C1148" s="19" t="s">
        <v>328</v>
      </c>
      <c r="D1148" s="13" t="s">
        <v>11</v>
      </c>
      <c r="E1148" s="14">
        <v>2.0</v>
      </c>
      <c r="F1148" s="15">
        <v>293000.0</v>
      </c>
      <c r="G1148" s="16">
        <f t="shared" ref="G1148:G1150" si="77">IFERROR(E1148*F1148,0)</f>
        <v>586000</v>
      </c>
      <c r="H1148" s="17"/>
      <c r="I1148" s="4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10">
        <v>2.0</v>
      </c>
      <c r="B1149" s="29" t="s">
        <v>25</v>
      </c>
      <c r="C1149" s="30" t="s">
        <v>329</v>
      </c>
      <c r="D1149" s="20" t="s">
        <v>13</v>
      </c>
      <c r="E1149" s="21">
        <v>1.5</v>
      </c>
      <c r="F1149" s="22">
        <v>435000.0</v>
      </c>
      <c r="G1149" s="16">
        <f t="shared" si="77"/>
        <v>652500</v>
      </c>
      <c r="H1149" s="17"/>
      <c r="I1149" s="4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10">
        <v>3.0</v>
      </c>
      <c r="B1150" s="23" t="s">
        <v>14</v>
      </c>
      <c r="C1150" s="17"/>
      <c r="D1150" s="17"/>
      <c r="E1150" s="17"/>
      <c r="F1150" s="17"/>
      <c r="G1150" s="24">
        <f t="shared" si="77"/>
        <v>0</v>
      </c>
      <c r="H1150" s="17"/>
      <c r="I1150" s="4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>
      <c r="A1151" s="25" t="s">
        <v>15</v>
      </c>
      <c r="B1151" s="2"/>
      <c r="C1151" s="2"/>
      <c r="D1151" s="2"/>
      <c r="E1151" s="2"/>
      <c r="F1151" s="2"/>
      <c r="G1151" s="3"/>
      <c r="H1151" s="26">
        <f>SUM(G1148:G1150)</f>
        <v>1238500</v>
      </c>
      <c r="I1151" s="4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>
      <c r="A1152" s="25" t="s">
        <v>16</v>
      </c>
      <c r="B1152" s="2"/>
      <c r="C1152" s="2"/>
      <c r="D1152" s="2"/>
      <c r="E1152" s="2"/>
      <c r="F1152" s="2"/>
      <c r="G1152" s="3"/>
      <c r="H1152" s="26">
        <f>MAX(0,H1151-648000)</f>
        <v>590500</v>
      </c>
      <c r="I1152" s="4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>
      <c r="A1153" s="27" t="s">
        <v>17</v>
      </c>
      <c r="B1153" s="2"/>
      <c r="C1153" s="2"/>
      <c r="D1153" s="2"/>
      <c r="E1153" s="2"/>
      <c r="F1153" s="2"/>
      <c r="G1153" s="3"/>
      <c r="H1153" s="28">
        <v>649000.0</v>
      </c>
      <c r="I1153" s="4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>
      <c r="A1154" s="1" t="s">
        <v>18</v>
      </c>
      <c r="B1154" s="2"/>
      <c r="C1154" s="2"/>
      <c r="D1154" s="2"/>
      <c r="E1154" s="2"/>
      <c r="F1154" s="2"/>
      <c r="G1154" s="2"/>
      <c r="H1154" s="3"/>
      <c r="I1154" s="4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9" ht="29.25" customHeight="1">
      <c r="A1159" s="1" t="s">
        <v>0</v>
      </c>
      <c r="B1159" s="2"/>
      <c r="C1159" s="2"/>
      <c r="D1159" s="2"/>
      <c r="E1159" s="2"/>
      <c r="F1159" s="2"/>
      <c r="G1159" s="2"/>
      <c r="H1159" s="3"/>
      <c r="I1159" s="4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>
      <c r="A1160" s="6" t="s">
        <v>330</v>
      </c>
      <c r="B1160" s="2"/>
      <c r="C1160" s="2"/>
      <c r="D1160" s="2"/>
      <c r="E1160" s="2"/>
      <c r="F1160" s="2"/>
      <c r="G1160" s="2"/>
      <c r="H1160" s="3"/>
      <c r="I1160" s="4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>
      <c r="A1161" s="7" t="s">
        <v>2</v>
      </c>
      <c r="B1161" s="7" t="s">
        <v>3</v>
      </c>
      <c r="C1161" s="7" t="s">
        <v>4</v>
      </c>
      <c r="D1161" s="7" t="s">
        <v>5</v>
      </c>
      <c r="E1161" s="7" t="s">
        <v>6</v>
      </c>
      <c r="F1161" s="8" t="s">
        <v>7</v>
      </c>
      <c r="G1161" s="7" t="s">
        <v>8</v>
      </c>
      <c r="H1161" s="9"/>
      <c r="I1161" s="4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>
      <c r="A1162" s="10">
        <v>1.0</v>
      </c>
      <c r="B1162" s="18" t="s">
        <v>331</v>
      </c>
      <c r="C1162" s="19" t="s">
        <v>332</v>
      </c>
      <c r="D1162" s="13" t="s">
        <v>11</v>
      </c>
      <c r="E1162" s="14">
        <v>1.48</v>
      </c>
      <c r="F1162" s="15">
        <v>293000.0</v>
      </c>
      <c r="G1162" s="16">
        <f t="shared" ref="G1162:G1164" si="78">IFERROR(E1162*F1162,0)</f>
        <v>433640</v>
      </c>
      <c r="H1162" s="17"/>
      <c r="I1162" s="4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>
      <c r="A1163" s="10">
        <v>2.0</v>
      </c>
      <c r="B1163" s="29" t="s">
        <v>118</v>
      </c>
      <c r="C1163" s="30" t="s">
        <v>333</v>
      </c>
      <c r="D1163" s="20" t="s">
        <v>13</v>
      </c>
      <c r="E1163" s="21">
        <v>2.05</v>
      </c>
      <c r="F1163" s="22">
        <v>435000.0</v>
      </c>
      <c r="G1163" s="16">
        <f t="shared" si="78"/>
        <v>891750</v>
      </c>
      <c r="H1163" s="17"/>
      <c r="I1163" s="4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>
      <c r="A1164" s="10">
        <v>3.0</v>
      </c>
      <c r="B1164" s="23" t="s">
        <v>14</v>
      </c>
      <c r="C1164" s="17"/>
      <c r="D1164" s="17"/>
      <c r="E1164" s="17"/>
      <c r="F1164" s="17"/>
      <c r="G1164" s="24">
        <f t="shared" si="78"/>
        <v>0</v>
      </c>
      <c r="H1164" s="17"/>
      <c r="I1164" s="4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>
      <c r="A1165" s="25" t="s">
        <v>15</v>
      </c>
      <c r="B1165" s="2"/>
      <c r="C1165" s="2"/>
      <c r="D1165" s="2"/>
      <c r="E1165" s="2"/>
      <c r="F1165" s="2"/>
      <c r="G1165" s="3"/>
      <c r="H1165" s="26">
        <f>SUM(G1162:G1164)</f>
        <v>1325390</v>
      </c>
      <c r="I1165" s="4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>
      <c r="A1166" s="25" t="s">
        <v>16</v>
      </c>
      <c r="B1166" s="2"/>
      <c r="C1166" s="2"/>
      <c r="D1166" s="2"/>
      <c r="E1166" s="2"/>
      <c r="F1166" s="2"/>
      <c r="G1166" s="3"/>
      <c r="H1166" s="26">
        <f>MAX(0,H1165-648000)</f>
        <v>677390</v>
      </c>
      <c r="I1166" s="4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>
      <c r="A1167" s="27" t="s">
        <v>17</v>
      </c>
      <c r="B1167" s="2"/>
      <c r="C1167" s="2"/>
      <c r="D1167" s="2"/>
      <c r="E1167" s="2"/>
      <c r="F1167" s="2"/>
      <c r="G1167" s="3"/>
      <c r="H1167" s="28">
        <v>649000.0</v>
      </c>
      <c r="I1167" s="4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>
      <c r="A1168" s="1" t="s">
        <v>18</v>
      </c>
      <c r="B1168" s="2"/>
      <c r="C1168" s="2"/>
      <c r="D1168" s="2"/>
      <c r="E1168" s="2"/>
      <c r="F1168" s="2"/>
      <c r="G1168" s="2"/>
      <c r="H1168" s="3"/>
      <c r="I1168" s="4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74" ht="29.25" customHeight="1">
      <c r="A1174" s="1" t="s">
        <v>0</v>
      </c>
      <c r="B1174" s="2"/>
      <c r="C1174" s="2"/>
      <c r="D1174" s="2"/>
      <c r="E1174" s="2"/>
      <c r="F1174" s="2"/>
      <c r="G1174" s="2"/>
      <c r="H1174" s="3"/>
      <c r="I1174" s="4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>
      <c r="A1175" s="6" t="s">
        <v>334</v>
      </c>
      <c r="B1175" s="2"/>
      <c r="C1175" s="2"/>
      <c r="D1175" s="2"/>
      <c r="E1175" s="2"/>
      <c r="F1175" s="2"/>
      <c r="G1175" s="2"/>
      <c r="H1175" s="3"/>
      <c r="I1175" s="4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>
      <c r="A1176" s="7" t="s">
        <v>2</v>
      </c>
      <c r="B1176" s="7" t="s">
        <v>3</v>
      </c>
      <c r="C1176" s="7" t="s">
        <v>4</v>
      </c>
      <c r="D1176" s="7" t="s">
        <v>5</v>
      </c>
      <c r="E1176" s="7" t="s">
        <v>6</v>
      </c>
      <c r="F1176" s="8" t="s">
        <v>7</v>
      </c>
      <c r="G1176" s="7" t="s">
        <v>8</v>
      </c>
      <c r="H1176" s="9"/>
      <c r="I1176" s="4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>
      <c r="A1177" s="10">
        <v>1.0</v>
      </c>
      <c r="B1177" s="18" t="s">
        <v>12</v>
      </c>
      <c r="C1177" s="19" t="s">
        <v>335</v>
      </c>
      <c r="D1177" s="13" t="s">
        <v>11</v>
      </c>
      <c r="E1177" s="14">
        <v>1.92</v>
      </c>
      <c r="F1177" s="15">
        <v>293000.0</v>
      </c>
      <c r="G1177" s="16">
        <f t="shared" ref="G1177:G1179" si="79">IFERROR(E1177*F1177,0)</f>
        <v>562560</v>
      </c>
      <c r="H1177" s="17"/>
      <c r="I1177" s="4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>
      <c r="A1178" s="10">
        <v>2.0</v>
      </c>
      <c r="B1178" s="29" t="s">
        <v>144</v>
      </c>
      <c r="C1178" s="30" t="s">
        <v>336</v>
      </c>
      <c r="D1178" s="20" t="s">
        <v>13</v>
      </c>
      <c r="E1178" s="21">
        <v>1.43</v>
      </c>
      <c r="F1178" s="22">
        <v>435000.0</v>
      </c>
      <c r="G1178" s="16">
        <f t="shared" si="79"/>
        <v>622050</v>
      </c>
      <c r="H1178" s="17"/>
      <c r="I1178" s="4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>
      <c r="A1179" s="10">
        <v>3.0</v>
      </c>
      <c r="B1179" s="23" t="s">
        <v>14</v>
      </c>
      <c r="C1179" s="17"/>
      <c r="D1179" s="17"/>
      <c r="E1179" s="17"/>
      <c r="F1179" s="17"/>
      <c r="G1179" s="24">
        <f t="shared" si="79"/>
        <v>0</v>
      </c>
      <c r="H1179" s="17"/>
      <c r="I1179" s="4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>
      <c r="A1180" s="25" t="s">
        <v>15</v>
      </c>
      <c r="B1180" s="2"/>
      <c r="C1180" s="2"/>
      <c r="D1180" s="2"/>
      <c r="E1180" s="2"/>
      <c r="F1180" s="2"/>
      <c r="G1180" s="3"/>
      <c r="H1180" s="26">
        <f>SUM(G1177:G1179)</f>
        <v>1184610</v>
      </c>
      <c r="I1180" s="4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>
      <c r="A1181" s="25" t="s">
        <v>16</v>
      </c>
      <c r="B1181" s="2"/>
      <c r="C1181" s="2"/>
      <c r="D1181" s="2"/>
      <c r="E1181" s="2"/>
      <c r="F1181" s="2"/>
      <c r="G1181" s="3"/>
      <c r="H1181" s="26">
        <f>MAX(0,H1180-648000)</f>
        <v>536610</v>
      </c>
      <c r="I1181" s="4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>
      <c r="A1182" s="27" t="s">
        <v>17</v>
      </c>
      <c r="B1182" s="2"/>
      <c r="C1182" s="2"/>
      <c r="D1182" s="2"/>
      <c r="E1182" s="2"/>
      <c r="F1182" s="2"/>
      <c r="G1182" s="3"/>
      <c r="H1182" s="28">
        <v>649000.0</v>
      </c>
      <c r="I1182" s="4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>
      <c r="A1183" s="1" t="s">
        <v>18</v>
      </c>
      <c r="B1183" s="2"/>
      <c r="C1183" s="2"/>
      <c r="D1183" s="2"/>
      <c r="E1183" s="2"/>
      <c r="F1183" s="2"/>
      <c r="G1183" s="2"/>
      <c r="H1183" s="3"/>
      <c r="I1183" s="4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91" ht="29.25" customHeight="1">
      <c r="A1191" s="1" t="s">
        <v>0</v>
      </c>
      <c r="B1191" s="2"/>
      <c r="C1191" s="2"/>
      <c r="D1191" s="2"/>
      <c r="E1191" s="2"/>
      <c r="F1191" s="2"/>
      <c r="G1191" s="2"/>
      <c r="H1191" s="3"/>
      <c r="I1191" s="4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>
      <c r="A1192" s="6" t="s">
        <v>337</v>
      </c>
      <c r="B1192" s="2"/>
      <c r="C1192" s="2"/>
      <c r="D1192" s="2"/>
      <c r="E1192" s="2"/>
      <c r="F1192" s="2"/>
      <c r="G1192" s="2"/>
      <c r="H1192" s="3"/>
      <c r="I1192" s="4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>
      <c r="A1193" s="7" t="s">
        <v>2</v>
      </c>
      <c r="B1193" s="7" t="s">
        <v>3</v>
      </c>
      <c r="C1193" s="7" t="s">
        <v>4</v>
      </c>
      <c r="D1193" s="7" t="s">
        <v>5</v>
      </c>
      <c r="E1193" s="7" t="s">
        <v>6</v>
      </c>
      <c r="F1193" s="8" t="s">
        <v>7</v>
      </c>
      <c r="G1193" s="7" t="s">
        <v>8</v>
      </c>
      <c r="H1193" s="9"/>
      <c r="I1193" s="4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>
      <c r="A1194" s="10">
        <v>1.0</v>
      </c>
      <c r="B1194" s="18" t="s">
        <v>41</v>
      </c>
      <c r="C1194" s="19" t="s">
        <v>338</v>
      </c>
      <c r="D1194" s="13" t="s">
        <v>11</v>
      </c>
      <c r="E1194" s="14">
        <v>3.0</v>
      </c>
      <c r="F1194" s="15">
        <v>293000.0</v>
      </c>
      <c r="G1194" s="16">
        <f t="shared" ref="G1194:G1196" si="80">IFERROR(E1194*F1194,0)</f>
        <v>879000</v>
      </c>
      <c r="H1194" s="17"/>
      <c r="I1194" s="4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>
      <c r="A1195" s="10">
        <v>2.0</v>
      </c>
      <c r="B1195" s="29" t="s">
        <v>212</v>
      </c>
      <c r="C1195" s="30" t="s">
        <v>166</v>
      </c>
      <c r="D1195" s="20" t="s">
        <v>13</v>
      </c>
      <c r="E1195" s="21">
        <v>0.6</v>
      </c>
      <c r="F1195" s="22">
        <v>435000.0</v>
      </c>
      <c r="G1195" s="16">
        <f t="shared" si="80"/>
        <v>261000</v>
      </c>
      <c r="H1195" s="17"/>
      <c r="I1195" s="4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>
      <c r="A1196" s="10">
        <v>3.0</v>
      </c>
      <c r="B1196" s="23" t="s">
        <v>14</v>
      </c>
      <c r="C1196" s="17"/>
      <c r="D1196" s="17"/>
      <c r="E1196" s="17"/>
      <c r="F1196" s="17"/>
      <c r="G1196" s="24">
        <f t="shared" si="80"/>
        <v>0</v>
      </c>
      <c r="H1196" s="17"/>
      <c r="I1196" s="4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>
      <c r="A1197" s="25" t="s">
        <v>15</v>
      </c>
      <c r="B1197" s="2"/>
      <c r="C1197" s="2"/>
      <c r="D1197" s="2"/>
      <c r="E1197" s="2"/>
      <c r="F1197" s="2"/>
      <c r="G1197" s="3"/>
      <c r="H1197" s="26">
        <f>SUM(G1194:G1196)</f>
        <v>1140000</v>
      </c>
      <c r="I1197" s="4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>
      <c r="A1198" s="25" t="s">
        <v>16</v>
      </c>
      <c r="B1198" s="2"/>
      <c r="C1198" s="2"/>
      <c r="D1198" s="2"/>
      <c r="E1198" s="2"/>
      <c r="F1198" s="2"/>
      <c r="G1198" s="3"/>
      <c r="H1198" s="26">
        <f>MAX(0,H1197-648000)</f>
        <v>492000</v>
      </c>
      <c r="I1198" s="4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>
      <c r="A1199" s="27" t="s">
        <v>17</v>
      </c>
      <c r="B1199" s="2"/>
      <c r="C1199" s="2"/>
      <c r="D1199" s="2"/>
      <c r="E1199" s="2"/>
      <c r="F1199" s="2"/>
      <c r="G1199" s="3"/>
      <c r="H1199" s="28">
        <v>649000.0</v>
      </c>
      <c r="I1199" s="4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>
      <c r="A1200" s="1" t="s">
        <v>18</v>
      </c>
      <c r="B1200" s="2"/>
      <c r="C1200" s="2"/>
      <c r="D1200" s="2"/>
      <c r="E1200" s="2"/>
      <c r="F1200" s="2"/>
      <c r="G1200" s="2"/>
      <c r="H1200" s="3"/>
      <c r="I1200" s="4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6" ht="29.25" customHeight="1">
      <c r="A1206" s="1" t="s">
        <v>0</v>
      </c>
      <c r="B1206" s="2"/>
      <c r="C1206" s="2"/>
      <c r="D1206" s="2"/>
      <c r="E1206" s="2"/>
      <c r="F1206" s="2"/>
      <c r="G1206" s="2"/>
      <c r="H1206" s="3"/>
      <c r="I1206" s="4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>
      <c r="A1207" s="6" t="s">
        <v>339</v>
      </c>
      <c r="B1207" s="2"/>
      <c r="C1207" s="2"/>
      <c r="D1207" s="2"/>
      <c r="E1207" s="2"/>
      <c r="F1207" s="2"/>
      <c r="G1207" s="2"/>
      <c r="H1207" s="3"/>
      <c r="I1207" s="4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>
      <c r="A1208" s="7" t="s">
        <v>2</v>
      </c>
      <c r="B1208" s="7" t="s">
        <v>3</v>
      </c>
      <c r="C1208" s="7" t="s">
        <v>4</v>
      </c>
      <c r="D1208" s="7" t="s">
        <v>5</v>
      </c>
      <c r="E1208" s="7" t="s">
        <v>6</v>
      </c>
      <c r="F1208" s="8" t="s">
        <v>7</v>
      </c>
      <c r="G1208" s="7" t="s">
        <v>8</v>
      </c>
      <c r="H1208" s="9"/>
      <c r="I1208" s="4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>
      <c r="A1209" s="10">
        <v>1.0</v>
      </c>
      <c r="B1209" s="18" t="s">
        <v>197</v>
      </c>
      <c r="C1209" s="19" t="s">
        <v>340</v>
      </c>
      <c r="D1209" s="13" t="s">
        <v>11</v>
      </c>
      <c r="E1209" s="14">
        <v>1.76</v>
      </c>
      <c r="F1209" s="15">
        <v>293000.0</v>
      </c>
      <c r="G1209" s="16">
        <f t="shared" ref="G1209:G1211" si="81">IFERROR(E1209*F1209,0)</f>
        <v>515680</v>
      </c>
      <c r="H1209" s="17"/>
      <c r="I1209" s="4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>
      <c r="A1210" s="10">
        <v>2.0</v>
      </c>
      <c r="B1210" s="29" t="s">
        <v>22</v>
      </c>
      <c r="C1210" s="30" t="s">
        <v>341</v>
      </c>
      <c r="D1210" s="20" t="s">
        <v>13</v>
      </c>
      <c r="E1210" s="21">
        <v>1.62</v>
      </c>
      <c r="F1210" s="22">
        <v>435000.0</v>
      </c>
      <c r="G1210" s="16">
        <f t="shared" si="81"/>
        <v>704700</v>
      </c>
      <c r="H1210" s="17"/>
      <c r="I1210" s="4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>
      <c r="A1211" s="10">
        <v>3.0</v>
      </c>
      <c r="B1211" s="23" t="s">
        <v>14</v>
      </c>
      <c r="C1211" s="17"/>
      <c r="D1211" s="17"/>
      <c r="E1211" s="17"/>
      <c r="F1211" s="17"/>
      <c r="G1211" s="24">
        <f t="shared" si="81"/>
        <v>0</v>
      </c>
      <c r="H1211" s="17"/>
      <c r="I1211" s="4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>
      <c r="A1212" s="25" t="s">
        <v>15</v>
      </c>
      <c r="B1212" s="2"/>
      <c r="C1212" s="2"/>
      <c r="D1212" s="2"/>
      <c r="E1212" s="2"/>
      <c r="F1212" s="2"/>
      <c r="G1212" s="3"/>
      <c r="H1212" s="26">
        <f>SUM(G1209:G1211)</f>
        <v>1220380</v>
      </c>
      <c r="I1212" s="4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>
      <c r="A1213" s="25" t="s">
        <v>16</v>
      </c>
      <c r="B1213" s="2"/>
      <c r="C1213" s="2"/>
      <c r="D1213" s="2"/>
      <c r="E1213" s="2"/>
      <c r="F1213" s="2"/>
      <c r="G1213" s="3"/>
      <c r="H1213" s="26">
        <f>MAX(0,H1212-648000)</f>
        <v>572380</v>
      </c>
      <c r="I1213" s="4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>
      <c r="A1214" s="27" t="s">
        <v>17</v>
      </c>
      <c r="B1214" s="2"/>
      <c r="C1214" s="2"/>
      <c r="D1214" s="2"/>
      <c r="E1214" s="2"/>
      <c r="F1214" s="2"/>
      <c r="G1214" s="3"/>
      <c r="H1214" s="28">
        <v>649000.0</v>
      </c>
      <c r="I1214" s="4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>
      <c r="A1215" s="1" t="s">
        <v>18</v>
      </c>
      <c r="B1215" s="2"/>
      <c r="C1215" s="2"/>
      <c r="D1215" s="2"/>
      <c r="E1215" s="2"/>
      <c r="F1215" s="2"/>
      <c r="G1215" s="2"/>
      <c r="H1215" s="3"/>
      <c r="I1215" s="4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22" ht="29.25" customHeight="1">
      <c r="A1222" s="1" t="s">
        <v>0</v>
      </c>
      <c r="B1222" s="2"/>
      <c r="C1222" s="2"/>
      <c r="D1222" s="2"/>
      <c r="E1222" s="2"/>
      <c r="F1222" s="2"/>
      <c r="G1222" s="2"/>
      <c r="H1222" s="3"/>
      <c r="I1222" s="4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>
      <c r="A1223" s="6" t="s">
        <v>342</v>
      </c>
      <c r="B1223" s="2"/>
      <c r="C1223" s="2"/>
      <c r="D1223" s="2"/>
      <c r="E1223" s="2"/>
      <c r="F1223" s="2"/>
      <c r="G1223" s="2"/>
      <c r="H1223" s="3"/>
      <c r="I1223" s="4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>
      <c r="A1224" s="7" t="s">
        <v>2</v>
      </c>
      <c r="B1224" s="7" t="s">
        <v>3</v>
      </c>
      <c r="C1224" s="7" t="s">
        <v>4</v>
      </c>
      <c r="D1224" s="7" t="s">
        <v>5</v>
      </c>
      <c r="E1224" s="7" t="s">
        <v>6</v>
      </c>
      <c r="F1224" s="8" t="s">
        <v>7</v>
      </c>
      <c r="G1224" s="7" t="s">
        <v>8</v>
      </c>
      <c r="H1224" s="9"/>
      <c r="I1224" s="4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>
      <c r="A1225" s="10">
        <v>1.0</v>
      </c>
      <c r="B1225" s="18" t="s">
        <v>197</v>
      </c>
      <c r="C1225" s="19" t="s">
        <v>115</v>
      </c>
      <c r="D1225" s="13" t="s">
        <v>11</v>
      </c>
      <c r="E1225" s="14">
        <v>2.2</v>
      </c>
      <c r="F1225" s="15">
        <v>293000.0</v>
      </c>
      <c r="G1225" s="16">
        <f t="shared" ref="G1225:G1227" si="82">IFERROR(E1225*F1225,0)</f>
        <v>644600</v>
      </c>
      <c r="H1225" s="17"/>
      <c r="I1225" s="4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>
      <c r="A1226" s="10">
        <v>2.0</v>
      </c>
      <c r="B1226" s="29" t="s">
        <v>343</v>
      </c>
      <c r="C1226" s="30" t="s">
        <v>344</v>
      </c>
      <c r="D1226" s="20" t="s">
        <v>13</v>
      </c>
      <c r="E1226" s="21">
        <v>1.25</v>
      </c>
      <c r="F1226" s="22">
        <v>435000.0</v>
      </c>
      <c r="G1226" s="16">
        <f t="shared" si="82"/>
        <v>543750</v>
      </c>
      <c r="H1226" s="17"/>
      <c r="I1226" s="4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>
      <c r="A1227" s="10">
        <v>3.0</v>
      </c>
      <c r="B1227" s="23" t="s">
        <v>14</v>
      </c>
      <c r="C1227" s="17"/>
      <c r="D1227" s="17"/>
      <c r="E1227" s="17"/>
      <c r="F1227" s="17"/>
      <c r="G1227" s="24">
        <f t="shared" si="82"/>
        <v>0</v>
      </c>
      <c r="H1227" s="17"/>
      <c r="I1227" s="4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>
      <c r="A1228" s="25" t="s">
        <v>15</v>
      </c>
      <c r="B1228" s="2"/>
      <c r="C1228" s="2"/>
      <c r="D1228" s="2"/>
      <c r="E1228" s="2"/>
      <c r="F1228" s="2"/>
      <c r="G1228" s="3"/>
      <c r="H1228" s="26">
        <f>SUM(G1225:G1227)</f>
        <v>1188350</v>
      </c>
      <c r="I1228" s="4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>
      <c r="A1229" s="25" t="s">
        <v>16</v>
      </c>
      <c r="B1229" s="2"/>
      <c r="C1229" s="2"/>
      <c r="D1229" s="2"/>
      <c r="E1229" s="2"/>
      <c r="F1229" s="2"/>
      <c r="G1229" s="3"/>
      <c r="H1229" s="26">
        <f>MAX(0,H1228-648000)</f>
        <v>540350</v>
      </c>
      <c r="I1229" s="4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>
      <c r="A1230" s="27" t="s">
        <v>17</v>
      </c>
      <c r="B1230" s="2"/>
      <c r="C1230" s="2"/>
      <c r="D1230" s="2"/>
      <c r="E1230" s="2"/>
      <c r="F1230" s="2"/>
      <c r="G1230" s="3"/>
      <c r="H1230" s="28">
        <v>649000.0</v>
      </c>
      <c r="I1230" s="4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>
      <c r="A1231" s="1" t="s">
        <v>18</v>
      </c>
      <c r="B1231" s="2"/>
      <c r="C1231" s="2"/>
      <c r="D1231" s="2"/>
      <c r="E1231" s="2"/>
      <c r="F1231" s="2"/>
      <c r="G1231" s="2"/>
      <c r="H1231" s="3"/>
      <c r="I1231" s="4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9" ht="29.25" customHeight="1">
      <c r="A1239" s="1" t="s">
        <v>0</v>
      </c>
      <c r="B1239" s="2"/>
      <c r="C1239" s="2"/>
      <c r="D1239" s="2"/>
      <c r="E1239" s="2"/>
      <c r="F1239" s="2"/>
      <c r="G1239" s="2"/>
      <c r="H1239" s="3"/>
      <c r="I1239" s="4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>
      <c r="A1240" s="6" t="s">
        <v>345</v>
      </c>
      <c r="B1240" s="2"/>
      <c r="C1240" s="2"/>
      <c r="D1240" s="2"/>
      <c r="E1240" s="2"/>
      <c r="F1240" s="2"/>
      <c r="G1240" s="2"/>
      <c r="H1240" s="3"/>
      <c r="I1240" s="4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>
      <c r="A1241" s="7" t="s">
        <v>2</v>
      </c>
      <c r="B1241" s="7" t="s">
        <v>3</v>
      </c>
      <c r="C1241" s="7" t="s">
        <v>4</v>
      </c>
      <c r="D1241" s="7" t="s">
        <v>5</v>
      </c>
      <c r="E1241" s="7" t="s">
        <v>6</v>
      </c>
      <c r="F1241" s="8" t="s">
        <v>7</v>
      </c>
      <c r="G1241" s="7" t="s">
        <v>8</v>
      </c>
      <c r="H1241" s="9"/>
      <c r="I1241" s="4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>
      <c r="A1242" s="10">
        <v>1.0</v>
      </c>
      <c r="B1242" s="18" t="s">
        <v>12</v>
      </c>
      <c r="C1242" s="19" t="s">
        <v>166</v>
      </c>
      <c r="D1242" s="13" t="s">
        <v>11</v>
      </c>
      <c r="E1242" s="14">
        <v>2.0</v>
      </c>
      <c r="F1242" s="15">
        <v>293000.0</v>
      </c>
      <c r="G1242" s="16">
        <f t="shared" ref="G1242:G1244" si="83">IFERROR(E1242*F1242,0)</f>
        <v>586000</v>
      </c>
      <c r="H1242" s="17"/>
      <c r="I1242" s="4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>
      <c r="A1243" s="10">
        <v>2.0</v>
      </c>
      <c r="B1243" s="29" t="s">
        <v>72</v>
      </c>
      <c r="C1243" s="30" t="s">
        <v>346</v>
      </c>
      <c r="D1243" s="20" t="s">
        <v>13</v>
      </c>
      <c r="E1243" s="21">
        <v>1.44</v>
      </c>
      <c r="F1243" s="22">
        <v>435000.0</v>
      </c>
      <c r="G1243" s="16">
        <f t="shared" si="83"/>
        <v>626400</v>
      </c>
      <c r="H1243" s="17"/>
      <c r="I1243" s="4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>
      <c r="A1244" s="10">
        <v>3.0</v>
      </c>
      <c r="B1244" s="23" t="s">
        <v>14</v>
      </c>
      <c r="C1244" s="17"/>
      <c r="D1244" s="17"/>
      <c r="E1244" s="17"/>
      <c r="F1244" s="17"/>
      <c r="G1244" s="24">
        <f t="shared" si="83"/>
        <v>0</v>
      </c>
      <c r="H1244" s="17"/>
      <c r="I1244" s="4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>
      <c r="A1245" s="25" t="s">
        <v>15</v>
      </c>
      <c r="B1245" s="2"/>
      <c r="C1245" s="2"/>
      <c r="D1245" s="2"/>
      <c r="E1245" s="2"/>
      <c r="F1245" s="2"/>
      <c r="G1245" s="3"/>
      <c r="H1245" s="26">
        <f>SUM(G1242:G1244)</f>
        <v>1212400</v>
      </c>
      <c r="I1245" s="4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>
      <c r="A1246" s="25" t="s">
        <v>16</v>
      </c>
      <c r="B1246" s="2"/>
      <c r="C1246" s="2"/>
      <c r="D1246" s="2"/>
      <c r="E1246" s="2"/>
      <c r="F1246" s="2"/>
      <c r="G1246" s="3"/>
      <c r="H1246" s="26">
        <f>MAX(0,H1245-648000)</f>
        <v>564400</v>
      </c>
      <c r="I1246" s="4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>
      <c r="A1247" s="27" t="s">
        <v>17</v>
      </c>
      <c r="B1247" s="2"/>
      <c r="C1247" s="2"/>
      <c r="D1247" s="2"/>
      <c r="E1247" s="2"/>
      <c r="F1247" s="2"/>
      <c r="G1247" s="3"/>
      <c r="H1247" s="28">
        <v>649000.0</v>
      </c>
      <c r="I1247" s="4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>
      <c r="A1248" s="1" t="s">
        <v>18</v>
      </c>
      <c r="B1248" s="2"/>
      <c r="C1248" s="2"/>
      <c r="D1248" s="2"/>
      <c r="E1248" s="2"/>
      <c r="F1248" s="2"/>
      <c r="G1248" s="2"/>
      <c r="H1248" s="3"/>
      <c r="I1248" s="4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53" ht="29.25" customHeight="1">
      <c r="A1253" s="1" t="s">
        <v>0</v>
      </c>
      <c r="B1253" s="2"/>
      <c r="C1253" s="2"/>
      <c r="D1253" s="2"/>
      <c r="E1253" s="2"/>
      <c r="F1253" s="2"/>
      <c r="G1253" s="2"/>
      <c r="H1253" s="3"/>
      <c r="I1253" s="4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>
      <c r="A1254" s="6" t="s">
        <v>347</v>
      </c>
      <c r="B1254" s="2"/>
      <c r="C1254" s="2"/>
      <c r="D1254" s="2"/>
      <c r="E1254" s="2"/>
      <c r="F1254" s="2"/>
      <c r="G1254" s="2"/>
      <c r="H1254" s="3"/>
      <c r="I1254" s="4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>
      <c r="A1255" s="7" t="s">
        <v>2</v>
      </c>
      <c r="B1255" s="7" t="s">
        <v>3</v>
      </c>
      <c r="C1255" s="7" t="s">
        <v>4</v>
      </c>
      <c r="D1255" s="7" t="s">
        <v>5</v>
      </c>
      <c r="E1255" s="7" t="s">
        <v>6</v>
      </c>
      <c r="F1255" s="8" t="s">
        <v>7</v>
      </c>
      <c r="G1255" s="7" t="s">
        <v>8</v>
      </c>
      <c r="H1255" s="9"/>
      <c r="I1255" s="4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>
      <c r="A1256" s="10">
        <v>1.0</v>
      </c>
      <c r="B1256" s="18" t="s">
        <v>348</v>
      </c>
      <c r="C1256" s="19" t="s">
        <v>349</v>
      </c>
      <c r="D1256" s="13" t="s">
        <v>11</v>
      </c>
      <c r="E1256" s="14">
        <v>2.33</v>
      </c>
      <c r="F1256" s="15">
        <v>293000.0</v>
      </c>
      <c r="G1256" s="16">
        <f t="shared" ref="G1256:G1258" si="84">IFERROR(E1256*F1256,0)</f>
        <v>682690</v>
      </c>
      <c r="H1256" s="17"/>
      <c r="I1256" s="4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>
      <c r="A1257" s="10">
        <v>2.0</v>
      </c>
      <c r="B1257" s="29" t="s">
        <v>218</v>
      </c>
      <c r="C1257" s="30" t="s">
        <v>350</v>
      </c>
      <c r="D1257" s="20" t="s">
        <v>13</v>
      </c>
      <c r="E1257" s="21">
        <v>1.3</v>
      </c>
      <c r="F1257" s="22">
        <v>435000.0</v>
      </c>
      <c r="G1257" s="16">
        <f t="shared" si="84"/>
        <v>565500</v>
      </c>
      <c r="H1257" s="17"/>
      <c r="I1257" s="4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>
      <c r="A1258" s="10">
        <v>3.0</v>
      </c>
      <c r="B1258" s="23" t="s">
        <v>14</v>
      </c>
      <c r="C1258" s="17"/>
      <c r="D1258" s="17"/>
      <c r="E1258" s="17"/>
      <c r="F1258" s="17"/>
      <c r="G1258" s="24">
        <f t="shared" si="84"/>
        <v>0</v>
      </c>
      <c r="H1258" s="17"/>
      <c r="I1258" s="4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>
      <c r="A1259" s="25" t="s">
        <v>15</v>
      </c>
      <c r="B1259" s="2"/>
      <c r="C1259" s="2"/>
      <c r="D1259" s="2"/>
      <c r="E1259" s="2"/>
      <c r="F1259" s="2"/>
      <c r="G1259" s="3"/>
      <c r="H1259" s="26">
        <f>SUM(G1256:G1258)</f>
        <v>1248190</v>
      </c>
      <c r="I1259" s="4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>
      <c r="A1260" s="25" t="s">
        <v>16</v>
      </c>
      <c r="B1260" s="2"/>
      <c r="C1260" s="2"/>
      <c r="D1260" s="2"/>
      <c r="E1260" s="2"/>
      <c r="F1260" s="2"/>
      <c r="G1260" s="3"/>
      <c r="H1260" s="26">
        <f>MAX(0,H1259-648000)</f>
        <v>600190</v>
      </c>
      <c r="I1260" s="4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>
      <c r="A1261" s="27" t="s">
        <v>17</v>
      </c>
      <c r="B1261" s="2"/>
      <c r="C1261" s="2"/>
      <c r="D1261" s="2"/>
      <c r="E1261" s="2"/>
      <c r="F1261" s="2"/>
      <c r="G1261" s="3"/>
      <c r="H1261" s="28">
        <v>649000.0</v>
      </c>
      <c r="I1261" s="4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>
      <c r="A1262" s="1" t="s">
        <v>18</v>
      </c>
      <c r="B1262" s="2"/>
      <c r="C1262" s="2"/>
      <c r="D1262" s="2"/>
      <c r="E1262" s="2"/>
      <c r="F1262" s="2"/>
      <c r="G1262" s="2"/>
      <c r="H1262" s="3"/>
      <c r="I1262" s="4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9" ht="29.25" customHeight="1">
      <c r="A1269" s="1" t="s">
        <v>0</v>
      </c>
      <c r="B1269" s="2"/>
      <c r="C1269" s="2"/>
      <c r="D1269" s="2"/>
      <c r="E1269" s="2"/>
      <c r="F1269" s="2"/>
      <c r="G1269" s="2"/>
      <c r="H1269" s="3"/>
      <c r="I1269" s="4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>
      <c r="A1270" s="6" t="s">
        <v>351</v>
      </c>
      <c r="B1270" s="2"/>
      <c r="C1270" s="2"/>
      <c r="D1270" s="2"/>
      <c r="E1270" s="2"/>
      <c r="F1270" s="2"/>
      <c r="G1270" s="2"/>
      <c r="H1270" s="3"/>
      <c r="I1270" s="4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>
      <c r="A1271" s="7" t="s">
        <v>2</v>
      </c>
      <c r="B1271" s="7" t="s">
        <v>3</v>
      </c>
      <c r="C1271" s="7" t="s">
        <v>4</v>
      </c>
      <c r="D1271" s="7" t="s">
        <v>5</v>
      </c>
      <c r="E1271" s="7" t="s">
        <v>6</v>
      </c>
      <c r="F1271" s="8" t="s">
        <v>7</v>
      </c>
      <c r="G1271" s="7" t="s">
        <v>8</v>
      </c>
      <c r="H1271" s="9"/>
      <c r="I1271" s="4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>
      <c r="A1272" s="10">
        <v>1.0</v>
      </c>
      <c r="B1272" s="18" t="s">
        <v>94</v>
      </c>
      <c r="C1272" s="19" t="s">
        <v>352</v>
      </c>
      <c r="D1272" s="13" t="s">
        <v>11</v>
      </c>
      <c r="E1272" s="14">
        <v>1.65</v>
      </c>
      <c r="F1272" s="15">
        <v>293000.0</v>
      </c>
      <c r="G1272" s="16">
        <f t="shared" ref="G1272:G1274" si="85">IFERROR(E1272*F1272,0)</f>
        <v>483450</v>
      </c>
      <c r="H1272" s="17"/>
      <c r="I1272" s="4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>
      <c r="A1273" s="10">
        <v>2.0</v>
      </c>
      <c r="B1273" s="29" t="s">
        <v>12</v>
      </c>
      <c r="C1273" s="30" t="s">
        <v>353</v>
      </c>
      <c r="D1273" s="20" t="s">
        <v>13</v>
      </c>
      <c r="E1273" s="21">
        <v>1.7</v>
      </c>
      <c r="F1273" s="22">
        <v>435000.0</v>
      </c>
      <c r="G1273" s="16">
        <f t="shared" si="85"/>
        <v>739500</v>
      </c>
      <c r="H1273" s="17"/>
      <c r="I1273" s="4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>
      <c r="A1274" s="10">
        <v>3.0</v>
      </c>
      <c r="B1274" s="23" t="s">
        <v>14</v>
      </c>
      <c r="C1274" s="17"/>
      <c r="D1274" s="17"/>
      <c r="E1274" s="17"/>
      <c r="F1274" s="17"/>
      <c r="G1274" s="24">
        <f t="shared" si="85"/>
        <v>0</v>
      </c>
      <c r="H1274" s="17"/>
      <c r="I1274" s="4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>
      <c r="A1275" s="25" t="s">
        <v>15</v>
      </c>
      <c r="B1275" s="2"/>
      <c r="C1275" s="2"/>
      <c r="D1275" s="2"/>
      <c r="E1275" s="2"/>
      <c r="F1275" s="2"/>
      <c r="G1275" s="3"/>
      <c r="H1275" s="26">
        <f>SUM(G1272:G1274)</f>
        <v>1222950</v>
      </c>
      <c r="I1275" s="4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>
      <c r="A1276" s="25" t="s">
        <v>16</v>
      </c>
      <c r="B1276" s="2"/>
      <c r="C1276" s="2"/>
      <c r="D1276" s="2"/>
      <c r="E1276" s="2"/>
      <c r="F1276" s="2"/>
      <c r="G1276" s="3"/>
      <c r="H1276" s="26">
        <f>MAX(0,H1275-648000)</f>
        <v>574950</v>
      </c>
      <c r="I1276" s="4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>
      <c r="A1277" s="27" t="s">
        <v>17</v>
      </c>
      <c r="B1277" s="2"/>
      <c r="C1277" s="2"/>
      <c r="D1277" s="2"/>
      <c r="E1277" s="2"/>
      <c r="F1277" s="2"/>
      <c r="G1277" s="3"/>
      <c r="H1277" s="28">
        <v>649000.0</v>
      </c>
      <c r="I1277" s="4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>
      <c r="A1278" s="1" t="s">
        <v>18</v>
      </c>
      <c r="B1278" s="2"/>
      <c r="C1278" s="2"/>
      <c r="D1278" s="2"/>
      <c r="E1278" s="2"/>
      <c r="F1278" s="2"/>
      <c r="G1278" s="2"/>
      <c r="H1278" s="3"/>
      <c r="I1278" s="4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84" ht="29.25" customHeight="1">
      <c r="A1284" s="1" t="s">
        <v>0</v>
      </c>
      <c r="B1284" s="2"/>
      <c r="C1284" s="2"/>
      <c r="D1284" s="2"/>
      <c r="E1284" s="2"/>
      <c r="F1284" s="2"/>
      <c r="G1284" s="2"/>
      <c r="H1284" s="3"/>
      <c r="I1284" s="4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>
      <c r="A1285" s="6" t="s">
        <v>354</v>
      </c>
      <c r="B1285" s="2"/>
      <c r="C1285" s="2"/>
      <c r="D1285" s="2"/>
      <c r="E1285" s="2"/>
      <c r="F1285" s="2"/>
      <c r="G1285" s="2"/>
      <c r="H1285" s="3"/>
      <c r="I1285" s="4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>
      <c r="A1286" s="7" t="s">
        <v>2</v>
      </c>
      <c r="B1286" s="7" t="s">
        <v>3</v>
      </c>
      <c r="C1286" s="7" t="s">
        <v>4</v>
      </c>
      <c r="D1286" s="7" t="s">
        <v>5</v>
      </c>
      <c r="E1286" s="7" t="s">
        <v>6</v>
      </c>
      <c r="F1286" s="8" t="s">
        <v>7</v>
      </c>
      <c r="G1286" s="7" t="s">
        <v>8</v>
      </c>
      <c r="H1286" s="9"/>
      <c r="I1286" s="4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>
      <c r="A1287" s="10">
        <v>1.0</v>
      </c>
      <c r="B1287" s="18" t="s">
        <v>48</v>
      </c>
      <c r="C1287" s="19" t="s">
        <v>114</v>
      </c>
      <c r="D1287" s="13" t="s">
        <v>11</v>
      </c>
      <c r="E1287" s="14">
        <v>1.5</v>
      </c>
      <c r="F1287" s="15">
        <v>293000.0</v>
      </c>
      <c r="G1287" s="16">
        <f t="shared" ref="G1287:G1289" si="86">IFERROR(E1287*F1287,0)</f>
        <v>439500</v>
      </c>
      <c r="H1287" s="17"/>
      <c r="I1287" s="4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>
      <c r="A1288" s="10">
        <v>2.0</v>
      </c>
      <c r="B1288" s="29" t="s">
        <v>118</v>
      </c>
      <c r="C1288" s="30" t="s">
        <v>355</v>
      </c>
      <c r="D1288" s="20" t="s">
        <v>13</v>
      </c>
      <c r="E1288" s="21">
        <v>1.9</v>
      </c>
      <c r="F1288" s="22">
        <v>435000.0</v>
      </c>
      <c r="G1288" s="16">
        <f t="shared" si="86"/>
        <v>826500</v>
      </c>
      <c r="H1288" s="17"/>
      <c r="I1288" s="4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>
      <c r="A1289" s="10">
        <v>3.0</v>
      </c>
      <c r="B1289" s="23" t="s">
        <v>14</v>
      </c>
      <c r="C1289" s="17"/>
      <c r="D1289" s="17"/>
      <c r="E1289" s="17"/>
      <c r="F1289" s="17"/>
      <c r="G1289" s="24">
        <f t="shared" si="86"/>
        <v>0</v>
      </c>
      <c r="H1289" s="17"/>
      <c r="I1289" s="4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>
      <c r="A1290" s="25" t="s">
        <v>15</v>
      </c>
      <c r="B1290" s="2"/>
      <c r="C1290" s="2"/>
      <c r="D1290" s="2"/>
      <c r="E1290" s="2"/>
      <c r="F1290" s="2"/>
      <c r="G1290" s="3"/>
      <c r="H1290" s="26">
        <f>SUM(G1287:G1289)</f>
        <v>1266000</v>
      </c>
      <c r="I1290" s="4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>
      <c r="A1291" s="25" t="s">
        <v>16</v>
      </c>
      <c r="B1291" s="2"/>
      <c r="C1291" s="2"/>
      <c r="D1291" s="2"/>
      <c r="E1291" s="2"/>
      <c r="F1291" s="2"/>
      <c r="G1291" s="3"/>
      <c r="H1291" s="26">
        <f>MAX(0,H1290-648000)</f>
        <v>618000</v>
      </c>
      <c r="I1291" s="4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>
      <c r="A1292" s="27" t="s">
        <v>17</v>
      </c>
      <c r="B1292" s="2"/>
      <c r="C1292" s="2"/>
      <c r="D1292" s="2"/>
      <c r="E1292" s="2"/>
      <c r="F1292" s="2"/>
      <c r="G1292" s="3"/>
      <c r="H1292" s="28">
        <v>649000.0</v>
      </c>
      <c r="I1292" s="4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>
      <c r="A1293" s="1" t="s">
        <v>18</v>
      </c>
      <c r="B1293" s="2"/>
      <c r="C1293" s="2"/>
      <c r="D1293" s="2"/>
      <c r="E1293" s="2"/>
      <c r="F1293" s="2"/>
      <c r="G1293" s="2"/>
      <c r="H1293" s="3"/>
      <c r="I1293" s="4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7" ht="29.25" customHeight="1">
      <c r="A1297" s="1" t="s">
        <v>0</v>
      </c>
      <c r="B1297" s="2"/>
      <c r="C1297" s="2"/>
      <c r="D1297" s="2"/>
      <c r="E1297" s="2"/>
      <c r="F1297" s="2"/>
      <c r="G1297" s="2"/>
      <c r="H1297" s="3"/>
      <c r="I1297" s="4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>
      <c r="A1298" s="6" t="s">
        <v>356</v>
      </c>
      <c r="B1298" s="2"/>
      <c r="C1298" s="2"/>
      <c r="D1298" s="2"/>
      <c r="E1298" s="2"/>
      <c r="F1298" s="2"/>
      <c r="G1298" s="2"/>
      <c r="H1298" s="3"/>
      <c r="I1298" s="4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>
      <c r="A1299" s="7" t="s">
        <v>2</v>
      </c>
      <c r="B1299" s="7" t="s">
        <v>3</v>
      </c>
      <c r="C1299" s="7" t="s">
        <v>4</v>
      </c>
      <c r="D1299" s="7" t="s">
        <v>5</v>
      </c>
      <c r="E1299" s="7" t="s">
        <v>6</v>
      </c>
      <c r="F1299" s="8" t="s">
        <v>7</v>
      </c>
      <c r="G1299" s="7" t="s">
        <v>8</v>
      </c>
      <c r="H1299" s="9"/>
      <c r="I1299" s="4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>
      <c r="A1300" s="10">
        <v>1.0</v>
      </c>
      <c r="B1300" s="18" t="s">
        <v>206</v>
      </c>
      <c r="C1300" s="19" t="s">
        <v>357</v>
      </c>
      <c r="D1300" s="13" t="s">
        <v>11</v>
      </c>
      <c r="E1300" s="14">
        <v>1.38</v>
      </c>
      <c r="F1300" s="15">
        <v>293000.0</v>
      </c>
      <c r="G1300" s="16">
        <f t="shared" ref="G1300:G1302" si="87">IFERROR(E1300*F1300,0)</f>
        <v>404340</v>
      </c>
      <c r="H1300" s="17"/>
      <c r="I1300" s="4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>
      <c r="A1301" s="10">
        <v>2.0</v>
      </c>
      <c r="B1301" s="29" t="s">
        <v>41</v>
      </c>
      <c r="C1301" s="30" t="s">
        <v>358</v>
      </c>
      <c r="D1301" s="20" t="s">
        <v>13</v>
      </c>
      <c r="E1301" s="21">
        <v>2.2</v>
      </c>
      <c r="F1301" s="22">
        <v>435000.0</v>
      </c>
      <c r="G1301" s="16">
        <f t="shared" si="87"/>
        <v>957000</v>
      </c>
      <c r="H1301" s="17"/>
      <c r="I1301" s="4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>
      <c r="A1302" s="10">
        <v>3.0</v>
      </c>
      <c r="B1302" s="23" t="s">
        <v>14</v>
      </c>
      <c r="C1302" s="17"/>
      <c r="D1302" s="17"/>
      <c r="E1302" s="17"/>
      <c r="F1302" s="17"/>
      <c r="G1302" s="24">
        <f t="shared" si="87"/>
        <v>0</v>
      </c>
      <c r="H1302" s="17"/>
      <c r="I1302" s="4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>
      <c r="A1303" s="25" t="s">
        <v>15</v>
      </c>
      <c r="B1303" s="2"/>
      <c r="C1303" s="2"/>
      <c r="D1303" s="2"/>
      <c r="E1303" s="2"/>
      <c r="F1303" s="2"/>
      <c r="G1303" s="3"/>
      <c r="H1303" s="26">
        <f>SUM(G1300:G1302)</f>
        <v>1361340</v>
      </c>
      <c r="I1303" s="4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>
      <c r="A1304" s="25" t="s">
        <v>16</v>
      </c>
      <c r="B1304" s="2"/>
      <c r="C1304" s="2"/>
      <c r="D1304" s="2"/>
      <c r="E1304" s="2"/>
      <c r="F1304" s="2"/>
      <c r="G1304" s="3"/>
      <c r="H1304" s="26">
        <f>MAX(0,H1303-648000)</f>
        <v>713340</v>
      </c>
      <c r="I1304" s="4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>
      <c r="A1305" s="27" t="s">
        <v>17</v>
      </c>
      <c r="B1305" s="2"/>
      <c r="C1305" s="2"/>
      <c r="D1305" s="2"/>
      <c r="E1305" s="2"/>
      <c r="F1305" s="2"/>
      <c r="G1305" s="3"/>
      <c r="H1305" s="28">
        <v>649000.0</v>
      </c>
      <c r="I1305" s="4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>
      <c r="A1306" s="1" t="s">
        <v>18</v>
      </c>
      <c r="B1306" s="2"/>
      <c r="C1306" s="2"/>
      <c r="D1306" s="2"/>
      <c r="E1306" s="2"/>
      <c r="F1306" s="2"/>
      <c r="G1306" s="2"/>
      <c r="H1306" s="3"/>
      <c r="I1306" s="4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16" ht="29.25" customHeight="1">
      <c r="A1316" s="1" t="s">
        <v>0</v>
      </c>
      <c r="B1316" s="2"/>
      <c r="C1316" s="2"/>
      <c r="D1316" s="2"/>
      <c r="E1316" s="2"/>
      <c r="F1316" s="2"/>
      <c r="G1316" s="2"/>
      <c r="H1316" s="3"/>
      <c r="I1316" s="4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>
      <c r="A1317" s="6" t="s">
        <v>359</v>
      </c>
      <c r="B1317" s="2"/>
      <c r="C1317" s="2"/>
      <c r="D1317" s="2"/>
      <c r="E1317" s="2"/>
      <c r="F1317" s="2"/>
      <c r="G1317" s="2"/>
      <c r="H1317" s="3"/>
      <c r="I1317" s="4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>
      <c r="A1318" s="7" t="s">
        <v>2</v>
      </c>
      <c r="B1318" s="7" t="s">
        <v>3</v>
      </c>
      <c r="C1318" s="7" t="s">
        <v>4</v>
      </c>
      <c r="D1318" s="7" t="s">
        <v>5</v>
      </c>
      <c r="E1318" s="7" t="s">
        <v>6</v>
      </c>
      <c r="F1318" s="8" t="s">
        <v>7</v>
      </c>
      <c r="G1318" s="7" t="s">
        <v>8</v>
      </c>
      <c r="H1318" s="9"/>
      <c r="I1318" s="4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>
      <c r="A1319" s="10">
        <v>1.0</v>
      </c>
      <c r="B1319" s="18" t="s">
        <v>98</v>
      </c>
      <c r="C1319" s="19" t="s">
        <v>360</v>
      </c>
      <c r="D1319" s="13" t="s">
        <v>11</v>
      </c>
      <c r="E1319" s="14">
        <v>1.77</v>
      </c>
      <c r="F1319" s="15">
        <v>293000.0</v>
      </c>
      <c r="G1319" s="16">
        <f t="shared" ref="G1319:G1321" si="88">IFERROR(E1319*F1319,0)</f>
        <v>518610</v>
      </c>
      <c r="H1319" s="17"/>
      <c r="I1319" s="4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>
      <c r="A1320" s="10">
        <v>2.0</v>
      </c>
      <c r="B1320" s="29" t="s">
        <v>279</v>
      </c>
      <c r="C1320" s="30" t="s">
        <v>361</v>
      </c>
      <c r="D1320" s="20" t="s">
        <v>13</v>
      </c>
      <c r="E1320" s="21">
        <v>1.57</v>
      </c>
      <c r="F1320" s="22">
        <v>435000.0</v>
      </c>
      <c r="G1320" s="16">
        <f t="shared" si="88"/>
        <v>682950</v>
      </c>
      <c r="H1320" s="17"/>
      <c r="I1320" s="4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>
      <c r="A1321" s="10">
        <v>3.0</v>
      </c>
      <c r="B1321" s="23" t="s">
        <v>14</v>
      </c>
      <c r="C1321" s="17"/>
      <c r="D1321" s="17"/>
      <c r="E1321" s="17"/>
      <c r="F1321" s="17"/>
      <c r="G1321" s="24">
        <f t="shared" si="88"/>
        <v>0</v>
      </c>
      <c r="H1321" s="17"/>
      <c r="I1321" s="4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>
      <c r="A1322" s="25" t="s">
        <v>15</v>
      </c>
      <c r="B1322" s="2"/>
      <c r="C1322" s="2"/>
      <c r="D1322" s="2"/>
      <c r="E1322" s="2"/>
      <c r="F1322" s="2"/>
      <c r="G1322" s="3"/>
      <c r="H1322" s="26">
        <f>SUM(G1319:G1321)</f>
        <v>1201560</v>
      </c>
      <c r="I1322" s="4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>
      <c r="A1323" s="25" t="s">
        <v>16</v>
      </c>
      <c r="B1323" s="2"/>
      <c r="C1323" s="2"/>
      <c r="D1323" s="2"/>
      <c r="E1323" s="2"/>
      <c r="F1323" s="2"/>
      <c r="G1323" s="3"/>
      <c r="H1323" s="26">
        <f>MAX(0,H1322-648000)</f>
        <v>553560</v>
      </c>
      <c r="I1323" s="4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>
      <c r="A1324" s="27" t="s">
        <v>17</v>
      </c>
      <c r="B1324" s="2"/>
      <c r="C1324" s="2"/>
      <c r="D1324" s="2"/>
      <c r="E1324" s="2"/>
      <c r="F1324" s="2"/>
      <c r="G1324" s="3"/>
      <c r="H1324" s="28">
        <v>649000.0</v>
      </c>
      <c r="I1324" s="4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>
      <c r="A1325" s="1" t="s">
        <v>18</v>
      </c>
      <c r="B1325" s="2"/>
      <c r="C1325" s="2"/>
      <c r="D1325" s="2"/>
      <c r="E1325" s="2"/>
      <c r="F1325" s="2"/>
      <c r="G1325" s="2"/>
      <c r="H1325" s="3"/>
      <c r="I1325" s="4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30" ht="29.25" customHeight="1">
      <c r="A1330" s="1" t="s">
        <v>0</v>
      </c>
      <c r="B1330" s="2"/>
      <c r="C1330" s="2"/>
      <c r="D1330" s="2"/>
      <c r="E1330" s="2"/>
      <c r="F1330" s="2"/>
      <c r="G1330" s="2"/>
      <c r="H1330" s="3"/>
      <c r="I1330" s="4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>
      <c r="A1331" s="6" t="s">
        <v>362</v>
      </c>
      <c r="B1331" s="2"/>
      <c r="C1331" s="2"/>
      <c r="D1331" s="2"/>
      <c r="E1331" s="2"/>
      <c r="F1331" s="2"/>
      <c r="G1331" s="2"/>
      <c r="H1331" s="3"/>
      <c r="I1331" s="4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>
      <c r="A1332" s="7" t="s">
        <v>2</v>
      </c>
      <c r="B1332" s="7" t="s">
        <v>3</v>
      </c>
      <c r="C1332" s="7" t="s">
        <v>4</v>
      </c>
      <c r="D1332" s="7" t="s">
        <v>5</v>
      </c>
      <c r="E1332" s="7" t="s">
        <v>6</v>
      </c>
      <c r="F1332" s="8" t="s">
        <v>7</v>
      </c>
      <c r="G1332" s="7" t="s">
        <v>8</v>
      </c>
      <c r="H1332" s="9"/>
      <c r="I1332" s="4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>
      <c r="A1333" s="10">
        <v>1.0</v>
      </c>
      <c r="B1333" s="18" t="s">
        <v>363</v>
      </c>
      <c r="C1333" s="19" t="s">
        <v>364</v>
      </c>
      <c r="D1333" s="13" t="s">
        <v>11</v>
      </c>
      <c r="E1333" s="14">
        <v>2.0</v>
      </c>
      <c r="F1333" s="15">
        <v>293000.0</v>
      </c>
      <c r="G1333" s="16">
        <f t="shared" ref="G1333:G1335" si="89">IFERROR(E1333*F1333,0)</f>
        <v>586000</v>
      </c>
      <c r="H1333" s="17"/>
      <c r="I1333" s="4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>
      <c r="A1334" s="10">
        <v>2.0</v>
      </c>
      <c r="B1334" s="29" t="s">
        <v>12</v>
      </c>
      <c r="C1334" s="30" t="s">
        <v>365</v>
      </c>
      <c r="D1334" s="20" t="s">
        <v>13</v>
      </c>
      <c r="E1334" s="21">
        <v>1.3</v>
      </c>
      <c r="F1334" s="22">
        <v>435000.0</v>
      </c>
      <c r="G1334" s="16">
        <f t="shared" si="89"/>
        <v>565500</v>
      </c>
      <c r="H1334" s="17"/>
      <c r="I1334" s="4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>
      <c r="A1335" s="10">
        <v>3.0</v>
      </c>
      <c r="B1335" s="23" t="s">
        <v>14</v>
      </c>
      <c r="C1335" s="17"/>
      <c r="D1335" s="17"/>
      <c r="E1335" s="17"/>
      <c r="F1335" s="17"/>
      <c r="G1335" s="24">
        <f t="shared" si="89"/>
        <v>0</v>
      </c>
      <c r="H1335" s="17"/>
      <c r="I1335" s="4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>
      <c r="A1336" s="25" t="s">
        <v>15</v>
      </c>
      <c r="B1336" s="2"/>
      <c r="C1336" s="2"/>
      <c r="D1336" s="2"/>
      <c r="E1336" s="2"/>
      <c r="F1336" s="2"/>
      <c r="G1336" s="3"/>
      <c r="H1336" s="26">
        <f>SUM(G1333:G1335)</f>
        <v>1151500</v>
      </c>
      <c r="I1336" s="4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>
      <c r="A1337" s="25" t="s">
        <v>16</v>
      </c>
      <c r="B1337" s="2"/>
      <c r="C1337" s="2"/>
      <c r="D1337" s="2"/>
      <c r="E1337" s="2"/>
      <c r="F1337" s="2"/>
      <c r="G1337" s="3"/>
      <c r="H1337" s="26">
        <f>MAX(0,H1336-648000)</f>
        <v>503500</v>
      </c>
      <c r="I1337" s="4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>
      <c r="A1338" s="27" t="s">
        <v>17</v>
      </c>
      <c r="B1338" s="2"/>
      <c r="C1338" s="2"/>
      <c r="D1338" s="2"/>
      <c r="E1338" s="2"/>
      <c r="F1338" s="2"/>
      <c r="G1338" s="3"/>
      <c r="H1338" s="28">
        <v>649000.0</v>
      </c>
      <c r="I1338" s="4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>
      <c r="A1339" s="1" t="s">
        <v>18</v>
      </c>
      <c r="B1339" s="2"/>
      <c r="C1339" s="2"/>
      <c r="D1339" s="2"/>
      <c r="E1339" s="2"/>
      <c r="F1339" s="2"/>
      <c r="G1339" s="2"/>
      <c r="H1339" s="3"/>
      <c r="I1339" s="4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4" ht="29.25" customHeight="1">
      <c r="A1344" s="1" t="s">
        <v>0</v>
      </c>
      <c r="B1344" s="2"/>
      <c r="C1344" s="2"/>
      <c r="D1344" s="2"/>
      <c r="E1344" s="2"/>
      <c r="F1344" s="2"/>
      <c r="G1344" s="2"/>
      <c r="H1344" s="3"/>
      <c r="I1344" s="4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>
      <c r="A1345" s="6" t="s">
        <v>366</v>
      </c>
      <c r="B1345" s="2"/>
      <c r="C1345" s="2"/>
      <c r="D1345" s="2"/>
      <c r="E1345" s="2"/>
      <c r="F1345" s="2"/>
      <c r="G1345" s="2"/>
      <c r="H1345" s="3"/>
      <c r="I1345" s="4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>
      <c r="A1346" s="7" t="s">
        <v>2</v>
      </c>
      <c r="B1346" s="7" t="s">
        <v>3</v>
      </c>
      <c r="C1346" s="7" t="s">
        <v>4</v>
      </c>
      <c r="D1346" s="7" t="s">
        <v>5</v>
      </c>
      <c r="E1346" s="7" t="s">
        <v>6</v>
      </c>
      <c r="F1346" s="8" t="s">
        <v>7</v>
      </c>
      <c r="G1346" s="7" t="s">
        <v>8</v>
      </c>
      <c r="H1346" s="9"/>
      <c r="I1346" s="4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>
      <c r="A1347" s="10">
        <v>1.0</v>
      </c>
      <c r="B1347" s="18" t="s">
        <v>48</v>
      </c>
      <c r="C1347" s="19" t="s">
        <v>367</v>
      </c>
      <c r="D1347" s="13" t="s">
        <v>11</v>
      </c>
      <c r="E1347" s="14">
        <v>1.05</v>
      </c>
      <c r="F1347" s="15">
        <v>293000.0</v>
      </c>
      <c r="G1347" s="16">
        <f t="shared" ref="G1347:G1349" si="90">IFERROR(E1347*F1347,0)</f>
        <v>307650</v>
      </c>
      <c r="H1347" s="17"/>
      <c r="I1347" s="4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>
      <c r="A1348" s="10">
        <v>2.0</v>
      </c>
      <c r="B1348" s="29" t="s">
        <v>118</v>
      </c>
      <c r="C1348" s="30" t="s">
        <v>368</v>
      </c>
      <c r="D1348" s="20" t="s">
        <v>13</v>
      </c>
      <c r="E1348" s="21">
        <v>2.0</v>
      </c>
      <c r="F1348" s="22">
        <v>435000.0</v>
      </c>
      <c r="G1348" s="16">
        <f t="shared" si="90"/>
        <v>870000</v>
      </c>
      <c r="H1348" s="17"/>
      <c r="I1348" s="4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>
      <c r="A1349" s="10">
        <v>3.0</v>
      </c>
      <c r="B1349" s="23" t="s">
        <v>14</v>
      </c>
      <c r="C1349" s="17"/>
      <c r="D1349" s="17"/>
      <c r="E1349" s="17"/>
      <c r="F1349" s="17"/>
      <c r="G1349" s="24">
        <f t="shared" si="90"/>
        <v>0</v>
      </c>
      <c r="H1349" s="17"/>
      <c r="I1349" s="4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>
      <c r="A1350" s="25" t="s">
        <v>15</v>
      </c>
      <c r="B1350" s="2"/>
      <c r="C1350" s="2"/>
      <c r="D1350" s="2"/>
      <c r="E1350" s="2"/>
      <c r="F1350" s="2"/>
      <c r="G1350" s="3"/>
      <c r="H1350" s="26">
        <f>SUM(G1347:G1349)</f>
        <v>1177650</v>
      </c>
      <c r="I1350" s="4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>
      <c r="A1351" s="25" t="s">
        <v>16</v>
      </c>
      <c r="B1351" s="2"/>
      <c r="C1351" s="2"/>
      <c r="D1351" s="2"/>
      <c r="E1351" s="2"/>
      <c r="F1351" s="2"/>
      <c r="G1351" s="3"/>
      <c r="H1351" s="26">
        <f>MAX(0,H1350-648000)</f>
        <v>529650</v>
      </c>
      <c r="I1351" s="4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>
      <c r="A1352" s="27" t="s">
        <v>17</v>
      </c>
      <c r="B1352" s="2"/>
      <c r="C1352" s="2"/>
      <c r="D1352" s="2"/>
      <c r="E1352" s="2"/>
      <c r="F1352" s="2"/>
      <c r="G1352" s="3"/>
      <c r="H1352" s="28">
        <v>649000.0</v>
      </c>
      <c r="I1352" s="4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>
      <c r="A1353" s="1" t="s">
        <v>18</v>
      </c>
      <c r="B1353" s="2"/>
      <c r="C1353" s="2"/>
      <c r="D1353" s="2"/>
      <c r="E1353" s="2"/>
      <c r="F1353" s="2"/>
      <c r="G1353" s="2"/>
      <c r="H1353" s="3"/>
      <c r="I1353" s="4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60" ht="29.25" customHeight="1">
      <c r="A1360" s="1" t="s">
        <v>0</v>
      </c>
      <c r="B1360" s="2"/>
      <c r="C1360" s="2"/>
      <c r="D1360" s="2"/>
      <c r="E1360" s="2"/>
      <c r="F1360" s="2"/>
      <c r="G1360" s="2"/>
      <c r="H1360" s="3"/>
      <c r="I1360" s="4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>
      <c r="A1361" s="6" t="s">
        <v>369</v>
      </c>
      <c r="B1361" s="2"/>
      <c r="C1361" s="2"/>
      <c r="D1361" s="2"/>
      <c r="E1361" s="2"/>
      <c r="F1361" s="2"/>
      <c r="G1361" s="2"/>
      <c r="H1361" s="3"/>
      <c r="I1361" s="4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>
      <c r="A1362" s="7" t="s">
        <v>2</v>
      </c>
      <c r="B1362" s="7" t="s">
        <v>3</v>
      </c>
      <c r="C1362" s="7" t="s">
        <v>4</v>
      </c>
      <c r="D1362" s="7" t="s">
        <v>5</v>
      </c>
      <c r="E1362" s="7" t="s">
        <v>6</v>
      </c>
      <c r="F1362" s="8" t="s">
        <v>7</v>
      </c>
      <c r="G1362" s="7" t="s">
        <v>8</v>
      </c>
      <c r="H1362" s="9"/>
      <c r="I1362" s="4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>
      <c r="A1363" s="10">
        <v>1.0</v>
      </c>
      <c r="B1363" s="18" t="s">
        <v>370</v>
      </c>
      <c r="C1363" s="19" t="s">
        <v>371</v>
      </c>
      <c r="D1363" s="13" t="s">
        <v>11</v>
      </c>
      <c r="E1363" s="14">
        <v>1.5</v>
      </c>
      <c r="F1363" s="15">
        <v>293000.0</v>
      </c>
      <c r="G1363" s="16">
        <f t="shared" ref="G1363:G1365" si="91">IFERROR(E1363*F1363,0)</f>
        <v>439500</v>
      </c>
      <c r="H1363" s="17"/>
      <c r="I1363" s="4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>
      <c r="A1364" s="10">
        <v>2.0</v>
      </c>
      <c r="B1364" s="29" t="s">
        <v>190</v>
      </c>
      <c r="C1364" s="30" t="s">
        <v>191</v>
      </c>
      <c r="D1364" s="20" t="s">
        <v>13</v>
      </c>
      <c r="E1364" s="21">
        <v>2.0</v>
      </c>
      <c r="F1364" s="22">
        <v>435000.0</v>
      </c>
      <c r="G1364" s="16">
        <f t="shared" si="91"/>
        <v>870000</v>
      </c>
      <c r="H1364" s="17"/>
      <c r="I1364" s="4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>
      <c r="A1365" s="10">
        <v>3.0</v>
      </c>
      <c r="B1365" s="23" t="s">
        <v>14</v>
      </c>
      <c r="C1365" s="17"/>
      <c r="D1365" s="17"/>
      <c r="E1365" s="17"/>
      <c r="F1365" s="17"/>
      <c r="G1365" s="24">
        <f t="shared" si="91"/>
        <v>0</v>
      </c>
      <c r="H1365" s="17"/>
      <c r="I1365" s="4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>
      <c r="A1366" s="25" t="s">
        <v>15</v>
      </c>
      <c r="B1366" s="2"/>
      <c r="C1366" s="2"/>
      <c r="D1366" s="2"/>
      <c r="E1366" s="2"/>
      <c r="F1366" s="2"/>
      <c r="G1366" s="3"/>
      <c r="H1366" s="26">
        <f>SUM(G1363:G1365)</f>
        <v>1309500</v>
      </c>
      <c r="I1366" s="4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>
      <c r="A1367" s="25" t="s">
        <v>16</v>
      </c>
      <c r="B1367" s="2"/>
      <c r="C1367" s="2"/>
      <c r="D1367" s="2"/>
      <c r="E1367" s="2"/>
      <c r="F1367" s="2"/>
      <c r="G1367" s="3"/>
      <c r="H1367" s="26">
        <f>MAX(0,H1366-648000)</f>
        <v>661500</v>
      </c>
      <c r="I1367" s="4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>
      <c r="A1368" s="27" t="s">
        <v>17</v>
      </c>
      <c r="B1368" s="2"/>
      <c r="C1368" s="2"/>
      <c r="D1368" s="2"/>
      <c r="E1368" s="2"/>
      <c r="F1368" s="2"/>
      <c r="G1368" s="3"/>
      <c r="H1368" s="28">
        <v>649000.0</v>
      </c>
      <c r="I1368" s="4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>
      <c r="A1369" s="1" t="s">
        <v>18</v>
      </c>
      <c r="B1369" s="2"/>
      <c r="C1369" s="2"/>
      <c r="D1369" s="2"/>
      <c r="E1369" s="2"/>
      <c r="F1369" s="2"/>
      <c r="G1369" s="2"/>
      <c r="H1369" s="3"/>
      <c r="I1369" s="4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4" ht="29.25" customHeight="1">
      <c r="A1374" s="1" t="s">
        <v>0</v>
      </c>
      <c r="B1374" s="2"/>
      <c r="C1374" s="2"/>
      <c r="D1374" s="2"/>
      <c r="E1374" s="2"/>
      <c r="F1374" s="2"/>
      <c r="G1374" s="2"/>
      <c r="H1374" s="3"/>
      <c r="I1374" s="4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>
      <c r="A1375" s="6" t="s">
        <v>372</v>
      </c>
      <c r="B1375" s="2"/>
      <c r="C1375" s="2"/>
      <c r="D1375" s="2"/>
      <c r="E1375" s="2"/>
      <c r="F1375" s="2"/>
      <c r="G1375" s="2"/>
      <c r="H1375" s="3"/>
      <c r="I1375" s="4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>
      <c r="A1376" s="7" t="s">
        <v>2</v>
      </c>
      <c r="B1376" s="7" t="s">
        <v>3</v>
      </c>
      <c r="C1376" s="7" t="s">
        <v>4</v>
      </c>
      <c r="D1376" s="7" t="s">
        <v>5</v>
      </c>
      <c r="E1376" s="7" t="s">
        <v>6</v>
      </c>
      <c r="F1376" s="8" t="s">
        <v>7</v>
      </c>
      <c r="G1376" s="7" t="s">
        <v>8</v>
      </c>
      <c r="H1376" s="9"/>
      <c r="I1376" s="4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>
      <c r="A1377" s="10">
        <v>1.0</v>
      </c>
      <c r="B1377" s="18" t="s">
        <v>373</v>
      </c>
      <c r="C1377" s="19" t="s">
        <v>374</v>
      </c>
      <c r="D1377" s="13" t="s">
        <v>11</v>
      </c>
      <c r="E1377" s="14">
        <v>1.3</v>
      </c>
      <c r="F1377" s="15">
        <v>293000.0</v>
      </c>
      <c r="G1377" s="16">
        <f t="shared" ref="G1377:G1379" si="92">IFERROR(E1377*F1377,0)</f>
        <v>380900</v>
      </c>
      <c r="H1377" s="17"/>
      <c r="I1377" s="4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>
      <c r="A1378" s="10">
        <v>2.0</v>
      </c>
      <c r="B1378" s="29" t="s">
        <v>375</v>
      </c>
      <c r="C1378" s="30" t="s">
        <v>376</v>
      </c>
      <c r="D1378" s="20" t="s">
        <v>13</v>
      </c>
      <c r="E1378" s="21">
        <v>2.35</v>
      </c>
      <c r="F1378" s="22">
        <v>435000.0</v>
      </c>
      <c r="G1378" s="16">
        <f t="shared" si="92"/>
        <v>1022250</v>
      </c>
      <c r="H1378" s="17"/>
      <c r="I1378" s="4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>
      <c r="A1379" s="10">
        <v>3.0</v>
      </c>
      <c r="B1379" s="23" t="s">
        <v>14</v>
      </c>
      <c r="C1379" s="17"/>
      <c r="D1379" s="17"/>
      <c r="E1379" s="17"/>
      <c r="F1379" s="17"/>
      <c r="G1379" s="24">
        <f t="shared" si="92"/>
        <v>0</v>
      </c>
      <c r="H1379" s="17"/>
      <c r="I1379" s="4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>
      <c r="A1380" s="25" t="s">
        <v>15</v>
      </c>
      <c r="B1380" s="2"/>
      <c r="C1380" s="2"/>
      <c r="D1380" s="2"/>
      <c r="E1380" s="2"/>
      <c r="F1380" s="2"/>
      <c r="G1380" s="3"/>
      <c r="H1380" s="26">
        <f>SUM(G1377:G1379)</f>
        <v>1403150</v>
      </c>
      <c r="I1380" s="4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>
      <c r="A1381" s="25" t="s">
        <v>16</v>
      </c>
      <c r="B1381" s="2"/>
      <c r="C1381" s="2"/>
      <c r="D1381" s="2"/>
      <c r="E1381" s="2"/>
      <c r="F1381" s="2"/>
      <c r="G1381" s="3"/>
      <c r="H1381" s="26">
        <f>MAX(0,H1380-648000)</f>
        <v>755150</v>
      </c>
      <c r="I1381" s="4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>
      <c r="A1382" s="27" t="s">
        <v>17</v>
      </c>
      <c r="B1382" s="2"/>
      <c r="C1382" s="2"/>
      <c r="D1382" s="2"/>
      <c r="E1382" s="2"/>
      <c r="F1382" s="2"/>
      <c r="G1382" s="3"/>
      <c r="H1382" s="28">
        <v>649000.0</v>
      </c>
      <c r="I1382" s="4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>
      <c r="A1383" s="1" t="s">
        <v>18</v>
      </c>
      <c r="B1383" s="2"/>
      <c r="C1383" s="2"/>
      <c r="D1383" s="2"/>
      <c r="E1383" s="2"/>
      <c r="F1383" s="2"/>
      <c r="G1383" s="2"/>
      <c r="H1383" s="3"/>
      <c r="I1383" s="4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9" ht="29.25" customHeight="1">
      <c r="A1389" s="1" t="s">
        <v>0</v>
      </c>
      <c r="B1389" s="2"/>
      <c r="C1389" s="2"/>
      <c r="D1389" s="2"/>
      <c r="E1389" s="2"/>
      <c r="F1389" s="2"/>
      <c r="G1389" s="2"/>
      <c r="H1389" s="3"/>
      <c r="I1389" s="4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>
      <c r="A1390" s="6" t="s">
        <v>377</v>
      </c>
      <c r="B1390" s="2"/>
      <c r="C1390" s="2"/>
      <c r="D1390" s="2"/>
      <c r="E1390" s="2"/>
      <c r="F1390" s="2"/>
      <c r="G1390" s="2"/>
      <c r="H1390" s="3"/>
      <c r="I1390" s="4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>
      <c r="A1391" s="7" t="s">
        <v>2</v>
      </c>
      <c r="B1391" s="7" t="s">
        <v>3</v>
      </c>
      <c r="C1391" s="7" t="s">
        <v>4</v>
      </c>
      <c r="D1391" s="7" t="s">
        <v>5</v>
      </c>
      <c r="E1391" s="7" t="s">
        <v>6</v>
      </c>
      <c r="F1391" s="8" t="s">
        <v>7</v>
      </c>
      <c r="G1391" s="7" t="s">
        <v>8</v>
      </c>
      <c r="H1391" s="9"/>
      <c r="I1391" s="4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>
      <c r="A1392" s="10">
        <v>1.0</v>
      </c>
      <c r="B1392" s="18" t="s">
        <v>12</v>
      </c>
      <c r="C1392" s="19" t="s">
        <v>378</v>
      </c>
      <c r="D1392" s="13" t="s">
        <v>11</v>
      </c>
      <c r="E1392" s="14">
        <v>2.92</v>
      </c>
      <c r="F1392" s="15">
        <v>293000.0</v>
      </c>
      <c r="G1392" s="16">
        <f t="shared" ref="G1392:G1394" si="93">IFERROR(E1392*F1392,0)</f>
        <v>855560</v>
      </c>
      <c r="H1392" s="17"/>
      <c r="I1392" s="4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>
      <c r="A1393" s="10">
        <v>2.0</v>
      </c>
      <c r="B1393" s="29" t="s">
        <v>379</v>
      </c>
      <c r="C1393" s="30" t="s">
        <v>380</v>
      </c>
      <c r="D1393" s="20" t="s">
        <v>13</v>
      </c>
      <c r="E1393" s="21">
        <v>0.7</v>
      </c>
      <c r="F1393" s="22">
        <v>435000.0</v>
      </c>
      <c r="G1393" s="16">
        <f t="shared" si="93"/>
        <v>304500</v>
      </c>
      <c r="H1393" s="17"/>
      <c r="I1393" s="4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>
      <c r="A1394" s="10">
        <v>3.0</v>
      </c>
      <c r="B1394" s="23" t="s">
        <v>14</v>
      </c>
      <c r="C1394" s="17"/>
      <c r="D1394" s="17"/>
      <c r="E1394" s="17"/>
      <c r="F1394" s="17"/>
      <c r="G1394" s="24">
        <f t="shared" si="93"/>
        <v>0</v>
      </c>
      <c r="H1394" s="17"/>
      <c r="I1394" s="4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>
      <c r="A1395" s="25" t="s">
        <v>15</v>
      </c>
      <c r="B1395" s="2"/>
      <c r="C1395" s="2"/>
      <c r="D1395" s="2"/>
      <c r="E1395" s="2"/>
      <c r="F1395" s="2"/>
      <c r="G1395" s="3"/>
      <c r="H1395" s="26">
        <f>SUM(G1392:G1394)</f>
        <v>1160060</v>
      </c>
      <c r="I1395" s="4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>
      <c r="A1396" s="25" t="s">
        <v>16</v>
      </c>
      <c r="B1396" s="2"/>
      <c r="C1396" s="2"/>
      <c r="D1396" s="2"/>
      <c r="E1396" s="2"/>
      <c r="F1396" s="2"/>
      <c r="G1396" s="3"/>
      <c r="H1396" s="26">
        <f>MAX(0,H1395-648000)</f>
        <v>512060</v>
      </c>
      <c r="I1396" s="4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>
      <c r="A1397" s="27" t="s">
        <v>17</v>
      </c>
      <c r="B1397" s="2"/>
      <c r="C1397" s="2"/>
      <c r="D1397" s="2"/>
      <c r="E1397" s="2"/>
      <c r="F1397" s="2"/>
      <c r="G1397" s="3"/>
      <c r="H1397" s="28">
        <v>649000.0</v>
      </c>
      <c r="I1397" s="4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>
      <c r="A1398" s="1" t="s">
        <v>18</v>
      </c>
      <c r="B1398" s="2"/>
      <c r="C1398" s="2"/>
      <c r="D1398" s="2"/>
      <c r="E1398" s="2"/>
      <c r="F1398" s="2"/>
      <c r="G1398" s="2"/>
      <c r="H1398" s="3"/>
      <c r="I1398" s="4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404" ht="29.25" customHeight="1">
      <c r="A1404" s="1" t="s">
        <v>0</v>
      </c>
      <c r="B1404" s="2"/>
      <c r="C1404" s="2"/>
      <c r="D1404" s="2"/>
      <c r="E1404" s="2"/>
      <c r="F1404" s="2"/>
      <c r="G1404" s="2"/>
      <c r="H1404" s="3"/>
      <c r="I1404" s="4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>
      <c r="A1405" s="6" t="s">
        <v>381</v>
      </c>
      <c r="B1405" s="2"/>
      <c r="C1405" s="2"/>
      <c r="D1405" s="2"/>
      <c r="E1405" s="2"/>
      <c r="F1405" s="2"/>
      <c r="G1405" s="2"/>
      <c r="H1405" s="3"/>
      <c r="I1405" s="4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>
      <c r="A1406" s="7" t="s">
        <v>2</v>
      </c>
      <c r="B1406" s="7" t="s">
        <v>3</v>
      </c>
      <c r="C1406" s="7" t="s">
        <v>4</v>
      </c>
      <c r="D1406" s="7" t="s">
        <v>5</v>
      </c>
      <c r="E1406" s="7" t="s">
        <v>6</v>
      </c>
      <c r="F1406" s="8" t="s">
        <v>7</v>
      </c>
      <c r="G1406" s="7" t="s">
        <v>8</v>
      </c>
      <c r="H1406" s="9"/>
      <c r="I1406" s="4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>
      <c r="A1407" s="10">
        <v>1.0</v>
      </c>
      <c r="B1407" s="18" t="s">
        <v>310</v>
      </c>
      <c r="C1407" s="19" t="s">
        <v>382</v>
      </c>
      <c r="D1407" s="13" t="s">
        <v>11</v>
      </c>
      <c r="E1407" s="14">
        <v>2.09</v>
      </c>
      <c r="F1407" s="15">
        <v>293000.0</v>
      </c>
      <c r="G1407" s="16">
        <f t="shared" ref="G1407:G1409" si="94">IFERROR(E1407*F1407,0)</f>
        <v>612370</v>
      </c>
      <c r="H1407" s="17"/>
      <c r="I1407" s="4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>
      <c r="A1408" s="10">
        <v>2.0</v>
      </c>
      <c r="B1408" s="29" t="s">
        <v>383</v>
      </c>
      <c r="C1408" s="30" t="s">
        <v>384</v>
      </c>
      <c r="D1408" s="20" t="s">
        <v>13</v>
      </c>
      <c r="E1408" s="21">
        <v>1.45</v>
      </c>
      <c r="F1408" s="22">
        <v>435000.0</v>
      </c>
      <c r="G1408" s="16">
        <f t="shared" si="94"/>
        <v>630750</v>
      </c>
      <c r="H1408" s="17"/>
      <c r="I1408" s="4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>
      <c r="A1409" s="10">
        <v>3.0</v>
      </c>
      <c r="B1409" s="23" t="s">
        <v>14</v>
      </c>
      <c r="C1409" s="17"/>
      <c r="D1409" s="17"/>
      <c r="E1409" s="17"/>
      <c r="F1409" s="17"/>
      <c r="G1409" s="24">
        <f t="shared" si="94"/>
        <v>0</v>
      </c>
      <c r="H1409" s="17"/>
      <c r="I1409" s="4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>
      <c r="A1410" s="25" t="s">
        <v>15</v>
      </c>
      <c r="B1410" s="2"/>
      <c r="C1410" s="2"/>
      <c r="D1410" s="2"/>
      <c r="E1410" s="2"/>
      <c r="F1410" s="2"/>
      <c r="G1410" s="3"/>
      <c r="H1410" s="26">
        <f>SUM(G1407:G1409)</f>
        <v>1243120</v>
      </c>
      <c r="I1410" s="4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>
      <c r="A1411" s="25" t="s">
        <v>16</v>
      </c>
      <c r="B1411" s="2"/>
      <c r="C1411" s="2"/>
      <c r="D1411" s="2"/>
      <c r="E1411" s="2"/>
      <c r="F1411" s="2"/>
      <c r="G1411" s="3"/>
      <c r="H1411" s="26">
        <f>MAX(0,H1410-648000)</f>
        <v>595120</v>
      </c>
      <c r="I1411" s="4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>
      <c r="A1412" s="27" t="s">
        <v>17</v>
      </c>
      <c r="B1412" s="2"/>
      <c r="C1412" s="2"/>
      <c r="D1412" s="2"/>
      <c r="E1412" s="2"/>
      <c r="F1412" s="2"/>
      <c r="G1412" s="3"/>
      <c r="H1412" s="28">
        <v>649000.0</v>
      </c>
      <c r="I1412" s="4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>
      <c r="A1413" s="1" t="s">
        <v>18</v>
      </c>
      <c r="B1413" s="2"/>
      <c r="C1413" s="2"/>
      <c r="D1413" s="2"/>
      <c r="E1413" s="2"/>
      <c r="F1413" s="2"/>
      <c r="G1413" s="2"/>
      <c r="H1413" s="3"/>
      <c r="I1413" s="4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9" ht="29.25" customHeight="1">
      <c r="A1419" s="1" t="s">
        <v>0</v>
      </c>
      <c r="B1419" s="2"/>
      <c r="C1419" s="2"/>
      <c r="D1419" s="2"/>
      <c r="E1419" s="2"/>
      <c r="F1419" s="2"/>
      <c r="G1419" s="2"/>
      <c r="H1419" s="3"/>
      <c r="I1419" s="4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>
      <c r="A1420" s="6" t="s">
        <v>385</v>
      </c>
      <c r="B1420" s="2"/>
      <c r="C1420" s="2"/>
      <c r="D1420" s="2"/>
      <c r="E1420" s="2"/>
      <c r="F1420" s="2"/>
      <c r="G1420" s="2"/>
      <c r="H1420" s="3"/>
      <c r="I1420" s="4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>
      <c r="A1421" s="7" t="s">
        <v>2</v>
      </c>
      <c r="B1421" s="7" t="s">
        <v>3</v>
      </c>
      <c r="C1421" s="7" t="s">
        <v>4</v>
      </c>
      <c r="D1421" s="7" t="s">
        <v>5</v>
      </c>
      <c r="E1421" s="7" t="s">
        <v>6</v>
      </c>
      <c r="F1421" s="8" t="s">
        <v>7</v>
      </c>
      <c r="G1421" s="7" t="s">
        <v>8</v>
      </c>
      <c r="H1421" s="9"/>
      <c r="I1421" s="4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>
      <c r="A1422" s="10">
        <v>1.0</v>
      </c>
      <c r="B1422" s="18" t="s">
        <v>151</v>
      </c>
      <c r="C1422" s="19" t="s">
        <v>386</v>
      </c>
      <c r="D1422" s="13" t="s">
        <v>11</v>
      </c>
      <c r="E1422" s="14">
        <v>1.0</v>
      </c>
      <c r="F1422" s="15">
        <v>293000.0</v>
      </c>
      <c r="G1422" s="16">
        <f t="shared" ref="G1422:G1424" si="95">IFERROR(E1422*F1422,0)</f>
        <v>293000</v>
      </c>
      <c r="H1422" s="17"/>
      <c r="I1422" s="4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>
      <c r="A1423" s="10">
        <v>2.0</v>
      </c>
      <c r="B1423" s="29" t="s">
        <v>22</v>
      </c>
      <c r="C1423" s="30" t="s">
        <v>302</v>
      </c>
      <c r="D1423" s="20" t="s">
        <v>13</v>
      </c>
      <c r="E1423" s="21">
        <v>2.43</v>
      </c>
      <c r="F1423" s="22">
        <v>435000.0</v>
      </c>
      <c r="G1423" s="16">
        <f t="shared" si="95"/>
        <v>1057050</v>
      </c>
      <c r="H1423" s="17"/>
      <c r="I1423" s="4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>
      <c r="A1424" s="10">
        <v>3.0</v>
      </c>
      <c r="B1424" s="23" t="s">
        <v>14</v>
      </c>
      <c r="C1424" s="17"/>
      <c r="D1424" s="17"/>
      <c r="E1424" s="17"/>
      <c r="F1424" s="17"/>
      <c r="G1424" s="24">
        <f t="shared" si="95"/>
        <v>0</v>
      </c>
      <c r="H1424" s="17"/>
      <c r="I1424" s="4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>
      <c r="A1425" s="25" t="s">
        <v>15</v>
      </c>
      <c r="B1425" s="2"/>
      <c r="C1425" s="2"/>
      <c r="D1425" s="2"/>
      <c r="E1425" s="2"/>
      <c r="F1425" s="2"/>
      <c r="G1425" s="3"/>
      <c r="H1425" s="26">
        <f>SUM(G1422:G1424)</f>
        <v>1350050</v>
      </c>
      <c r="I1425" s="4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>
      <c r="A1426" s="25" t="s">
        <v>16</v>
      </c>
      <c r="B1426" s="2"/>
      <c r="C1426" s="2"/>
      <c r="D1426" s="2"/>
      <c r="E1426" s="2"/>
      <c r="F1426" s="2"/>
      <c r="G1426" s="3"/>
      <c r="H1426" s="26">
        <f>MAX(0,H1425-648000)</f>
        <v>702050</v>
      </c>
      <c r="I1426" s="4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>
      <c r="A1427" s="27" t="s">
        <v>17</v>
      </c>
      <c r="B1427" s="2"/>
      <c r="C1427" s="2"/>
      <c r="D1427" s="2"/>
      <c r="E1427" s="2"/>
      <c r="F1427" s="2"/>
      <c r="G1427" s="3"/>
      <c r="H1427" s="28">
        <v>649000.0</v>
      </c>
      <c r="I1427" s="4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>
      <c r="A1428" s="1" t="s">
        <v>18</v>
      </c>
      <c r="B1428" s="2"/>
      <c r="C1428" s="2"/>
      <c r="D1428" s="2"/>
      <c r="E1428" s="2"/>
      <c r="F1428" s="2"/>
      <c r="G1428" s="2"/>
      <c r="H1428" s="3"/>
      <c r="I1428" s="4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34" ht="29.25" customHeight="1">
      <c r="A1434" s="1" t="s">
        <v>0</v>
      </c>
      <c r="B1434" s="2"/>
      <c r="C1434" s="2"/>
      <c r="D1434" s="2"/>
      <c r="E1434" s="2"/>
      <c r="F1434" s="2"/>
      <c r="G1434" s="2"/>
      <c r="H1434" s="3"/>
      <c r="I1434" s="4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>
      <c r="A1435" s="6" t="s">
        <v>387</v>
      </c>
      <c r="B1435" s="2"/>
      <c r="C1435" s="2"/>
      <c r="D1435" s="2"/>
      <c r="E1435" s="2"/>
      <c r="F1435" s="2"/>
      <c r="G1435" s="2"/>
      <c r="H1435" s="3"/>
      <c r="I1435" s="4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>
      <c r="A1436" s="7" t="s">
        <v>2</v>
      </c>
      <c r="B1436" s="7" t="s">
        <v>3</v>
      </c>
      <c r="C1436" s="7" t="s">
        <v>4</v>
      </c>
      <c r="D1436" s="7" t="s">
        <v>5</v>
      </c>
      <c r="E1436" s="7" t="s">
        <v>6</v>
      </c>
      <c r="F1436" s="8" t="s">
        <v>7</v>
      </c>
      <c r="G1436" s="7" t="s">
        <v>8</v>
      </c>
      <c r="H1436" s="9"/>
      <c r="I1436" s="4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>
      <c r="A1437" s="10">
        <v>1.0</v>
      </c>
      <c r="B1437" s="18" t="s">
        <v>240</v>
      </c>
      <c r="C1437" s="19" t="s">
        <v>388</v>
      </c>
      <c r="D1437" s="13" t="s">
        <v>11</v>
      </c>
      <c r="E1437" s="14">
        <v>1.5</v>
      </c>
      <c r="F1437" s="15">
        <v>293000.0</v>
      </c>
      <c r="G1437" s="16">
        <f t="shared" ref="G1437:G1439" si="96">IFERROR(E1437*F1437,0)</f>
        <v>439500</v>
      </c>
      <c r="H1437" s="17"/>
      <c r="I1437" s="4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>
      <c r="A1438" s="10">
        <v>2.0</v>
      </c>
      <c r="B1438" s="29" t="s">
        <v>190</v>
      </c>
      <c r="C1438" s="30" t="s">
        <v>191</v>
      </c>
      <c r="D1438" s="20" t="s">
        <v>13</v>
      </c>
      <c r="E1438" s="21">
        <v>2.0</v>
      </c>
      <c r="F1438" s="22">
        <v>435000.0</v>
      </c>
      <c r="G1438" s="16">
        <f t="shared" si="96"/>
        <v>870000</v>
      </c>
      <c r="H1438" s="17"/>
      <c r="I1438" s="4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>
      <c r="A1439" s="10">
        <v>3.0</v>
      </c>
      <c r="B1439" s="23" t="s">
        <v>14</v>
      </c>
      <c r="C1439" s="17"/>
      <c r="D1439" s="17"/>
      <c r="E1439" s="17"/>
      <c r="F1439" s="17"/>
      <c r="G1439" s="24">
        <f t="shared" si="96"/>
        <v>0</v>
      </c>
      <c r="H1439" s="17"/>
      <c r="I1439" s="4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>
      <c r="A1440" s="25" t="s">
        <v>15</v>
      </c>
      <c r="B1440" s="2"/>
      <c r="C1440" s="2"/>
      <c r="D1440" s="2"/>
      <c r="E1440" s="2"/>
      <c r="F1440" s="2"/>
      <c r="G1440" s="3"/>
      <c r="H1440" s="26">
        <f>SUM(G1437:G1439)</f>
        <v>1309500</v>
      </c>
      <c r="I1440" s="4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>
      <c r="A1441" s="25" t="s">
        <v>16</v>
      </c>
      <c r="B1441" s="2"/>
      <c r="C1441" s="2"/>
      <c r="D1441" s="2"/>
      <c r="E1441" s="2"/>
      <c r="F1441" s="2"/>
      <c r="G1441" s="3"/>
      <c r="H1441" s="26">
        <f>MAX(0,H1440-648000)</f>
        <v>661500</v>
      </c>
      <c r="I1441" s="4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>
      <c r="A1442" s="27" t="s">
        <v>17</v>
      </c>
      <c r="B1442" s="2"/>
      <c r="C1442" s="2"/>
      <c r="D1442" s="2"/>
      <c r="E1442" s="2"/>
      <c r="F1442" s="2"/>
      <c r="G1442" s="3"/>
      <c r="H1442" s="28">
        <v>649000.0</v>
      </c>
      <c r="I1442" s="4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>
      <c r="A1443" s="1" t="s">
        <v>18</v>
      </c>
      <c r="B1443" s="2"/>
      <c r="C1443" s="2"/>
      <c r="D1443" s="2"/>
      <c r="E1443" s="2"/>
      <c r="F1443" s="2"/>
      <c r="G1443" s="2"/>
      <c r="H1443" s="3"/>
      <c r="I1443" s="4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9" ht="29.25" customHeight="1">
      <c r="A1449" s="1" t="s">
        <v>0</v>
      </c>
      <c r="B1449" s="2"/>
      <c r="C1449" s="2"/>
      <c r="D1449" s="2"/>
      <c r="E1449" s="2"/>
      <c r="F1449" s="2"/>
      <c r="G1449" s="2"/>
      <c r="H1449" s="3"/>
      <c r="I1449" s="4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>
      <c r="A1450" s="6" t="s">
        <v>389</v>
      </c>
      <c r="B1450" s="2"/>
      <c r="C1450" s="2"/>
      <c r="D1450" s="2"/>
      <c r="E1450" s="2"/>
      <c r="F1450" s="2"/>
      <c r="G1450" s="2"/>
      <c r="H1450" s="3"/>
      <c r="I1450" s="4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>
      <c r="A1451" s="7" t="s">
        <v>2</v>
      </c>
      <c r="B1451" s="7" t="s">
        <v>3</v>
      </c>
      <c r="C1451" s="7" t="s">
        <v>4</v>
      </c>
      <c r="D1451" s="7" t="s">
        <v>5</v>
      </c>
      <c r="E1451" s="7" t="s">
        <v>6</v>
      </c>
      <c r="F1451" s="8" t="s">
        <v>7</v>
      </c>
      <c r="G1451" s="7" t="s">
        <v>8</v>
      </c>
      <c r="H1451" s="9"/>
      <c r="I1451" s="4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>
      <c r="A1452" s="10">
        <v>1.0</v>
      </c>
      <c r="B1452" s="18" t="s">
        <v>22</v>
      </c>
      <c r="C1452" s="19" t="s">
        <v>390</v>
      </c>
      <c r="D1452" s="13" t="s">
        <v>11</v>
      </c>
      <c r="E1452" s="14">
        <v>1.0</v>
      </c>
      <c r="F1452" s="15">
        <v>293000.0</v>
      </c>
      <c r="G1452" s="16">
        <f t="shared" ref="G1452:G1454" si="97">IFERROR(E1452*F1452,0)</f>
        <v>293000</v>
      </c>
      <c r="H1452" s="17"/>
      <c r="I1452" s="4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>
      <c r="A1453" s="10">
        <v>2.0</v>
      </c>
      <c r="B1453" s="29" t="s">
        <v>391</v>
      </c>
      <c r="C1453" s="30" t="s">
        <v>392</v>
      </c>
      <c r="D1453" s="20" t="s">
        <v>13</v>
      </c>
      <c r="E1453" s="21">
        <v>2.5</v>
      </c>
      <c r="F1453" s="22">
        <v>435000.0</v>
      </c>
      <c r="G1453" s="16">
        <f t="shared" si="97"/>
        <v>1087500</v>
      </c>
      <c r="H1453" s="17"/>
      <c r="I1453" s="4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>
      <c r="A1454" s="10">
        <v>3.0</v>
      </c>
      <c r="B1454" s="23" t="s">
        <v>14</v>
      </c>
      <c r="C1454" s="17"/>
      <c r="D1454" s="17"/>
      <c r="E1454" s="17"/>
      <c r="F1454" s="17"/>
      <c r="G1454" s="24">
        <f t="shared" si="97"/>
        <v>0</v>
      </c>
      <c r="H1454" s="17"/>
      <c r="I1454" s="4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>
      <c r="A1455" s="25" t="s">
        <v>15</v>
      </c>
      <c r="B1455" s="2"/>
      <c r="C1455" s="2"/>
      <c r="D1455" s="2"/>
      <c r="E1455" s="2"/>
      <c r="F1455" s="2"/>
      <c r="G1455" s="3"/>
      <c r="H1455" s="26">
        <f>SUM(G1452:G1454)</f>
        <v>1380500</v>
      </c>
      <c r="I1455" s="4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>
      <c r="A1456" s="25" t="s">
        <v>16</v>
      </c>
      <c r="B1456" s="2"/>
      <c r="C1456" s="2"/>
      <c r="D1456" s="2"/>
      <c r="E1456" s="2"/>
      <c r="F1456" s="2"/>
      <c r="G1456" s="3"/>
      <c r="H1456" s="26">
        <f>MAX(0,H1455-648000)</f>
        <v>732500</v>
      </c>
      <c r="I1456" s="4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>
      <c r="A1457" s="27" t="s">
        <v>17</v>
      </c>
      <c r="B1457" s="2"/>
      <c r="C1457" s="2"/>
      <c r="D1457" s="2"/>
      <c r="E1457" s="2"/>
      <c r="F1457" s="2"/>
      <c r="G1457" s="3"/>
      <c r="H1457" s="28">
        <v>649000.0</v>
      </c>
      <c r="I1457" s="4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>
      <c r="A1458" s="1" t="s">
        <v>18</v>
      </c>
      <c r="B1458" s="2"/>
      <c r="C1458" s="2"/>
      <c r="D1458" s="2"/>
      <c r="E1458" s="2"/>
      <c r="F1458" s="2"/>
      <c r="G1458" s="2"/>
      <c r="H1458" s="3"/>
      <c r="I1458" s="4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63" ht="29.25" customHeight="1">
      <c r="A1463" s="1" t="s">
        <v>0</v>
      </c>
      <c r="B1463" s="2"/>
      <c r="C1463" s="2"/>
      <c r="D1463" s="2"/>
      <c r="E1463" s="2"/>
      <c r="F1463" s="2"/>
      <c r="G1463" s="2"/>
      <c r="H1463" s="3"/>
      <c r="I1463" s="4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>
      <c r="A1464" s="6" t="s">
        <v>393</v>
      </c>
      <c r="B1464" s="2"/>
      <c r="C1464" s="2"/>
      <c r="D1464" s="2"/>
      <c r="E1464" s="2"/>
      <c r="F1464" s="2"/>
      <c r="G1464" s="2"/>
      <c r="H1464" s="3"/>
      <c r="I1464" s="4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>
      <c r="A1465" s="7" t="s">
        <v>2</v>
      </c>
      <c r="B1465" s="7" t="s">
        <v>3</v>
      </c>
      <c r="C1465" s="7" t="s">
        <v>4</v>
      </c>
      <c r="D1465" s="7" t="s">
        <v>5</v>
      </c>
      <c r="E1465" s="7" t="s">
        <v>6</v>
      </c>
      <c r="F1465" s="8" t="s">
        <v>7</v>
      </c>
      <c r="G1465" s="7" t="s">
        <v>8</v>
      </c>
      <c r="H1465" s="9"/>
      <c r="I1465" s="4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>
      <c r="A1466" s="10">
        <v>1.0</v>
      </c>
      <c r="B1466" s="18" t="s">
        <v>197</v>
      </c>
      <c r="C1466" s="19" t="s">
        <v>394</v>
      </c>
      <c r="D1466" s="13" t="s">
        <v>11</v>
      </c>
      <c r="E1466" s="14">
        <v>1.57</v>
      </c>
      <c r="F1466" s="15">
        <v>293000.0</v>
      </c>
      <c r="G1466" s="16">
        <f t="shared" ref="G1466:G1468" si="98">IFERROR(E1466*F1466,0)</f>
        <v>460010</v>
      </c>
      <c r="H1466" s="17"/>
      <c r="I1466" s="4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>
      <c r="A1467" s="10">
        <v>2.0</v>
      </c>
      <c r="B1467" s="29" t="s">
        <v>22</v>
      </c>
      <c r="C1467" s="30" t="s">
        <v>395</v>
      </c>
      <c r="D1467" s="20" t="s">
        <v>13</v>
      </c>
      <c r="E1467" s="21">
        <v>1.95</v>
      </c>
      <c r="F1467" s="22">
        <v>435000.0</v>
      </c>
      <c r="G1467" s="16">
        <f t="shared" si="98"/>
        <v>848250</v>
      </c>
      <c r="H1467" s="17"/>
      <c r="I1467" s="4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>
      <c r="A1468" s="10">
        <v>3.0</v>
      </c>
      <c r="B1468" s="23" t="s">
        <v>14</v>
      </c>
      <c r="C1468" s="17"/>
      <c r="D1468" s="17"/>
      <c r="E1468" s="17"/>
      <c r="F1468" s="17"/>
      <c r="G1468" s="24">
        <f t="shared" si="98"/>
        <v>0</v>
      </c>
      <c r="H1468" s="17"/>
      <c r="I1468" s="4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>
      <c r="A1469" s="25" t="s">
        <v>15</v>
      </c>
      <c r="B1469" s="2"/>
      <c r="C1469" s="2"/>
      <c r="D1469" s="2"/>
      <c r="E1469" s="2"/>
      <c r="F1469" s="2"/>
      <c r="G1469" s="3"/>
      <c r="H1469" s="26">
        <f>SUM(G1466:G1468)</f>
        <v>1308260</v>
      </c>
      <c r="I1469" s="4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>
      <c r="A1470" s="25" t="s">
        <v>16</v>
      </c>
      <c r="B1470" s="2"/>
      <c r="C1470" s="2"/>
      <c r="D1470" s="2"/>
      <c r="E1470" s="2"/>
      <c r="F1470" s="2"/>
      <c r="G1470" s="3"/>
      <c r="H1470" s="26">
        <f>MAX(0,H1469-648000)</f>
        <v>660260</v>
      </c>
      <c r="I1470" s="4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>
      <c r="A1471" s="27" t="s">
        <v>17</v>
      </c>
      <c r="B1471" s="2"/>
      <c r="C1471" s="2"/>
      <c r="D1471" s="2"/>
      <c r="E1471" s="2"/>
      <c r="F1471" s="2"/>
      <c r="G1471" s="3"/>
      <c r="H1471" s="28">
        <v>649000.0</v>
      </c>
      <c r="I1471" s="4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>
      <c r="A1472" s="1" t="s">
        <v>18</v>
      </c>
      <c r="B1472" s="2"/>
      <c r="C1472" s="2"/>
      <c r="D1472" s="2"/>
      <c r="E1472" s="2"/>
      <c r="F1472" s="2"/>
      <c r="G1472" s="2"/>
      <c r="H1472" s="3"/>
      <c r="I1472" s="4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7" ht="29.25" customHeight="1">
      <c r="A1477" s="1" t="s">
        <v>0</v>
      </c>
      <c r="B1477" s="2"/>
      <c r="C1477" s="2"/>
      <c r="D1477" s="2"/>
      <c r="E1477" s="2"/>
      <c r="F1477" s="2"/>
      <c r="G1477" s="2"/>
      <c r="H1477" s="3"/>
      <c r="I1477" s="4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>
      <c r="A1478" s="6" t="s">
        <v>396</v>
      </c>
      <c r="B1478" s="2"/>
      <c r="C1478" s="2"/>
      <c r="D1478" s="2"/>
      <c r="E1478" s="2"/>
      <c r="F1478" s="2"/>
      <c r="G1478" s="2"/>
      <c r="H1478" s="3"/>
      <c r="I1478" s="4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>
      <c r="A1479" s="7" t="s">
        <v>2</v>
      </c>
      <c r="B1479" s="7" t="s">
        <v>3</v>
      </c>
      <c r="C1479" s="7" t="s">
        <v>4</v>
      </c>
      <c r="D1479" s="7" t="s">
        <v>5</v>
      </c>
      <c r="E1479" s="7" t="s">
        <v>6</v>
      </c>
      <c r="F1479" s="8" t="s">
        <v>7</v>
      </c>
      <c r="G1479" s="7" t="s">
        <v>8</v>
      </c>
      <c r="H1479" s="9"/>
      <c r="I1479" s="4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>
      <c r="A1480" s="10">
        <v>1.0</v>
      </c>
      <c r="B1480" s="18" t="s">
        <v>373</v>
      </c>
      <c r="C1480" s="19" t="s">
        <v>397</v>
      </c>
      <c r="D1480" s="13" t="s">
        <v>11</v>
      </c>
      <c r="E1480" s="14">
        <v>2.55</v>
      </c>
      <c r="F1480" s="15">
        <v>293000.0</v>
      </c>
      <c r="G1480" s="16">
        <f t="shared" ref="G1480:G1482" si="99">IFERROR(E1480*F1480,0)</f>
        <v>747150</v>
      </c>
      <c r="H1480" s="17"/>
      <c r="I1480" s="4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>
      <c r="A1481" s="10">
        <v>2.0</v>
      </c>
      <c r="B1481" s="29" t="s">
        <v>240</v>
      </c>
      <c r="C1481" s="30" t="s">
        <v>398</v>
      </c>
      <c r="D1481" s="20" t="s">
        <v>13</v>
      </c>
      <c r="E1481" s="21">
        <v>1.0</v>
      </c>
      <c r="F1481" s="22">
        <v>435000.0</v>
      </c>
      <c r="G1481" s="16">
        <f t="shared" si="99"/>
        <v>435000</v>
      </c>
      <c r="H1481" s="17"/>
      <c r="I1481" s="4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>
      <c r="A1482" s="10">
        <v>3.0</v>
      </c>
      <c r="B1482" s="23" t="s">
        <v>14</v>
      </c>
      <c r="C1482" s="17"/>
      <c r="D1482" s="17"/>
      <c r="E1482" s="17"/>
      <c r="F1482" s="17"/>
      <c r="G1482" s="24">
        <f t="shared" si="99"/>
        <v>0</v>
      </c>
      <c r="H1482" s="17"/>
      <c r="I1482" s="4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>
      <c r="A1483" s="25" t="s">
        <v>15</v>
      </c>
      <c r="B1483" s="2"/>
      <c r="C1483" s="2"/>
      <c r="D1483" s="2"/>
      <c r="E1483" s="2"/>
      <c r="F1483" s="2"/>
      <c r="G1483" s="3"/>
      <c r="H1483" s="26">
        <f>SUM(G1480:G1482)</f>
        <v>1182150</v>
      </c>
      <c r="I1483" s="4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>
      <c r="A1484" s="25" t="s">
        <v>16</v>
      </c>
      <c r="B1484" s="2"/>
      <c r="C1484" s="2"/>
      <c r="D1484" s="2"/>
      <c r="E1484" s="2"/>
      <c r="F1484" s="2"/>
      <c r="G1484" s="3"/>
      <c r="H1484" s="26">
        <f>MAX(0,H1483-648000)</f>
        <v>534150</v>
      </c>
      <c r="I1484" s="4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>
      <c r="A1485" s="27" t="s">
        <v>17</v>
      </c>
      <c r="B1485" s="2"/>
      <c r="C1485" s="2"/>
      <c r="D1485" s="2"/>
      <c r="E1485" s="2"/>
      <c r="F1485" s="2"/>
      <c r="G1485" s="3"/>
      <c r="H1485" s="28">
        <v>649000.0</v>
      </c>
      <c r="I1485" s="4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>
      <c r="A1486" s="1" t="s">
        <v>18</v>
      </c>
      <c r="B1486" s="2"/>
      <c r="C1486" s="2"/>
      <c r="D1486" s="2"/>
      <c r="E1486" s="2"/>
      <c r="F1486" s="2"/>
      <c r="G1486" s="2"/>
      <c r="H1486" s="3"/>
      <c r="I1486" s="4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92" ht="29.25" customHeight="1">
      <c r="A1492" s="1" t="s">
        <v>0</v>
      </c>
      <c r="B1492" s="2"/>
      <c r="C1492" s="2"/>
      <c r="D1492" s="2"/>
      <c r="E1492" s="2"/>
      <c r="F1492" s="2"/>
      <c r="G1492" s="2"/>
      <c r="H1492" s="3"/>
      <c r="I1492" s="4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>
      <c r="A1493" s="6" t="s">
        <v>399</v>
      </c>
      <c r="B1493" s="2"/>
      <c r="C1493" s="2"/>
      <c r="D1493" s="2"/>
      <c r="E1493" s="2"/>
      <c r="F1493" s="2"/>
      <c r="G1493" s="2"/>
      <c r="H1493" s="3"/>
      <c r="I1493" s="4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>
      <c r="A1494" s="7" t="s">
        <v>2</v>
      </c>
      <c r="B1494" s="7" t="s">
        <v>3</v>
      </c>
      <c r="C1494" s="7" t="s">
        <v>4</v>
      </c>
      <c r="D1494" s="7" t="s">
        <v>5</v>
      </c>
      <c r="E1494" s="7" t="s">
        <v>6</v>
      </c>
      <c r="F1494" s="8" t="s">
        <v>7</v>
      </c>
      <c r="G1494" s="7" t="s">
        <v>8</v>
      </c>
      <c r="H1494" s="9"/>
      <c r="I1494" s="4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>
      <c r="A1495" s="10">
        <v>1.0</v>
      </c>
      <c r="B1495" s="18" t="s">
        <v>400</v>
      </c>
      <c r="C1495" s="19" t="s">
        <v>10</v>
      </c>
      <c r="D1495" s="13" t="s">
        <v>11</v>
      </c>
      <c r="E1495" s="14">
        <v>1.4</v>
      </c>
      <c r="F1495" s="15">
        <v>293000.0</v>
      </c>
      <c r="G1495" s="16">
        <f t="shared" ref="G1495:G1497" si="100">IFERROR(E1495*F1495,0)</f>
        <v>410200</v>
      </c>
      <c r="H1495" s="17"/>
      <c r="I1495" s="4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>
      <c r="A1496" s="10">
        <v>2.0</v>
      </c>
      <c r="B1496" s="29" t="s">
        <v>190</v>
      </c>
      <c r="C1496" s="30" t="s">
        <v>191</v>
      </c>
      <c r="D1496" s="20" t="s">
        <v>13</v>
      </c>
      <c r="E1496" s="21">
        <v>2.0</v>
      </c>
      <c r="F1496" s="22">
        <v>435000.0</v>
      </c>
      <c r="G1496" s="16">
        <f t="shared" si="100"/>
        <v>870000</v>
      </c>
      <c r="H1496" s="17"/>
      <c r="I1496" s="4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>
      <c r="A1497" s="10">
        <v>3.0</v>
      </c>
      <c r="B1497" s="23" t="s">
        <v>14</v>
      </c>
      <c r="C1497" s="17"/>
      <c r="D1497" s="17"/>
      <c r="E1497" s="17"/>
      <c r="F1497" s="17"/>
      <c r="G1497" s="24">
        <f t="shared" si="100"/>
        <v>0</v>
      </c>
      <c r="H1497" s="17"/>
      <c r="I1497" s="4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>
      <c r="A1498" s="25" t="s">
        <v>15</v>
      </c>
      <c r="B1498" s="2"/>
      <c r="C1498" s="2"/>
      <c r="D1498" s="2"/>
      <c r="E1498" s="2"/>
      <c r="F1498" s="2"/>
      <c r="G1498" s="3"/>
      <c r="H1498" s="26">
        <f>SUM(G1495:G1497)</f>
        <v>1280200</v>
      </c>
      <c r="I1498" s="4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>
      <c r="A1499" s="25" t="s">
        <v>16</v>
      </c>
      <c r="B1499" s="2"/>
      <c r="C1499" s="2"/>
      <c r="D1499" s="2"/>
      <c r="E1499" s="2"/>
      <c r="F1499" s="2"/>
      <c r="G1499" s="3"/>
      <c r="H1499" s="26">
        <f>MAX(0,H1498-648000)</f>
        <v>632200</v>
      </c>
      <c r="I1499" s="4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>
      <c r="A1500" s="27" t="s">
        <v>17</v>
      </c>
      <c r="B1500" s="2"/>
      <c r="C1500" s="2"/>
      <c r="D1500" s="2"/>
      <c r="E1500" s="2"/>
      <c r="F1500" s="2"/>
      <c r="G1500" s="3"/>
      <c r="H1500" s="28">
        <v>649000.0</v>
      </c>
      <c r="I1500" s="4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>
      <c r="A1501" s="1" t="s">
        <v>18</v>
      </c>
      <c r="B1501" s="2"/>
      <c r="C1501" s="2"/>
      <c r="D1501" s="2"/>
      <c r="E1501" s="2"/>
      <c r="F1501" s="2"/>
      <c r="G1501" s="2"/>
      <c r="H1501" s="3"/>
      <c r="I1501" s="4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6" ht="27.75" customHeight="1"/>
    <row r="1507" ht="29.25" customHeight="1">
      <c r="A1507" s="1" t="s">
        <v>0</v>
      </c>
      <c r="B1507" s="2"/>
      <c r="C1507" s="2"/>
      <c r="D1507" s="2"/>
      <c r="E1507" s="2"/>
      <c r="F1507" s="2"/>
      <c r="G1507" s="2"/>
      <c r="H1507" s="3"/>
      <c r="I1507" s="4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>
      <c r="A1508" s="6" t="s">
        <v>401</v>
      </c>
      <c r="B1508" s="2"/>
      <c r="C1508" s="2"/>
      <c r="D1508" s="2"/>
      <c r="E1508" s="2"/>
      <c r="F1508" s="2"/>
      <c r="G1508" s="2"/>
      <c r="H1508" s="3"/>
      <c r="I1508" s="4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>
      <c r="A1509" s="7" t="s">
        <v>2</v>
      </c>
      <c r="B1509" s="7" t="s">
        <v>3</v>
      </c>
      <c r="C1509" s="7" t="s">
        <v>4</v>
      </c>
      <c r="D1509" s="7" t="s">
        <v>5</v>
      </c>
      <c r="E1509" s="7" t="s">
        <v>6</v>
      </c>
      <c r="F1509" s="8" t="s">
        <v>7</v>
      </c>
      <c r="G1509" s="7" t="s">
        <v>8</v>
      </c>
      <c r="H1509" s="9"/>
      <c r="I1509" s="4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>
      <c r="A1510" s="10">
        <v>1.0</v>
      </c>
      <c r="B1510" s="18" t="s">
        <v>34</v>
      </c>
      <c r="C1510" s="19" t="s">
        <v>402</v>
      </c>
      <c r="D1510" s="13" t="s">
        <v>11</v>
      </c>
      <c r="E1510" s="14">
        <v>1.5</v>
      </c>
      <c r="F1510" s="15">
        <v>293000.0</v>
      </c>
      <c r="G1510" s="16">
        <f t="shared" ref="G1510:G1512" si="101">IFERROR(E1510*F1510,0)</f>
        <v>439500</v>
      </c>
      <c r="H1510" s="17"/>
      <c r="I1510" s="4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>
      <c r="A1511" s="10">
        <v>2.0</v>
      </c>
      <c r="B1511" s="29" t="s">
        <v>27</v>
      </c>
      <c r="C1511" s="30" t="s">
        <v>403</v>
      </c>
      <c r="D1511" s="20" t="s">
        <v>13</v>
      </c>
      <c r="E1511" s="21">
        <v>2.0</v>
      </c>
      <c r="F1511" s="22">
        <v>435000.0</v>
      </c>
      <c r="G1511" s="16">
        <f t="shared" si="101"/>
        <v>870000</v>
      </c>
      <c r="H1511" s="17"/>
      <c r="I1511" s="4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>
      <c r="A1512" s="10">
        <v>3.0</v>
      </c>
      <c r="B1512" s="23" t="s">
        <v>14</v>
      </c>
      <c r="C1512" s="17"/>
      <c r="D1512" s="17"/>
      <c r="E1512" s="17"/>
      <c r="F1512" s="17"/>
      <c r="G1512" s="24">
        <f t="shared" si="101"/>
        <v>0</v>
      </c>
      <c r="H1512" s="17"/>
      <c r="I1512" s="4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>
      <c r="A1513" s="25" t="s">
        <v>15</v>
      </c>
      <c r="B1513" s="2"/>
      <c r="C1513" s="2"/>
      <c r="D1513" s="2"/>
      <c r="E1513" s="2"/>
      <c r="F1513" s="2"/>
      <c r="G1513" s="3"/>
      <c r="H1513" s="26">
        <f>SUM(G1510:G1512)</f>
        <v>1309500</v>
      </c>
      <c r="I1513" s="4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>
      <c r="A1514" s="25" t="s">
        <v>16</v>
      </c>
      <c r="B1514" s="2"/>
      <c r="C1514" s="2"/>
      <c r="D1514" s="2"/>
      <c r="E1514" s="2"/>
      <c r="F1514" s="2"/>
      <c r="G1514" s="3"/>
      <c r="H1514" s="26">
        <f>MAX(0,H1513-648000)</f>
        <v>661500</v>
      </c>
      <c r="I1514" s="4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>
      <c r="A1515" s="27" t="s">
        <v>17</v>
      </c>
      <c r="B1515" s="2"/>
      <c r="C1515" s="2"/>
      <c r="D1515" s="2"/>
      <c r="E1515" s="2"/>
      <c r="F1515" s="2"/>
      <c r="G1515" s="3"/>
      <c r="H1515" s="28">
        <v>649000.0</v>
      </c>
      <c r="I1515" s="4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>
      <c r="A1516" s="1" t="s">
        <v>18</v>
      </c>
      <c r="B1516" s="2"/>
      <c r="C1516" s="2"/>
      <c r="D1516" s="2"/>
      <c r="E1516" s="2"/>
      <c r="F1516" s="2"/>
      <c r="G1516" s="2"/>
      <c r="H1516" s="3"/>
      <c r="I1516" s="4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22" ht="29.25" customHeight="1">
      <c r="A1522" s="1" t="s">
        <v>0</v>
      </c>
      <c r="B1522" s="2"/>
      <c r="C1522" s="2"/>
      <c r="D1522" s="2"/>
      <c r="E1522" s="2"/>
      <c r="F1522" s="2"/>
      <c r="G1522" s="2"/>
      <c r="H1522" s="3"/>
      <c r="I1522" s="4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>
      <c r="A1523" s="6" t="s">
        <v>404</v>
      </c>
      <c r="B1523" s="2"/>
      <c r="C1523" s="2"/>
      <c r="D1523" s="2"/>
      <c r="E1523" s="2"/>
      <c r="F1523" s="2"/>
      <c r="G1523" s="2"/>
      <c r="H1523" s="3"/>
      <c r="I1523" s="4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>
      <c r="A1524" s="7" t="s">
        <v>2</v>
      </c>
      <c r="B1524" s="7" t="s">
        <v>3</v>
      </c>
      <c r="C1524" s="7" t="s">
        <v>4</v>
      </c>
      <c r="D1524" s="7" t="s">
        <v>5</v>
      </c>
      <c r="E1524" s="7" t="s">
        <v>6</v>
      </c>
      <c r="F1524" s="8" t="s">
        <v>7</v>
      </c>
      <c r="G1524" s="7" t="s">
        <v>8</v>
      </c>
      <c r="H1524" s="9"/>
      <c r="I1524" s="4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>
      <c r="A1525" s="10">
        <v>1.0</v>
      </c>
      <c r="B1525" s="18" t="s">
        <v>269</v>
      </c>
      <c r="C1525" s="19" t="s">
        <v>166</v>
      </c>
      <c r="D1525" s="13" t="s">
        <v>11</v>
      </c>
      <c r="E1525" s="14">
        <v>1.5</v>
      </c>
      <c r="F1525" s="15">
        <v>293000.0</v>
      </c>
      <c r="G1525" s="16">
        <f t="shared" ref="G1525:G1527" si="102">IFERROR(E1525*F1525,0)</f>
        <v>439500</v>
      </c>
      <c r="H1525" s="17"/>
      <c r="I1525" s="4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>
      <c r="A1526" s="10">
        <v>2.0</v>
      </c>
      <c r="B1526" s="29" t="s">
        <v>65</v>
      </c>
      <c r="C1526" s="30" t="s">
        <v>405</v>
      </c>
      <c r="D1526" s="20" t="s">
        <v>13</v>
      </c>
      <c r="E1526" s="21">
        <v>2.0</v>
      </c>
      <c r="F1526" s="22">
        <v>435000.0</v>
      </c>
      <c r="G1526" s="16">
        <f t="shared" si="102"/>
        <v>870000</v>
      </c>
      <c r="H1526" s="17"/>
      <c r="I1526" s="4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>
      <c r="A1527" s="10">
        <v>3.0</v>
      </c>
      <c r="B1527" s="23" t="s">
        <v>14</v>
      </c>
      <c r="C1527" s="17"/>
      <c r="D1527" s="17"/>
      <c r="E1527" s="17"/>
      <c r="F1527" s="17"/>
      <c r="G1527" s="24">
        <f t="shared" si="102"/>
        <v>0</v>
      </c>
      <c r="H1527" s="17"/>
      <c r="I1527" s="4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>
      <c r="A1528" s="25" t="s">
        <v>15</v>
      </c>
      <c r="B1528" s="2"/>
      <c r="C1528" s="2"/>
      <c r="D1528" s="2"/>
      <c r="E1528" s="2"/>
      <c r="F1528" s="2"/>
      <c r="G1528" s="3"/>
      <c r="H1528" s="26">
        <f>SUM(G1525:G1527)</f>
        <v>1309500</v>
      </c>
      <c r="I1528" s="4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>
      <c r="A1529" s="25" t="s">
        <v>16</v>
      </c>
      <c r="B1529" s="2"/>
      <c r="C1529" s="2"/>
      <c r="D1529" s="2"/>
      <c r="E1529" s="2"/>
      <c r="F1529" s="2"/>
      <c r="G1529" s="3"/>
      <c r="H1529" s="26">
        <f>MAX(0,H1528-648000)</f>
        <v>661500</v>
      </c>
      <c r="I1529" s="4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>
      <c r="A1530" s="27" t="s">
        <v>17</v>
      </c>
      <c r="B1530" s="2"/>
      <c r="C1530" s="2"/>
      <c r="D1530" s="2"/>
      <c r="E1530" s="2"/>
      <c r="F1530" s="2"/>
      <c r="G1530" s="3"/>
      <c r="H1530" s="28">
        <v>649000.0</v>
      </c>
      <c r="I1530" s="4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>
      <c r="A1531" s="1" t="s">
        <v>18</v>
      </c>
      <c r="B1531" s="2"/>
      <c r="C1531" s="2"/>
      <c r="D1531" s="2"/>
      <c r="E1531" s="2"/>
      <c r="F1531" s="2"/>
      <c r="G1531" s="2"/>
      <c r="H1531" s="3"/>
      <c r="I1531" s="4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7" ht="29.25" customHeight="1">
      <c r="A1537" s="1" t="s">
        <v>0</v>
      </c>
      <c r="B1537" s="2"/>
      <c r="C1537" s="2"/>
      <c r="D1537" s="2"/>
      <c r="E1537" s="2"/>
      <c r="F1537" s="2"/>
      <c r="G1537" s="2"/>
      <c r="H1537" s="3"/>
      <c r="I1537" s="4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>
      <c r="A1538" s="6" t="s">
        <v>406</v>
      </c>
      <c r="B1538" s="2"/>
      <c r="C1538" s="2"/>
      <c r="D1538" s="2"/>
      <c r="E1538" s="2"/>
      <c r="F1538" s="2"/>
      <c r="G1538" s="2"/>
      <c r="H1538" s="3"/>
      <c r="I1538" s="4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>
      <c r="A1539" s="7" t="s">
        <v>2</v>
      </c>
      <c r="B1539" s="7" t="s">
        <v>3</v>
      </c>
      <c r="C1539" s="7" t="s">
        <v>4</v>
      </c>
      <c r="D1539" s="7" t="s">
        <v>5</v>
      </c>
      <c r="E1539" s="7" t="s">
        <v>6</v>
      </c>
      <c r="F1539" s="8" t="s">
        <v>7</v>
      </c>
      <c r="G1539" s="7" t="s">
        <v>8</v>
      </c>
      <c r="H1539" s="9"/>
      <c r="I1539" s="4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>
      <c r="A1540" s="10">
        <v>1.0</v>
      </c>
      <c r="B1540" s="18" t="s">
        <v>36</v>
      </c>
      <c r="C1540" s="19" t="s">
        <v>407</v>
      </c>
      <c r="D1540" s="13" t="s">
        <v>11</v>
      </c>
      <c r="E1540" s="14">
        <v>1.75</v>
      </c>
      <c r="F1540" s="15">
        <v>293000.0</v>
      </c>
      <c r="G1540" s="16">
        <f t="shared" ref="G1540:G1542" si="103">IFERROR(E1540*F1540,0)</f>
        <v>512750</v>
      </c>
      <c r="H1540" s="17"/>
      <c r="I1540" s="4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>
      <c r="A1541" s="10">
        <v>2.0</v>
      </c>
      <c r="B1541" s="29" t="s">
        <v>408</v>
      </c>
      <c r="C1541" s="30" t="s">
        <v>409</v>
      </c>
      <c r="D1541" s="20" t="s">
        <v>13</v>
      </c>
      <c r="E1541" s="21">
        <v>1.7</v>
      </c>
      <c r="F1541" s="22">
        <v>435000.0</v>
      </c>
      <c r="G1541" s="16">
        <f t="shared" si="103"/>
        <v>739500</v>
      </c>
      <c r="H1541" s="17"/>
      <c r="I1541" s="4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>
      <c r="A1542" s="10">
        <v>3.0</v>
      </c>
      <c r="B1542" s="23" t="s">
        <v>14</v>
      </c>
      <c r="C1542" s="17"/>
      <c r="D1542" s="17"/>
      <c r="E1542" s="17"/>
      <c r="F1542" s="17"/>
      <c r="G1542" s="24">
        <f t="shared" si="103"/>
        <v>0</v>
      </c>
      <c r="H1542" s="17"/>
      <c r="I1542" s="4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>
      <c r="A1543" s="25" t="s">
        <v>15</v>
      </c>
      <c r="B1543" s="2"/>
      <c r="C1543" s="2"/>
      <c r="D1543" s="2"/>
      <c r="E1543" s="2"/>
      <c r="F1543" s="2"/>
      <c r="G1543" s="3"/>
      <c r="H1543" s="26">
        <f>SUM(G1540:G1542)</f>
        <v>1252250</v>
      </c>
      <c r="I1543" s="4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>
      <c r="A1544" s="25" t="s">
        <v>16</v>
      </c>
      <c r="B1544" s="2"/>
      <c r="C1544" s="2"/>
      <c r="D1544" s="2"/>
      <c r="E1544" s="2"/>
      <c r="F1544" s="2"/>
      <c r="G1544" s="3"/>
      <c r="H1544" s="26">
        <f>MAX(0,H1543-648000)</f>
        <v>604250</v>
      </c>
      <c r="I1544" s="4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>
      <c r="A1545" s="27" t="s">
        <v>17</v>
      </c>
      <c r="B1545" s="2"/>
      <c r="C1545" s="2"/>
      <c r="D1545" s="2"/>
      <c r="E1545" s="2"/>
      <c r="F1545" s="2"/>
      <c r="G1545" s="3"/>
      <c r="H1545" s="28">
        <v>649000.0</v>
      </c>
      <c r="I1545" s="4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>
      <c r="A1546" s="1" t="s">
        <v>18</v>
      </c>
      <c r="B1546" s="2"/>
      <c r="C1546" s="2"/>
      <c r="D1546" s="2"/>
      <c r="E1546" s="2"/>
      <c r="F1546" s="2"/>
      <c r="G1546" s="2"/>
      <c r="H1546" s="3"/>
      <c r="I1546" s="4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53">
      <c r="A1553" s="1" t="s">
        <v>0</v>
      </c>
      <c r="B1553" s="2"/>
      <c r="C1553" s="2"/>
      <c r="D1553" s="2"/>
      <c r="E1553" s="2"/>
      <c r="F1553" s="2"/>
      <c r="G1553" s="2"/>
      <c r="H1553" s="3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>
      <c r="A1554" s="6" t="s">
        <v>410</v>
      </c>
      <c r="B1554" s="2"/>
      <c r="C1554" s="2"/>
      <c r="D1554" s="2"/>
      <c r="E1554" s="2"/>
      <c r="F1554" s="2"/>
      <c r="G1554" s="2"/>
      <c r="H1554" s="3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>
      <c r="A1555" s="7" t="s">
        <v>2</v>
      </c>
      <c r="B1555" s="7" t="s">
        <v>3</v>
      </c>
      <c r="C1555" s="7" t="s">
        <v>4</v>
      </c>
      <c r="D1555" s="7" t="s">
        <v>5</v>
      </c>
      <c r="E1555" s="7" t="s">
        <v>6</v>
      </c>
      <c r="F1555" s="8" t="s">
        <v>7</v>
      </c>
      <c r="G1555" s="7" t="s">
        <v>8</v>
      </c>
      <c r="H1555" s="9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>
      <c r="A1556" s="10">
        <v>1.0</v>
      </c>
      <c r="B1556" s="33" t="s">
        <v>41</v>
      </c>
      <c r="C1556" s="34" t="s">
        <v>411</v>
      </c>
      <c r="D1556" s="13" t="s">
        <v>11</v>
      </c>
      <c r="E1556" s="35">
        <v>1.7</v>
      </c>
      <c r="F1556" s="15">
        <v>293000.0</v>
      </c>
      <c r="G1556" s="16">
        <f t="shared" ref="G1556:G1558" si="104">IFERROR(E1556*F1556,0)</f>
        <v>498100</v>
      </c>
      <c r="H1556" s="17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>
      <c r="A1557" s="10">
        <v>2.0</v>
      </c>
      <c r="B1557" s="36" t="s">
        <v>412</v>
      </c>
      <c r="C1557" s="37" t="s">
        <v>413</v>
      </c>
      <c r="D1557" s="20" t="s">
        <v>13</v>
      </c>
      <c r="E1557" s="38">
        <v>1.6</v>
      </c>
      <c r="F1557" s="22">
        <v>435000.0</v>
      </c>
      <c r="G1557" s="16">
        <f t="shared" si="104"/>
        <v>696000</v>
      </c>
      <c r="H1557" s="17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>
      <c r="A1558" s="10">
        <v>3.0</v>
      </c>
      <c r="B1558" s="23" t="s">
        <v>14</v>
      </c>
      <c r="C1558" s="17"/>
      <c r="D1558" s="17"/>
      <c r="E1558" s="17"/>
      <c r="F1558" s="17"/>
      <c r="G1558" s="24">
        <f t="shared" si="104"/>
        <v>0</v>
      </c>
      <c r="H1558" s="17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>
      <c r="A1559" s="25" t="s">
        <v>15</v>
      </c>
      <c r="B1559" s="2"/>
      <c r="C1559" s="2"/>
      <c r="D1559" s="2"/>
      <c r="E1559" s="2"/>
      <c r="F1559" s="2"/>
      <c r="G1559" s="3"/>
      <c r="H1559" s="26">
        <f>SUM(G1556:G1558)</f>
        <v>1194100</v>
      </c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>
      <c r="A1560" s="25" t="s">
        <v>16</v>
      </c>
      <c r="B1560" s="2"/>
      <c r="C1560" s="2"/>
      <c r="D1560" s="2"/>
      <c r="E1560" s="2"/>
      <c r="F1560" s="2"/>
      <c r="G1560" s="3"/>
      <c r="H1560" s="26">
        <f>MAX(0,H1559-648000)</f>
        <v>546100</v>
      </c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>
      <c r="A1561" s="27" t="s">
        <v>17</v>
      </c>
      <c r="B1561" s="2"/>
      <c r="C1561" s="2"/>
      <c r="D1561" s="2"/>
      <c r="E1561" s="2"/>
      <c r="F1561" s="2"/>
      <c r="G1561" s="3"/>
      <c r="H1561" s="28">
        <v>649000.0</v>
      </c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>
      <c r="A1562" s="1" t="s">
        <v>18</v>
      </c>
      <c r="B1562" s="2"/>
      <c r="C1562" s="2"/>
      <c r="D1562" s="2"/>
      <c r="E1562" s="2"/>
      <c r="F1562" s="2"/>
      <c r="G1562" s="2"/>
      <c r="H1562" s="3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70">
      <c r="A1570" s="1" t="s">
        <v>0</v>
      </c>
      <c r="B1570" s="2"/>
      <c r="C1570" s="2"/>
      <c r="D1570" s="2"/>
      <c r="E1570" s="2"/>
      <c r="F1570" s="2"/>
      <c r="G1570" s="2"/>
      <c r="H1570" s="3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>
      <c r="A1571" s="6" t="s">
        <v>414</v>
      </c>
      <c r="B1571" s="2"/>
      <c r="C1571" s="2"/>
      <c r="D1571" s="2"/>
      <c r="E1571" s="2"/>
      <c r="F1571" s="2"/>
      <c r="G1571" s="2"/>
      <c r="H1571" s="3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>
      <c r="A1572" s="7" t="s">
        <v>2</v>
      </c>
      <c r="B1572" s="7" t="s">
        <v>3</v>
      </c>
      <c r="C1572" s="7" t="s">
        <v>4</v>
      </c>
      <c r="D1572" s="7" t="s">
        <v>5</v>
      </c>
      <c r="E1572" s="7" t="s">
        <v>6</v>
      </c>
      <c r="F1572" s="8" t="s">
        <v>7</v>
      </c>
      <c r="G1572" s="7" t="s">
        <v>8</v>
      </c>
      <c r="H1572" s="9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>
      <c r="A1573" s="10">
        <v>1.0</v>
      </c>
      <c r="B1573" s="33" t="s">
        <v>301</v>
      </c>
      <c r="C1573" s="34" t="s">
        <v>415</v>
      </c>
      <c r="D1573" s="13" t="s">
        <v>11</v>
      </c>
      <c r="E1573" s="35">
        <v>1.5</v>
      </c>
      <c r="F1573" s="15">
        <v>293000.0</v>
      </c>
      <c r="G1573" s="16">
        <f t="shared" ref="G1573:G1575" si="105">IFERROR(E1573*F1573,0)</f>
        <v>439500</v>
      </c>
      <c r="H1573" s="17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>
      <c r="A1574" s="10">
        <v>2.0</v>
      </c>
      <c r="B1574" s="36" t="s">
        <v>22</v>
      </c>
      <c r="C1574" s="37" t="s">
        <v>416</v>
      </c>
      <c r="D1574" s="20" t="s">
        <v>13</v>
      </c>
      <c r="E1574" s="38">
        <v>2.0</v>
      </c>
      <c r="F1574" s="22">
        <v>435000.0</v>
      </c>
      <c r="G1574" s="16">
        <f t="shared" si="105"/>
        <v>870000</v>
      </c>
      <c r="H1574" s="17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>
      <c r="A1575" s="10">
        <v>3.0</v>
      </c>
      <c r="B1575" s="23" t="s">
        <v>14</v>
      </c>
      <c r="C1575" s="17"/>
      <c r="D1575" s="17"/>
      <c r="E1575" s="17"/>
      <c r="F1575" s="17"/>
      <c r="G1575" s="24">
        <f t="shared" si="105"/>
        <v>0</v>
      </c>
      <c r="H1575" s="17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>
      <c r="A1576" s="25" t="s">
        <v>15</v>
      </c>
      <c r="B1576" s="2"/>
      <c r="C1576" s="2"/>
      <c r="D1576" s="2"/>
      <c r="E1576" s="2"/>
      <c r="F1576" s="2"/>
      <c r="G1576" s="3"/>
      <c r="H1576" s="26">
        <f>SUM(G1573:G1575)</f>
        <v>1309500</v>
      </c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>
      <c r="A1577" s="25" t="s">
        <v>16</v>
      </c>
      <c r="B1577" s="2"/>
      <c r="C1577" s="2"/>
      <c r="D1577" s="2"/>
      <c r="E1577" s="2"/>
      <c r="F1577" s="2"/>
      <c r="G1577" s="3"/>
      <c r="H1577" s="26">
        <f>MAX(0,H1576-648000)</f>
        <v>661500</v>
      </c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>
      <c r="A1578" s="27" t="s">
        <v>17</v>
      </c>
      <c r="B1578" s="2"/>
      <c r="C1578" s="2"/>
      <c r="D1578" s="2"/>
      <c r="E1578" s="2"/>
      <c r="F1578" s="2"/>
      <c r="G1578" s="3"/>
      <c r="H1578" s="28">
        <v>649000.0</v>
      </c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>
      <c r="A1579" s="1" t="s">
        <v>18</v>
      </c>
      <c r="B1579" s="2"/>
      <c r="C1579" s="2"/>
      <c r="D1579" s="2"/>
      <c r="E1579" s="2"/>
      <c r="F1579" s="2"/>
      <c r="G1579" s="2"/>
      <c r="H1579" s="3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6">
      <c r="A1586" s="1" t="s">
        <v>0</v>
      </c>
      <c r="B1586" s="2"/>
      <c r="C1586" s="2"/>
      <c r="D1586" s="2"/>
      <c r="E1586" s="2"/>
      <c r="F1586" s="2"/>
      <c r="G1586" s="2"/>
      <c r="H1586" s="3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>
      <c r="A1587" s="6" t="s">
        <v>417</v>
      </c>
      <c r="B1587" s="2"/>
      <c r="C1587" s="2"/>
      <c r="D1587" s="2"/>
      <c r="E1587" s="2"/>
      <c r="F1587" s="2"/>
      <c r="G1587" s="2"/>
      <c r="H1587" s="3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>
      <c r="A1588" s="7" t="s">
        <v>2</v>
      </c>
      <c r="B1588" s="7" t="s">
        <v>3</v>
      </c>
      <c r="C1588" s="7" t="s">
        <v>4</v>
      </c>
      <c r="D1588" s="7" t="s">
        <v>5</v>
      </c>
      <c r="E1588" s="7" t="s">
        <v>6</v>
      </c>
      <c r="F1588" s="8" t="s">
        <v>7</v>
      </c>
      <c r="G1588" s="7" t="s">
        <v>8</v>
      </c>
      <c r="H1588" s="9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>
      <c r="A1589" s="10">
        <v>1.0</v>
      </c>
      <c r="B1589" s="33" t="s">
        <v>249</v>
      </c>
      <c r="C1589" s="34" t="s">
        <v>80</v>
      </c>
      <c r="D1589" s="13" t="s">
        <v>11</v>
      </c>
      <c r="E1589" s="35">
        <v>2.95</v>
      </c>
      <c r="F1589" s="15">
        <v>293000.0</v>
      </c>
      <c r="G1589" s="16">
        <f t="shared" ref="G1589:G1591" si="106">IFERROR(E1589*F1589,0)</f>
        <v>864350</v>
      </c>
      <c r="H1589" s="17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>
      <c r="A1590" s="10">
        <v>2.0</v>
      </c>
      <c r="B1590" s="36" t="s">
        <v>269</v>
      </c>
      <c r="C1590" s="37" t="s">
        <v>418</v>
      </c>
      <c r="D1590" s="20" t="s">
        <v>13</v>
      </c>
      <c r="E1590" s="38">
        <v>0.55</v>
      </c>
      <c r="F1590" s="22">
        <v>435000.0</v>
      </c>
      <c r="G1590" s="16">
        <f t="shared" si="106"/>
        <v>239250</v>
      </c>
      <c r="H1590" s="17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>
      <c r="A1591" s="10">
        <v>3.0</v>
      </c>
      <c r="B1591" s="23" t="s">
        <v>14</v>
      </c>
      <c r="C1591" s="17"/>
      <c r="D1591" s="17"/>
      <c r="E1591" s="17"/>
      <c r="F1591" s="17"/>
      <c r="G1591" s="24">
        <f t="shared" si="106"/>
        <v>0</v>
      </c>
      <c r="H1591" s="17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>
      <c r="A1592" s="25" t="s">
        <v>15</v>
      </c>
      <c r="B1592" s="2"/>
      <c r="C1592" s="2"/>
      <c r="D1592" s="2"/>
      <c r="E1592" s="2"/>
      <c r="F1592" s="2"/>
      <c r="G1592" s="3"/>
      <c r="H1592" s="26">
        <f>SUM(G1589:G1591)</f>
        <v>1103600</v>
      </c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>
      <c r="A1593" s="25" t="s">
        <v>16</v>
      </c>
      <c r="B1593" s="2"/>
      <c r="C1593" s="2"/>
      <c r="D1593" s="2"/>
      <c r="E1593" s="2"/>
      <c r="F1593" s="2"/>
      <c r="G1593" s="3"/>
      <c r="H1593" s="26">
        <f>MAX(0,H1592-648000)</f>
        <v>455600</v>
      </c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>
      <c r="A1594" s="27" t="s">
        <v>17</v>
      </c>
      <c r="B1594" s="2"/>
      <c r="C1594" s="2"/>
      <c r="D1594" s="2"/>
      <c r="E1594" s="2"/>
      <c r="F1594" s="2"/>
      <c r="G1594" s="3"/>
      <c r="H1594" s="28">
        <v>649000.0</v>
      </c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>
      <c r="A1595" s="1" t="s">
        <v>18</v>
      </c>
      <c r="B1595" s="2"/>
      <c r="C1595" s="2"/>
      <c r="D1595" s="2"/>
      <c r="E1595" s="2"/>
      <c r="F1595" s="2"/>
      <c r="G1595" s="2"/>
      <c r="H1595" s="3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601">
      <c r="A1601" s="1" t="s">
        <v>0</v>
      </c>
      <c r="B1601" s="2"/>
      <c r="C1601" s="2"/>
      <c r="D1601" s="2"/>
      <c r="E1601" s="2"/>
      <c r="F1601" s="2"/>
      <c r="G1601" s="2"/>
      <c r="H1601" s="3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>
      <c r="A1602" s="6" t="s">
        <v>419</v>
      </c>
      <c r="B1602" s="2"/>
      <c r="C1602" s="2"/>
      <c r="D1602" s="2"/>
      <c r="E1602" s="2"/>
      <c r="F1602" s="2"/>
      <c r="G1602" s="2"/>
      <c r="H1602" s="3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>
      <c r="A1603" s="7" t="s">
        <v>2</v>
      </c>
      <c r="B1603" s="7" t="s">
        <v>3</v>
      </c>
      <c r="C1603" s="7" t="s">
        <v>4</v>
      </c>
      <c r="D1603" s="7" t="s">
        <v>5</v>
      </c>
      <c r="E1603" s="7" t="s">
        <v>6</v>
      </c>
      <c r="F1603" s="8" t="s">
        <v>7</v>
      </c>
      <c r="G1603" s="7" t="s">
        <v>8</v>
      </c>
      <c r="H1603" s="9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>
      <c r="A1604" s="10">
        <v>1.0</v>
      </c>
      <c r="B1604" s="33" t="s">
        <v>420</v>
      </c>
      <c r="C1604" s="34" t="s">
        <v>421</v>
      </c>
      <c r="D1604" s="13" t="s">
        <v>11</v>
      </c>
      <c r="E1604" s="35">
        <v>1.3</v>
      </c>
      <c r="F1604" s="15">
        <v>293000.0</v>
      </c>
      <c r="G1604" s="16">
        <f t="shared" ref="G1604:G1606" si="107">IFERROR(E1604*F1604,0)</f>
        <v>380900</v>
      </c>
      <c r="H1604" s="17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>
      <c r="A1605" s="10">
        <v>2.0</v>
      </c>
      <c r="B1605" s="36" t="s">
        <v>128</v>
      </c>
      <c r="C1605" s="37" t="s">
        <v>422</v>
      </c>
      <c r="D1605" s="20" t="s">
        <v>13</v>
      </c>
      <c r="E1605" s="38">
        <v>2.0</v>
      </c>
      <c r="F1605" s="22">
        <v>435000.0</v>
      </c>
      <c r="G1605" s="16">
        <f t="shared" si="107"/>
        <v>870000</v>
      </c>
      <c r="H1605" s="17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>
      <c r="A1606" s="10">
        <v>3.0</v>
      </c>
      <c r="B1606" s="23" t="s">
        <v>14</v>
      </c>
      <c r="C1606" s="17"/>
      <c r="D1606" s="17"/>
      <c r="E1606" s="17"/>
      <c r="F1606" s="17"/>
      <c r="G1606" s="24">
        <f t="shared" si="107"/>
        <v>0</v>
      </c>
      <c r="H1606" s="17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>
      <c r="A1607" s="25" t="s">
        <v>15</v>
      </c>
      <c r="B1607" s="2"/>
      <c r="C1607" s="2"/>
      <c r="D1607" s="2"/>
      <c r="E1607" s="2"/>
      <c r="F1607" s="2"/>
      <c r="G1607" s="3"/>
      <c r="H1607" s="26">
        <f>SUM(G1604:G1606)</f>
        <v>1250900</v>
      </c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>
      <c r="A1608" s="25" t="s">
        <v>16</v>
      </c>
      <c r="B1608" s="2"/>
      <c r="C1608" s="2"/>
      <c r="D1608" s="2"/>
      <c r="E1608" s="2"/>
      <c r="F1608" s="2"/>
      <c r="G1608" s="3"/>
      <c r="H1608" s="26">
        <f>MAX(0,H1607-648000)</f>
        <v>602900</v>
      </c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>
      <c r="A1609" s="27" t="s">
        <v>17</v>
      </c>
      <c r="B1609" s="2"/>
      <c r="C1609" s="2"/>
      <c r="D1609" s="2"/>
      <c r="E1609" s="2"/>
      <c r="F1609" s="2"/>
      <c r="G1609" s="3"/>
      <c r="H1609" s="28">
        <v>649000.0</v>
      </c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>
      <c r="A1610" s="1" t="s">
        <v>18</v>
      </c>
      <c r="B1610" s="2"/>
      <c r="C1610" s="2"/>
      <c r="D1610" s="2"/>
      <c r="E1610" s="2"/>
      <c r="F1610" s="2"/>
      <c r="G1610" s="2"/>
      <c r="H1610" s="3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7">
      <c r="A1617" s="1" t="s">
        <v>0</v>
      </c>
      <c r="B1617" s="2"/>
      <c r="C1617" s="2"/>
      <c r="D1617" s="2"/>
      <c r="E1617" s="2"/>
      <c r="F1617" s="2"/>
      <c r="G1617" s="2"/>
      <c r="H1617" s="3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>
      <c r="A1618" s="6" t="s">
        <v>423</v>
      </c>
      <c r="B1618" s="2"/>
      <c r="C1618" s="2"/>
      <c r="D1618" s="2"/>
      <c r="E1618" s="2"/>
      <c r="F1618" s="2"/>
      <c r="G1618" s="2"/>
      <c r="H1618" s="3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>
      <c r="A1619" s="7" t="s">
        <v>2</v>
      </c>
      <c r="B1619" s="7" t="s">
        <v>3</v>
      </c>
      <c r="C1619" s="7" t="s">
        <v>4</v>
      </c>
      <c r="D1619" s="7" t="s">
        <v>5</v>
      </c>
      <c r="E1619" s="7" t="s">
        <v>6</v>
      </c>
      <c r="F1619" s="8" t="s">
        <v>7</v>
      </c>
      <c r="G1619" s="7" t="s">
        <v>8</v>
      </c>
      <c r="H1619" s="9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>
      <c r="A1620" s="10">
        <v>1.0</v>
      </c>
      <c r="B1620" s="33" t="s">
        <v>424</v>
      </c>
      <c r="C1620" s="34" t="s">
        <v>80</v>
      </c>
      <c r="D1620" s="13" t="s">
        <v>11</v>
      </c>
      <c r="E1620" s="35">
        <v>1.92</v>
      </c>
      <c r="F1620" s="15">
        <v>293000.0</v>
      </c>
      <c r="G1620" s="16">
        <f t="shared" ref="G1620:G1622" si="108">IFERROR(E1620*F1620,0)</f>
        <v>562560</v>
      </c>
      <c r="H1620" s="17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>
      <c r="A1621" s="10">
        <v>2.0</v>
      </c>
      <c r="B1621" s="36" t="s">
        <v>41</v>
      </c>
      <c r="C1621" s="37" t="s">
        <v>425</v>
      </c>
      <c r="D1621" s="20" t="s">
        <v>13</v>
      </c>
      <c r="E1621" s="38">
        <v>1.42</v>
      </c>
      <c r="F1621" s="22">
        <v>435000.0</v>
      </c>
      <c r="G1621" s="16">
        <f t="shared" si="108"/>
        <v>617700</v>
      </c>
      <c r="H1621" s="17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>
      <c r="A1622" s="10">
        <v>3.0</v>
      </c>
      <c r="B1622" s="23" t="s">
        <v>14</v>
      </c>
      <c r="C1622" s="17"/>
      <c r="D1622" s="17"/>
      <c r="E1622" s="17"/>
      <c r="F1622" s="17"/>
      <c r="G1622" s="24">
        <f t="shared" si="108"/>
        <v>0</v>
      </c>
      <c r="H1622" s="17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>
      <c r="A1623" s="25" t="s">
        <v>15</v>
      </c>
      <c r="B1623" s="2"/>
      <c r="C1623" s="2"/>
      <c r="D1623" s="2"/>
      <c r="E1623" s="2"/>
      <c r="F1623" s="2"/>
      <c r="G1623" s="3"/>
      <c r="H1623" s="26">
        <f>SUM(G1620:G1622)</f>
        <v>1180260</v>
      </c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>
      <c r="A1624" s="25" t="s">
        <v>16</v>
      </c>
      <c r="B1624" s="2"/>
      <c r="C1624" s="2"/>
      <c r="D1624" s="2"/>
      <c r="E1624" s="2"/>
      <c r="F1624" s="2"/>
      <c r="G1624" s="3"/>
      <c r="H1624" s="26">
        <f>MAX(0,H1623-648000)</f>
        <v>532260</v>
      </c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>
      <c r="A1625" s="27" t="s">
        <v>17</v>
      </c>
      <c r="B1625" s="2"/>
      <c r="C1625" s="2"/>
      <c r="D1625" s="2"/>
      <c r="E1625" s="2"/>
      <c r="F1625" s="2"/>
      <c r="G1625" s="3"/>
      <c r="H1625" s="28">
        <v>649000.0</v>
      </c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>
      <c r="A1626" s="1" t="s">
        <v>18</v>
      </c>
      <c r="B1626" s="2"/>
      <c r="C1626" s="2"/>
      <c r="D1626" s="2"/>
      <c r="E1626" s="2"/>
      <c r="F1626" s="2"/>
      <c r="G1626" s="2"/>
      <c r="H1626" s="3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33">
      <c r="A1633" s="1" t="s">
        <v>0</v>
      </c>
      <c r="B1633" s="2"/>
      <c r="C1633" s="2"/>
      <c r="D1633" s="2"/>
      <c r="E1633" s="2"/>
      <c r="F1633" s="2"/>
      <c r="G1633" s="2"/>
      <c r="H1633" s="3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>
      <c r="A1634" s="6" t="s">
        <v>426</v>
      </c>
      <c r="B1634" s="2"/>
      <c r="C1634" s="2"/>
      <c r="D1634" s="2"/>
      <c r="E1634" s="2"/>
      <c r="F1634" s="2"/>
      <c r="G1634" s="2"/>
      <c r="H1634" s="3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>
      <c r="A1635" s="7" t="s">
        <v>2</v>
      </c>
      <c r="B1635" s="7" t="s">
        <v>3</v>
      </c>
      <c r="C1635" s="7" t="s">
        <v>4</v>
      </c>
      <c r="D1635" s="7" t="s">
        <v>5</v>
      </c>
      <c r="E1635" s="7" t="s">
        <v>6</v>
      </c>
      <c r="F1635" s="8" t="s">
        <v>7</v>
      </c>
      <c r="G1635" s="7" t="s">
        <v>8</v>
      </c>
      <c r="H1635" s="9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>
      <c r="A1636" s="10">
        <v>1.0</v>
      </c>
      <c r="B1636" s="33" t="s">
        <v>427</v>
      </c>
      <c r="C1636" s="34" t="s">
        <v>428</v>
      </c>
      <c r="D1636" s="13" t="s">
        <v>11</v>
      </c>
      <c r="E1636" s="35">
        <v>3.0</v>
      </c>
      <c r="F1636" s="15">
        <v>293000.0</v>
      </c>
      <c r="G1636" s="16">
        <f t="shared" ref="G1636:G1638" si="109">IFERROR(E1636*F1636,0)</f>
        <v>879000</v>
      </c>
      <c r="H1636" s="17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>
      <c r="A1637" s="10">
        <v>2.0</v>
      </c>
      <c r="B1637" s="36" t="s">
        <v>12</v>
      </c>
      <c r="C1637" s="37" t="s">
        <v>429</v>
      </c>
      <c r="D1637" s="20" t="s">
        <v>13</v>
      </c>
      <c r="E1637" s="38">
        <v>0.53</v>
      </c>
      <c r="F1637" s="22">
        <v>435000.0</v>
      </c>
      <c r="G1637" s="16">
        <f t="shared" si="109"/>
        <v>230550</v>
      </c>
      <c r="H1637" s="17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>
      <c r="A1638" s="10">
        <v>3.0</v>
      </c>
      <c r="B1638" s="23" t="s">
        <v>14</v>
      </c>
      <c r="C1638" s="17"/>
      <c r="D1638" s="17"/>
      <c r="E1638" s="17"/>
      <c r="F1638" s="17"/>
      <c r="G1638" s="24">
        <f t="shared" si="109"/>
        <v>0</v>
      </c>
      <c r="H1638" s="17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>
      <c r="A1639" s="25" t="s">
        <v>15</v>
      </c>
      <c r="B1639" s="2"/>
      <c r="C1639" s="2"/>
      <c r="D1639" s="2"/>
      <c r="E1639" s="2"/>
      <c r="F1639" s="2"/>
      <c r="G1639" s="3"/>
      <c r="H1639" s="26">
        <f>SUM(G1636:G1638)</f>
        <v>1109550</v>
      </c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>
      <c r="A1640" s="25" t="s">
        <v>16</v>
      </c>
      <c r="B1640" s="2"/>
      <c r="C1640" s="2"/>
      <c r="D1640" s="2"/>
      <c r="E1640" s="2"/>
      <c r="F1640" s="2"/>
      <c r="G1640" s="3"/>
      <c r="H1640" s="26">
        <f>MAX(0,H1639-648000)</f>
        <v>461550</v>
      </c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>
      <c r="A1641" s="27" t="s">
        <v>17</v>
      </c>
      <c r="B1641" s="2"/>
      <c r="C1641" s="2"/>
      <c r="D1641" s="2"/>
      <c r="E1641" s="2"/>
      <c r="F1641" s="2"/>
      <c r="G1641" s="3"/>
      <c r="H1641" s="28">
        <v>649000.0</v>
      </c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>
      <c r="A1642" s="1" t="s">
        <v>18</v>
      </c>
      <c r="B1642" s="2"/>
      <c r="C1642" s="2"/>
      <c r="D1642" s="2"/>
      <c r="E1642" s="2"/>
      <c r="F1642" s="2"/>
      <c r="G1642" s="2"/>
      <c r="H1642" s="3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7">
      <c r="A1647" s="1" t="s">
        <v>0</v>
      </c>
      <c r="B1647" s="2"/>
      <c r="C1647" s="2"/>
      <c r="D1647" s="2"/>
      <c r="E1647" s="2"/>
      <c r="F1647" s="2"/>
      <c r="G1647" s="2"/>
      <c r="H1647" s="3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>
      <c r="A1648" s="6" t="s">
        <v>430</v>
      </c>
      <c r="B1648" s="2"/>
      <c r="C1648" s="2"/>
      <c r="D1648" s="2"/>
      <c r="E1648" s="2"/>
      <c r="F1648" s="2"/>
      <c r="G1648" s="2"/>
      <c r="H1648" s="3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>
      <c r="A1649" s="7" t="s">
        <v>2</v>
      </c>
      <c r="B1649" s="7" t="s">
        <v>3</v>
      </c>
      <c r="C1649" s="7" t="s">
        <v>4</v>
      </c>
      <c r="D1649" s="7" t="s">
        <v>5</v>
      </c>
      <c r="E1649" s="7" t="s">
        <v>6</v>
      </c>
      <c r="F1649" s="8" t="s">
        <v>7</v>
      </c>
      <c r="G1649" s="7" t="s">
        <v>8</v>
      </c>
      <c r="H1649" s="9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>
      <c r="A1650" s="10">
        <v>1.0</v>
      </c>
      <c r="B1650" s="33" t="s">
        <v>12</v>
      </c>
      <c r="C1650" s="34" t="s">
        <v>80</v>
      </c>
      <c r="D1650" s="13" t="s">
        <v>11</v>
      </c>
      <c r="E1650" s="35">
        <v>2.0</v>
      </c>
      <c r="F1650" s="15">
        <v>293000.0</v>
      </c>
      <c r="G1650" s="16">
        <f t="shared" ref="G1650:G1652" si="110">IFERROR(E1650*F1650,0)</f>
        <v>586000</v>
      </c>
      <c r="H1650" s="17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>
      <c r="A1651" s="10">
        <v>2.0</v>
      </c>
      <c r="B1651" s="36" t="s">
        <v>431</v>
      </c>
      <c r="C1651" s="37" t="s">
        <v>432</v>
      </c>
      <c r="D1651" s="20" t="s">
        <v>13</v>
      </c>
      <c r="E1651" s="38">
        <v>1.5</v>
      </c>
      <c r="F1651" s="22">
        <v>435000.0</v>
      </c>
      <c r="G1651" s="16">
        <f t="shared" si="110"/>
        <v>652500</v>
      </c>
      <c r="H1651" s="17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>
      <c r="A1652" s="10">
        <v>3.0</v>
      </c>
      <c r="B1652" s="23" t="s">
        <v>14</v>
      </c>
      <c r="C1652" s="17"/>
      <c r="D1652" s="17"/>
      <c r="E1652" s="17"/>
      <c r="F1652" s="17"/>
      <c r="G1652" s="24">
        <f t="shared" si="110"/>
        <v>0</v>
      </c>
      <c r="H1652" s="17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>
      <c r="A1653" s="25" t="s">
        <v>15</v>
      </c>
      <c r="B1653" s="2"/>
      <c r="C1653" s="2"/>
      <c r="D1653" s="2"/>
      <c r="E1653" s="2"/>
      <c r="F1653" s="2"/>
      <c r="G1653" s="3"/>
      <c r="H1653" s="26">
        <f>SUM(G1650:G1652)</f>
        <v>1238500</v>
      </c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>
      <c r="A1654" s="25" t="s">
        <v>16</v>
      </c>
      <c r="B1654" s="2"/>
      <c r="C1654" s="2"/>
      <c r="D1654" s="2"/>
      <c r="E1654" s="2"/>
      <c r="F1654" s="2"/>
      <c r="G1654" s="3"/>
      <c r="H1654" s="26">
        <f>MAX(0,H1653-648000)</f>
        <v>590500</v>
      </c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>
      <c r="A1655" s="27" t="s">
        <v>17</v>
      </c>
      <c r="B1655" s="2"/>
      <c r="C1655" s="2"/>
      <c r="D1655" s="2"/>
      <c r="E1655" s="2"/>
      <c r="F1655" s="2"/>
      <c r="G1655" s="3"/>
      <c r="H1655" s="28">
        <v>649000.0</v>
      </c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>
      <c r="A1656" s="1" t="s">
        <v>18</v>
      </c>
      <c r="B1656" s="2"/>
      <c r="C1656" s="2"/>
      <c r="D1656" s="2"/>
      <c r="E1656" s="2"/>
      <c r="F1656" s="2"/>
      <c r="G1656" s="2"/>
      <c r="H1656" s="3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62">
      <c r="A1662" s="1" t="s">
        <v>0</v>
      </c>
      <c r="B1662" s="2"/>
      <c r="C1662" s="2"/>
      <c r="D1662" s="2"/>
      <c r="E1662" s="2"/>
      <c r="F1662" s="2"/>
      <c r="G1662" s="2"/>
      <c r="H1662" s="3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>
      <c r="A1663" s="6" t="s">
        <v>433</v>
      </c>
      <c r="B1663" s="2"/>
      <c r="C1663" s="2"/>
      <c r="D1663" s="2"/>
      <c r="E1663" s="2"/>
      <c r="F1663" s="2"/>
      <c r="G1663" s="2"/>
      <c r="H1663" s="3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>
      <c r="A1664" s="7" t="s">
        <v>2</v>
      </c>
      <c r="B1664" s="7" t="s">
        <v>3</v>
      </c>
      <c r="C1664" s="7" t="s">
        <v>4</v>
      </c>
      <c r="D1664" s="7" t="s">
        <v>5</v>
      </c>
      <c r="E1664" s="7" t="s">
        <v>6</v>
      </c>
      <c r="F1664" s="8" t="s">
        <v>7</v>
      </c>
      <c r="G1664" s="7" t="s">
        <v>8</v>
      </c>
      <c r="H1664" s="9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>
      <c r="A1665" s="10">
        <v>1.0</v>
      </c>
      <c r="B1665" s="33" t="s">
        <v>434</v>
      </c>
      <c r="C1665" s="34" t="s">
        <v>10</v>
      </c>
      <c r="D1665" s="13" t="s">
        <v>11</v>
      </c>
      <c r="E1665" s="35">
        <v>2.0</v>
      </c>
      <c r="F1665" s="15">
        <v>293000.0</v>
      </c>
      <c r="G1665" s="16">
        <f t="shared" ref="G1665:G1667" si="111">IFERROR(E1665*F1665,0)</f>
        <v>586000</v>
      </c>
      <c r="H1665" s="17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>
      <c r="A1666" s="10">
        <v>2.0</v>
      </c>
      <c r="B1666" s="36" t="s">
        <v>137</v>
      </c>
      <c r="C1666" s="37" t="s">
        <v>435</v>
      </c>
      <c r="D1666" s="20" t="s">
        <v>13</v>
      </c>
      <c r="E1666" s="38">
        <v>1.4</v>
      </c>
      <c r="F1666" s="22">
        <v>435000.0</v>
      </c>
      <c r="G1666" s="16">
        <f t="shared" si="111"/>
        <v>609000</v>
      </c>
      <c r="H1666" s="17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>
      <c r="A1667" s="10">
        <v>3.0</v>
      </c>
      <c r="B1667" s="39" t="s">
        <v>70</v>
      </c>
      <c r="C1667" s="17"/>
      <c r="D1667" s="17"/>
      <c r="E1667" s="17"/>
      <c r="F1667" s="17"/>
      <c r="G1667" s="24">
        <f t="shared" si="111"/>
        <v>0</v>
      </c>
      <c r="H1667" s="17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>
      <c r="A1668" s="25" t="s">
        <v>15</v>
      </c>
      <c r="B1668" s="2"/>
      <c r="C1668" s="2"/>
      <c r="D1668" s="2"/>
      <c r="E1668" s="2"/>
      <c r="F1668" s="2"/>
      <c r="G1668" s="3"/>
      <c r="H1668" s="26">
        <f>SUM(G1665:G1667)</f>
        <v>1195000</v>
      </c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>
      <c r="A1669" s="25" t="s">
        <v>16</v>
      </c>
      <c r="B1669" s="2"/>
      <c r="C1669" s="2"/>
      <c r="D1669" s="2"/>
      <c r="E1669" s="2"/>
      <c r="F1669" s="2"/>
      <c r="G1669" s="3"/>
      <c r="H1669" s="26">
        <f>MAX(0,H1668-648000)</f>
        <v>547000</v>
      </c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>
      <c r="A1670" s="27" t="s">
        <v>17</v>
      </c>
      <c r="B1670" s="2"/>
      <c r="C1670" s="2"/>
      <c r="D1670" s="2"/>
      <c r="E1670" s="2"/>
      <c r="F1670" s="2"/>
      <c r="G1670" s="3"/>
      <c r="H1670" s="28">
        <v>649000.0</v>
      </c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>
      <c r="A1671" s="1" t="s">
        <v>18</v>
      </c>
      <c r="B1671" s="2"/>
      <c r="C1671" s="2"/>
      <c r="D1671" s="2"/>
      <c r="E1671" s="2"/>
      <c r="F1671" s="2"/>
      <c r="G1671" s="2"/>
      <c r="H1671" s="3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7">
      <c r="A1677" s="1" t="s">
        <v>0</v>
      </c>
      <c r="B1677" s="2"/>
      <c r="C1677" s="2"/>
      <c r="D1677" s="2"/>
      <c r="E1677" s="2"/>
      <c r="F1677" s="2"/>
      <c r="G1677" s="2"/>
      <c r="H1677" s="3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>
      <c r="A1678" s="6" t="s">
        <v>436</v>
      </c>
      <c r="B1678" s="2"/>
      <c r="C1678" s="2"/>
      <c r="D1678" s="2"/>
      <c r="E1678" s="2"/>
      <c r="F1678" s="2"/>
      <c r="G1678" s="2"/>
      <c r="H1678" s="3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>
      <c r="A1679" s="7" t="s">
        <v>2</v>
      </c>
      <c r="B1679" s="7" t="s">
        <v>3</v>
      </c>
      <c r="C1679" s="7" t="s">
        <v>4</v>
      </c>
      <c r="D1679" s="7" t="s">
        <v>5</v>
      </c>
      <c r="E1679" s="7" t="s">
        <v>6</v>
      </c>
      <c r="F1679" s="8" t="s">
        <v>7</v>
      </c>
      <c r="G1679" s="7" t="s">
        <v>8</v>
      </c>
      <c r="H1679" s="9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>
      <c r="A1680" s="10">
        <v>1.0</v>
      </c>
      <c r="B1680" s="33" t="s">
        <v>437</v>
      </c>
      <c r="C1680" s="34" t="s">
        <v>438</v>
      </c>
      <c r="D1680" s="13" t="s">
        <v>11</v>
      </c>
      <c r="E1680" s="35">
        <v>1.9</v>
      </c>
      <c r="F1680" s="15">
        <v>293000.0</v>
      </c>
      <c r="G1680" s="16">
        <f t="shared" ref="G1680:G1682" si="112">IFERROR(E1680*F1680,0)</f>
        <v>556700</v>
      </c>
      <c r="H1680" s="17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>
      <c r="A1681" s="10">
        <v>2.0</v>
      </c>
      <c r="B1681" s="36" t="s">
        <v>279</v>
      </c>
      <c r="C1681" s="37" t="s">
        <v>439</v>
      </c>
      <c r="D1681" s="20" t="s">
        <v>13</v>
      </c>
      <c r="E1681" s="38">
        <v>1.45</v>
      </c>
      <c r="F1681" s="22">
        <v>435000.0</v>
      </c>
      <c r="G1681" s="16">
        <f t="shared" si="112"/>
        <v>630750</v>
      </c>
      <c r="H1681" s="17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>
      <c r="A1682" s="10">
        <v>3.0</v>
      </c>
      <c r="B1682" s="23" t="s">
        <v>14</v>
      </c>
      <c r="C1682" s="17"/>
      <c r="D1682" s="17"/>
      <c r="E1682" s="17"/>
      <c r="F1682" s="17"/>
      <c r="G1682" s="24">
        <f t="shared" si="112"/>
        <v>0</v>
      </c>
      <c r="H1682" s="17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>
      <c r="A1683" s="25" t="s">
        <v>15</v>
      </c>
      <c r="B1683" s="2"/>
      <c r="C1683" s="2"/>
      <c r="D1683" s="2"/>
      <c r="E1683" s="2"/>
      <c r="F1683" s="2"/>
      <c r="G1683" s="3"/>
      <c r="H1683" s="26">
        <f>SUM(G1680:G1682)</f>
        <v>1187450</v>
      </c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>
      <c r="A1684" s="25" t="s">
        <v>16</v>
      </c>
      <c r="B1684" s="2"/>
      <c r="C1684" s="2"/>
      <c r="D1684" s="2"/>
      <c r="E1684" s="2"/>
      <c r="F1684" s="2"/>
      <c r="G1684" s="3"/>
      <c r="H1684" s="26">
        <f>MAX(0,H1683-648000)</f>
        <v>539450</v>
      </c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>
      <c r="A1685" s="27" t="s">
        <v>17</v>
      </c>
      <c r="B1685" s="2"/>
      <c r="C1685" s="2"/>
      <c r="D1685" s="2"/>
      <c r="E1685" s="2"/>
      <c r="F1685" s="2"/>
      <c r="G1685" s="3"/>
      <c r="H1685" s="28">
        <v>649000.0</v>
      </c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>
      <c r="A1686" s="1" t="s">
        <v>18</v>
      </c>
      <c r="B1686" s="2"/>
      <c r="C1686" s="2"/>
      <c r="D1686" s="2"/>
      <c r="E1686" s="2"/>
      <c r="F1686" s="2"/>
      <c r="G1686" s="2"/>
      <c r="H1686" s="3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92">
      <c r="A1692" s="1" t="s">
        <v>0</v>
      </c>
      <c r="B1692" s="2"/>
      <c r="C1692" s="2"/>
      <c r="D1692" s="2"/>
      <c r="E1692" s="2"/>
      <c r="F1692" s="2"/>
      <c r="G1692" s="2"/>
      <c r="H1692" s="3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>
      <c r="A1693" s="6" t="s">
        <v>440</v>
      </c>
      <c r="B1693" s="2"/>
      <c r="C1693" s="2"/>
      <c r="D1693" s="2"/>
      <c r="E1693" s="2"/>
      <c r="F1693" s="2"/>
      <c r="G1693" s="2"/>
      <c r="H1693" s="3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>
      <c r="A1694" s="7" t="s">
        <v>2</v>
      </c>
      <c r="B1694" s="7" t="s">
        <v>3</v>
      </c>
      <c r="C1694" s="7" t="s">
        <v>4</v>
      </c>
      <c r="D1694" s="7" t="s">
        <v>5</v>
      </c>
      <c r="E1694" s="7" t="s">
        <v>6</v>
      </c>
      <c r="F1694" s="8" t="s">
        <v>7</v>
      </c>
      <c r="G1694" s="7" t="s">
        <v>8</v>
      </c>
      <c r="H1694" s="9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>
      <c r="A1695" s="10">
        <v>1.0</v>
      </c>
      <c r="B1695" s="33" t="s">
        <v>53</v>
      </c>
      <c r="C1695" s="34" t="s">
        <v>441</v>
      </c>
      <c r="D1695" s="13" t="s">
        <v>11</v>
      </c>
      <c r="E1695" s="35">
        <v>2.18</v>
      </c>
      <c r="F1695" s="15">
        <v>293000.0</v>
      </c>
      <c r="G1695" s="16">
        <f t="shared" ref="G1695:G1697" si="113">IFERROR(E1695*F1695,0)</f>
        <v>638740</v>
      </c>
      <c r="H1695" s="17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>
      <c r="A1696" s="10">
        <v>2.0</v>
      </c>
      <c r="B1696" s="36" t="s">
        <v>12</v>
      </c>
      <c r="C1696" s="37" t="s">
        <v>442</v>
      </c>
      <c r="D1696" s="20" t="s">
        <v>13</v>
      </c>
      <c r="E1696" s="38">
        <v>1.46</v>
      </c>
      <c r="F1696" s="22">
        <v>435000.0</v>
      </c>
      <c r="G1696" s="16">
        <f t="shared" si="113"/>
        <v>635100</v>
      </c>
      <c r="H1696" s="17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>
      <c r="A1697" s="10">
        <v>3.0</v>
      </c>
      <c r="B1697" s="23" t="s">
        <v>14</v>
      </c>
      <c r="C1697" s="17"/>
      <c r="D1697" s="17"/>
      <c r="E1697" s="17"/>
      <c r="F1697" s="17"/>
      <c r="G1697" s="24">
        <f t="shared" si="113"/>
        <v>0</v>
      </c>
      <c r="H1697" s="17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>
      <c r="A1698" s="25" t="s">
        <v>15</v>
      </c>
      <c r="B1698" s="2"/>
      <c r="C1698" s="2"/>
      <c r="D1698" s="2"/>
      <c r="E1698" s="2"/>
      <c r="F1698" s="2"/>
      <c r="G1698" s="3"/>
      <c r="H1698" s="26">
        <f>SUM(G1695:G1697)</f>
        <v>1273840</v>
      </c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>
      <c r="A1699" s="25" t="s">
        <v>16</v>
      </c>
      <c r="B1699" s="2"/>
      <c r="C1699" s="2"/>
      <c r="D1699" s="2"/>
      <c r="E1699" s="2"/>
      <c r="F1699" s="2"/>
      <c r="G1699" s="3"/>
      <c r="H1699" s="26">
        <f>MAX(0,H1698-648000)</f>
        <v>625840</v>
      </c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>
      <c r="A1700" s="27" t="s">
        <v>17</v>
      </c>
      <c r="B1700" s="2"/>
      <c r="C1700" s="2"/>
      <c r="D1700" s="2"/>
      <c r="E1700" s="2"/>
      <c r="F1700" s="2"/>
      <c r="G1700" s="3"/>
      <c r="H1700" s="28">
        <v>649000.0</v>
      </c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>
      <c r="A1701" s="1" t="s">
        <v>18</v>
      </c>
      <c r="B1701" s="2"/>
      <c r="C1701" s="2"/>
      <c r="D1701" s="2"/>
      <c r="E1701" s="2"/>
      <c r="F1701" s="2"/>
      <c r="G1701" s="2"/>
      <c r="H1701" s="3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7">
      <c r="A1707" s="1" t="s">
        <v>0</v>
      </c>
      <c r="B1707" s="2"/>
      <c r="C1707" s="2"/>
      <c r="D1707" s="2"/>
      <c r="E1707" s="2"/>
      <c r="F1707" s="2"/>
      <c r="G1707" s="2"/>
      <c r="H1707" s="3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>
      <c r="A1708" s="6" t="s">
        <v>443</v>
      </c>
      <c r="B1708" s="2"/>
      <c r="C1708" s="2"/>
      <c r="D1708" s="2"/>
      <c r="E1708" s="2"/>
      <c r="F1708" s="2"/>
      <c r="G1708" s="2"/>
      <c r="H1708" s="3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>
      <c r="A1709" s="7" t="s">
        <v>2</v>
      </c>
      <c r="B1709" s="7" t="s">
        <v>3</v>
      </c>
      <c r="C1709" s="7" t="s">
        <v>4</v>
      </c>
      <c r="D1709" s="7" t="s">
        <v>5</v>
      </c>
      <c r="E1709" s="7" t="s">
        <v>6</v>
      </c>
      <c r="F1709" s="8" t="s">
        <v>7</v>
      </c>
      <c r="G1709" s="7" t="s">
        <v>8</v>
      </c>
      <c r="H1709" s="9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>
      <c r="A1710" s="10">
        <v>1.0</v>
      </c>
      <c r="B1710" s="33" t="s">
        <v>94</v>
      </c>
      <c r="C1710" s="34" t="s">
        <v>444</v>
      </c>
      <c r="D1710" s="13" t="s">
        <v>11</v>
      </c>
      <c r="E1710" s="35">
        <v>2.0</v>
      </c>
      <c r="F1710" s="15">
        <v>293000.0</v>
      </c>
      <c r="G1710" s="16">
        <f t="shared" ref="G1710:G1712" si="114">IFERROR(E1710*F1710,0)</f>
        <v>586000</v>
      </c>
      <c r="H1710" s="17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>
      <c r="A1711" s="10">
        <v>2.0</v>
      </c>
      <c r="B1711" s="36" t="s">
        <v>65</v>
      </c>
      <c r="C1711" s="37" t="s">
        <v>445</v>
      </c>
      <c r="D1711" s="20" t="s">
        <v>13</v>
      </c>
      <c r="E1711" s="38">
        <v>1.5</v>
      </c>
      <c r="F1711" s="22">
        <v>435000.0</v>
      </c>
      <c r="G1711" s="16">
        <f t="shared" si="114"/>
        <v>652500</v>
      </c>
      <c r="H1711" s="17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>
      <c r="A1712" s="10">
        <v>3.0</v>
      </c>
      <c r="B1712" s="23" t="s">
        <v>14</v>
      </c>
      <c r="C1712" s="17"/>
      <c r="D1712" s="17"/>
      <c r="E1712" s="17"/>
      <c r="F1712" s="17"/>
      <c r="G1712" s="24">
        <f t="shared" si="114"/>
        <v>0</v>
      </c>
      <c r="H1712" s="17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>
      <c r="A1713" s="25" t="s">
        <v>15</v>
      </c>
      <c r="B1713" s="2"/>
      <c r="C1713" s="2"/>
      <c r="D1713" s="2"/>
      <c r="E1713" s="2"/>
      <c r="F1713" s="2"/>
      <c r="G1713" s="3"/>
      <c r="H1713" s="26">
        <f>SUM(G1710:G1712)</f>
        <v>1238500</v>
      </c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>
      <c r="A1714" s="25" t="s">
        <v>16</v>
      </c>
      <c r="B1714" s="2"/>
      <c r="C1714" s="2"/>
      <c r="D1714" s="2"/>
      <c r="E1714" s="2"/>
      <c r="F1714" s="2"/>
      <c r="G1714" s="3"/>
      <c r="H1714" s="26">
        <f>MAX(0,H1713-648000)</f>
        <v>590500</v>
      </c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>
      <c r="A1715" s="27" t="s">
        <v>17</v>
      </c>
      <c r="B1715" s="2"/>
      <c r="C1715" s="2"/>
      <c r="D1715" s="2"/>
      <c r="E1715" s="2"/>
      <c r="F1715" s="2"/>
      <c r="G1715" s="3"/>
      <c r="H1715" s="28">
        <v>649000.0</v>
      </c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>
      <c r="A1716" s="1" t="s">
        <v>18</v>
      </c>
      <c r="B1716" s="2"/>
      <c r="C1716" s="2"/>
      <c r="D1716" s="2"/>
      <c r="E1716" s="2"/>
      <c r="F1716" s="2"/>
      <c r="G1716" s="2"/>
      <c r="H1716" s="3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22">
      <c r="A1722" s="1" t="s">
        <v>0</v>
      </c>
      <c r="B1722" s="2"/>
      <c r="C1722" s="2"/>
      <c r="D1722" s="2"/>
      <c r="E1722" s="2"/>
      <c r="F1722" s="2"/>
      <c r="G1722" s="2"/>
      <c r="H1722" s="3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>
      <c r="A1723" s="6" t="s">
        <v>446</v>
      </c>
      <c r="B1723" s="2"/>
      <c r="C1723" s="2"/>
      <c r="D1723" s="2"/>
      <c r="E1723" s="2"/>
      <c r="F1723" s="2"/>
      <c r="G1723" s="2"/>
      <c r="H1723" s="3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>
      <c r="A1724" s="7" t="s">
        <v>2</v>
      </c>
      <c r="B1724" s="7" t="s">
        <v>3</v>
      </c>
      <c r="C1724" s="7" t="s">
        <v>4</v>
      </c>
      <c r="D1724" s="7" t="s">
        <v>5</v>
      </c>
      <c r="E1724" s="7" t="s">
        <v>6</v>
      </c>
      <c r="F1724" s="8" t="s">
        <v>7</v>
      </c>
      <c r="G1724" s="7" t="s">
        <v>8</v>
      </c>
      <c r="H1724" s="9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>
      <c r="A1725" s="10">
        <v>1.0</v>
      </c>
      <c r="B1725" s="33" t="s">
        <v>447</v>
      </c>
      <c r="C1725" s="34" t="s">
        <v>448</v>
      </c>
      <c r="D1725" s="13" t="s">
        <v>11</v>
      </c>
      <c r="E1725" s="35">
        <v>2.0</v>
      </c>
      <c r="F1725" s="15">
        <v>293000.0</v>
      </c>
      <c r="G1725" s="16">
        <f t="shared" ref="G1725:G1727" si="115">IFERROR(E1725*F1725,0)</f>
        <v>586000</v>
      </c>
      <c r="H1725" s="17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>
      <c r="A1726" s="10">
        <v>2.0</v>
      </c>
      <c r="B1726" s="36" t="s">
        <v>449</v>
      </c>
      <c r="C1726" s="37" t="s">
        <v>450</v>
      </c>
      <c r="D1726" s="20" t="s">
        <v>13</v>
      </c>
      <c r="E1726" s="38">
        <v>1.5</v>
      </c>
      <c r="F1726" s="22">
        <v>435000.0</v>
      </c>
      <c r="G1726" s="16">
        <f t="shared" si="115"/>
        <v>652500</v>
      </c>
      <c r="H1726" s="17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>
      <c r="A1727" s="10">
        <v>3.0</v>
      </c>
      <c r="B1727" s="23" t="s">
        <v>14</v>
      </c>
      <c r="C1727" s="17"/>
      <c r="D1727" s="17"/>
      <c r="E1727" s="17"/>
      <c r="F1727" s="17"/>
      <c r="G1727" s="24">
        <f t="shared" si="115"/>
        <v>0</v>
      </c>
      <c r="H1727" s="17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>
      <c r="A1728" s="25" t="s">
        <v>15</v>
      </c>
      <c r="B1728" s="2"/>
      <c r="C1728" s="2"/>
      <c r="D1728" s="2"/>
      <c r="E1728" s="2"/>
      <c r="F1728" s="2"/>
      <c r="G1728" s="3"/>
      <c r="H1728" s="26">
        <f>SUM(G1725:G1727)</f>
        <v>1238500</v>
      </c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>
      <c r="A1729" s="25" t="s">
        <v>16</v>
      </c>
      <c r="B1729" s="2"/>
      <c r="C1729" s="2"/>
      <c r="D1729" s="2"/>
      <c r="E1729" s="2"/>
      <c r="F1729" s="2"/>
      <c r="G1729" s="3"/>
      <c r="H1729" s="26">
        <f>MAX(0,H1728-648000)</f>
        <v>590500</v>
      </c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>
      <c r="A1730" s="27" t="s">
        <v>17</v>
      </c>
      <c r="B1730" s="2"/>
      <c r="C1730" s="2"/>
      <c r="D1730" s="2"/>
      <c r="E1730" s="2"/>
      <c r="F1730" s="2"/>
      <c r="G1730" s="3"/>
      <c r="H1730" s="28">
        <v>649000.0</v>
      </c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>
      <c r="A1731" s="1" t="s">
        <v>18</v>
      </c>
      <c r="B1731" s="2"/>
      <c r="C1731" s="2"/>
      <c r="D1731" s="2"/>
      <c r="E1731" s="2"/>
      <c r="F1731" s="2"/>
      <c r="G1731" s="2"/>
      <c r="H1731" s="3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8">
      <c r="A1738" s="1" t="s">
        <v>0</v>
      </c>
      <c r="B1738" s="2"/>
      <c r="C1738" s="2"/>
      <c r="D1738" s="2"/>
      <c r="E1738" s="2"/>
      <c r="F1738" s="2"/>
      <c r="G1738" s="2"/>
      <c r="H1738" s="3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>
      <c r="A1739" s="6" t="s">
        <v>451</v>
      </c>
      <c r="B1739" s="2"/>
      <c r="C1739" s="2"/>
      <c r="D1739" s="2"/>
      <c r="E1739" s="2"/>
      <c r="F1739" s="2"/>
      <c r="G1739" s="2"/>
      <c r="H1739" s="3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>
      <c r="A1740" s="7" t="s">
        <v>2</v>
      </c>
      <c r="B1740" s="7" t="s">
        <v>3</v>
      </c>
      <c r="C1740" s="7" t="s">
        <v>4</v>
      </c>
      <c r="D1740" s="7" t="s">
        <v>5</v>
      </c>
      <c r="E1740" s="7" t="s">
        <v>6</v>
      </c>
      <c r="F1740" s="8" t="s">
        <v>7</v>
      </c>
      <c r="G1740" s="7" t="s">
        <v>8</v>
      </c>
      <c r="H1740" s="9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>
      <c r="A1741" s="10">
        <v>1.0</v>
      </c>
      <c r="B1741" s="33" t="s">
        <v>247</v>
      </c>
      <c r="C1741" s="34" t="s">
        <v>452</v>
      </c>
      <c r="D1741" s="13" t="s">
        <v>11</v>
      </c>
      <c r="E1741" s="35">
        <v>2.45</v>
      </c>
      <c r="F1741" s="15">
        <v>293000.0</v>
      </c>
      <c r="G1741" s="16">
        <f t="shared" ref="G1741:G1743" si="116">IFERROR(E1741*F1741,0)</f>
        <v>717850</v>
      </c>
      <c r="H1741" s="17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>
      <c r="A1742" s="10">
        <v>2.0</v>
      </c>
      <c r="B1742" s="36" t="s">
        <v>453</v>
      </c>
      <c r="C1742" s="37" t="s">
        <v>454</v>
      </c>
      <c r="D1742" s="20" t="s">
        <v>13</v>
      </c>
      <c r="E1742" s="38">
        <v>1.1</v>
      </c>
      <c r="F1742" s="22">
        <v>435000.0</v>
      </c>
      <c r="G1742" s="16">
        <f t="shared" si="116"/>
        <v>478500</v>
      </c>
      <c r="H1742" s="17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>
      <c r="A1743" s="10">
        <v>3.0</v>
      </c>
      <c r="B1743" s="23" t="s">
        <v>14</v>
      </c>
      <c r="C1743" s="17"/>
      <c r="D1743" s="17"/>
      <c r="E1743" s="17"/>
      <c r="F1743" s="17"/>
      <c r="G1743" s="24">
        <f t="shared" si="116"/>
        <v>0</v>
      </c>
      <c r="H1743" s="17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>
      <c r="A1744" s="25" t="s">
        <v>15</v>
      </c>
      <c r="B1744" s="2"/>
      <c r="C1744" s="2"/>
      <c r="D1744" s="2"/>
      <c r="E1744" s="2"/>
      <c r="F1744" s="2"/>
      <c r="G1744" s="3"/>
      <c r="H1744" s="26">
        <f>SUM(G1741:G1743)</f>
        <v>1196350</v>
      </c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>
      <c r="A1745" s="25" t="s">
        <v>16</v>
      </c>
      <c r="B1745" s="2"/>
      <c r="C1745" s="2"/>
      <c r="D1745" s="2"/>
      <c r="E1745" s="2"/>
      <c r="F1745" s="2"/>
      <c r="G1745" s="3"/>
      <c r="H1745" s="26">
        <f>MAX(0,H1744-648000)</f>
        <v>548350</v>
      </c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>
      <c r="A1746" s="27" t="s">
        <v>17</v>
      </c>
      <c r="B1746" s="2"/>
      <c r="C1746" s="2"/>
      <c r="D1746" s="2"/>
      <c r="E1746" s="2"/>
      <c r="F1746" s="2"/>
      <c r="G1746" s="3"/>
      <c r="H1746" s="28">
        <v>649000.0</v>
      </c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>
      <c r="A1747" s="1" t="s">
        <v>18</v>
      </c>
      <c r="B1747" s="2"/>
      <c r="C1747" s="2"/>
      <c r="D1747" s="2"/>
      <c r="E1747" s="2"/>
      <c r="F1747" s="2"/>
      <c r="G1747" s="2"/>
      <c r="H1747" s="3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53">
      <c r="A1753" s="1" t="s">
        <v>0</v>
      </c>
      <c r="B1753" s="2"/>
      <c r="C1753" s="2"/>
      <c r="D1753" s="2"/>
      <c r="E1753" s="2"/>
      <c r="F1753" s="2"/>
      <c r="G1753" s="2"/>
      <c r="H1753" s="3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>
      <c r="A1754" s="6" t="s">
        <v>455</v>
      </c>
      <c r="B1754" s="2"/>
      <c r="C1754" s="2"/>
      <c r="D1754" s="2"/>
      <c r="E1754" s="2"/>
      <c r="F1754" s="2"/>
      <c r="G1754" s="2"/>
      <c r="H1754" s="3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>
      <c r="A1755" s="7" t="s">
        <v>2</v>
      </c>
      <c r="B1755" s="7" t="s">
        <v>3</v>
      </c>
      <c r="C1755" s="7" t="s">
        <v>4</v>
      </c>
      <c r="D1755" s="7" t="s">
        <v>5</v>
      </c>
      <c r="E1755" s="7" t="s">
        <v>6</v>
      </c>
      <c r="F1755" s="8" t="s">
        <v>7</v>
      </c>
      <c r="G1755" s="7" t="s">
        <v>8</v>
      </c>
      <c r="H1755" s="9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>
      <c r="A1756" s="10">
        <v>1.0</v>
      </c>
      <c r="B1756" s="33" t="s">
        <v>27</v>
      </c>
      <c r="C1756" s="34" t="s">
        <v>456</v>
      </c>
      <c r="D1756" s="13" t="s">
        <v>11</v>
      </c>
      <c r="E1756" s="35">
        <v>3.0</v>
      </c>
      <c r="F1756" s="15">
        <v>293000.0</v>
      </c>
      <c r="G1756" s="16">
        <f t="shared" ref="G1756:G1758" si="117">IFERROR(E1756*F1756,0)</f>
        <v>879000</v>
      </c>
      <c r="H1756" s="17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>
      <c r="A1757" s="10">
        <v>2.0</v>
      </c>
      <c r="B1757" s="36" t="s">
        <v>60</v>
      </c>
      <c r="C1757" s="37" t="s">
        <v>457</v>
      </c>
      <c r="D1757" s="20" t="s">
        <v>13</v>
      </c>
      <c r="E1757" s="38">
        <v>0.63</v>
      </c>
      <c r="F1757" s="22">
        <v>435000.0</v>
      </c>
      <c r="G1757" s="16">
        <f t="shared" si="117"/>
        <v>274050</v>
      </c>
      <c r="H1757" s="17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>
      <c r="A1758" s="10">
        <v>3.0</v>
      </c>
      <c r="B1758" s="23" t="s">
        <v>14</v>
      </c>
      <c r="C1758" s="17"/>
      <c r="D1758" s="17"/>
      <c r="E1758" s="17"/>
      <c r="F1758" s="17"/>
      <c r="G1758" s="24">
        <f t="shared" si="117"/>
        <v>0</v>
      </c>
      <c r="H1758" s="17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>
      <c r="A1759" s="25" t="s">
        <v>15</v>
      </c>
      <c r="B1759" s="2"/>
      <c r="C1759" s="2"/>
      <c r="D1759" s="2"/>
      <c r="E1759" s="2"/>
      <c r="F1759" s="2"/>
      <c r="G1759" s="3"/>
      <c r="H1759" s="26">
        <f>SUM(G1756:G1758)</f>
        <v>1153050</v>
      </c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>
      <c r="A1760" s="25" t="s">
        <v>16</v>
      </c>
      <c r="B1760" s="2"/>
      <c r="C1760" s="2"/>
      <c r="D1760" s="2"/>
      <c r="E1760" s="2"/>
      <c r="F1760" s="2"/>
      <c r="G1760" s="3"/>
      <c r="H1760" s="26">
        <f>MAX(0,H1759-648000)</f>
        <v>505050</v>
      </c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>
      <c r="A1761" s="27" t="s">
        <v>17</v>
      </c>
      <c r="B1761" s="2"/>
      <c r="C1761" s="2"/>
      <c r="D1761" s="2"/>
      <c r="E1761" s="2"/>
      <c r="F1761" s="2"/>
      <c r="G1761" s="3"/>
      <c r="H1761" s="28">
        <v>649000.0</v>
      </c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>
      <c r="A1762" s="1" t="s">
        <v>18</v>
      </c>
      <c r="B1762" s="2"/>
      <c r="C1762" s="2"/>
      <c r="D1762" s="2"/>
      <c r="E1762" s="2"/>
      <c r="F1762" s="2"/>
      <c r="G1762" s="2"/>
      <c r="H1762" s="3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9">
      <c r="A1769" s="1" t="s">
        <v>0</v>
      </c>
      <c r="B1769" s="2"/>
      <c r="C1769" s="2"/>
      <c r="D1769" s="2"/>
      <c r="E1769" s="2"/>
      <c r="F1769" s="2"/>
      <c r="G1769" s="2"/>
      <c r="H1769" s="3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>
      <c r="A1770" s="6" t="s">
        <v>458</v>
      </c>
      <c r="B1770" s="2"/>
      <c r="C1770" s="2"/>
      <c r="D1770" s="2"/>
      <c r="E1770" s="2"/>
      <c r="F1770" s="2"/>
      <c r="G1770" s="2"/>
      <c r="H1770" s="3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>
      <c r="A1771" s="7" t="s">
        <v>2</v>
      </c>
      <c r="B1771" s="7" t="s">
        <v>3</v>
      </c>
      <c r="C1771" s="7" t="s">
        <v>4</v>
      </c>
      <c r="D1771" s="7" t="s">
        <v>5</v>
      </c>
      <c r="E1771" s="7" t="s">
        <v>6</v>
      </c>
      <c r="F1771" s="8" t="s">
        <v>7</v>
      </c>
      <c r="G1771" s="7" t="s">
        <v>8</v>
      </c>
      <c r="H1771" s="9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>
      <c r="A1772" s="10">
        <v>1.0</v>
      </c>
      <c r="B1772" s="33" t="s">
        <v>74</v>
      </c>
      <c r="C1772" s="34" t="s">
        <v>459</v>
      </c>
      <c r="D1772" s="13" t="s">
        <v>11</v>
      </c>
      <c r="E1772" s="35">
        <v>3.0</v>
      </c>
      <c r="F1772" s="15">
        <v>293000.0</v>
      </c>
      <c r="G1772" s="16">
        <f t="shared" ref="G1772:G1774" si="118">IFERROR(E1772*F1772,0)</f>
        <v>879000</v>
      </c>
      <c r="H1772" s="17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>
      <c r="A1773" s="10">
        <v>2.0</v>
      </c>
      <c r="B1773" s="36" t="s">
        <v>12</v>
      </c>
      <c r="C1773" s="37" t="s">
        <v>460</v>
      </c>
      <c r="D1773" s="20" t="s">
        <v>13</v>
      </c>
      <c r="E1773" s="38">
        <v>0.6</v>
      </c>
      <c r="F1773" s="22">
        <v>435000.0</v>
      </c>
      <c r="G1773" s="16">
        <f t="shared" si="118"/>
        <v>261000</v>
      </c>
      <c r="H1773" s="17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>
      <c r="A1774" s="10">
        <v>3.0</v>
      </c>
      <c r="B1774" s="23" t="s">
        <v>14</v>
      </c>
      <c r="C1774" s="17"/>
      <c r="D1774" s="17"/>
      <c r="E1774" s="17"/>
      <c r="F1774" s="17"/>
      <c r="G1774" s="24">
        <f t="shared" si="118"/>
        <v>0</v>
      </c>
      <c r="H1774" s="17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>
      <c r="A1775" s="25" t="s">
        <v>15</v>
      </c>
      <c r="B1775" s="2"/>
      <c r="C1775" s="2"/>
      <c r="D1775" s="2"/>
      <c r="E1775" s="2"/>
      <c r="F1775" s="2"/>
      <c r="G1775" s="3"/>
      <c r="H1775" s="26">
        <f>SUM(G1772:G1774)</f>
        <v>1140000</v>
      </c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>
      <c r="A1776" s="25" t="s">
        <v>16</v>
      </c>
      <c r="B1776" s="2"/>
      <c r="C1776" s="2"/>
      <c r="D1776" s="2"/>
      <c r="E1776" s="2"/>
      <c r="F1776" s="2"/>
      <c r="G1776" s="3"/>
      <c r="H1776" s="26">
        <f>MAX(0,H1775-648000)</f>
        <v>492000</v>
      </c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>
      <c r="A1777" s="27" t="s">
        <v>17</v>
      </c>
      <c r="B1777" s="2"/>
      <c r="C1777" s="2"/>
      <c r="D1777" s="2"/>
      <c r="E1777" s="2"/>
      <c r="F1777" s="2"/>
      <c r="G1777" s="3"/>
      <c r="H1777" s="28">
        <v>649000.0</v>
      </c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>
      <c r="A1778" s="1" t="s">
        <v>18</v>
      </c>
      <c r="B1778" s="2"/>
      <c r="C1778" s="2"/>
      <c r="D1778" s="2"/>
      <c r="E1778" s="2"/>
      <c r="F1778" s="2"/>
      <c r="G1778" s="2"/>
      <c r="H1778" s="3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84">
      <c r="A1784" s="1" t="s">
        <v>0</v>
      </c>
      <c r="B1784" s="2"/>
      <c r="C1784" s="2"/>
      <c r="D1784" s="2"/>
      <c r="E1784" s="2"/>
      <c r="F1784" s="2"/>
      <c r="G1784" s="2"/>
      <c r="H1784" s="3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>
      <c r="A1785" s="6" t="s">
        <v>461</v>
      </c>
      <c r="B1785" s="2"/>
      <c r="C1785" s="2"/>
      <c r="D1785" s="2"/>
      <c r="E1785" s="2"/>
      <c r="F1785" s="2"/>
      <c r="G1785" s="2"/>
      <c r="H1785" s="3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>
      <c r="A1786" s="7" t="s">
        <v>2</v>
      </c>
      <c r="B1786" s="7" t="s">
        <v>3</v>
      </c>
      <c r="C1786" s="7" t="s">
        <v>4</v>
      </c>
      <c r="D1786" s="7" t="s">
        <v>5</v>
      </c>
      <c r="E1786" s="7" t="s">
        <v>6</v>
      </c>
      <c r="F1786" s="8" t="s">
        <v>7</v>
      </c>
      <c r="G1786" s="7" t="s">
        <v>8</v>
      </c>
      <c r="H1786" s="9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>
      <c r="A1787" s="10">
        <v>1.0</v>
      </c>
      <c r="B1787" s="33" t="s">
        <v>462</v>
      </c>
      <c r="C1787" s="34" t="s">
        <v>250</v>
      </c>
      <c r="D1787" s="13" t="s">
        <v>11</v>
      </c>
      <c r="E1787" s="35">
        <v>2.38</v>
      </c>
      <c r="F1787" s="15">
        <v>293000.0</v>
      </c>
      <c r="G1787" s="16">
        <f t="shared" ref="G1787:G1789" si="119">IFERROR(E1787*F1787,0)</f>
        <v>697340</v>
      </c>
      <c r="H1787" s="17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>
      <c r="A1788" s="10">
        <v>2.0</v>
      </c>
      <c r="B1788" s="36" t="s">
        <v>247</v>
      </c>
      <c r="C1788" s="37" t="s">
        <v>463</v>
      </c>
      <c r="D1788" s="20" t="s">
        <v>13</v>
      </c>
      <c r="E1788" s="38">
        <v>1.3</v>
      </c>
      <c r="F1788" s="22">
        <v>435000.0</v>
      </c>
      <c r="G1788" s="16">
        <f t="shared" si="119"/>
        <v>565500</v>
      </c>
      <c r="H1788" s="17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>
      <c r="A1789" s="10">
        <v>3.0</v>
      </c>
      <c r="B1789" s="23" t="s">
        <v>14</v>
      </c>
      <c r="C1789" s="17"/>
      <c r="D1789" s="17"/>
      <c r="E1789" s="17"/>
      <c r="F1789" s="17"/>
      <c r="G1789" s="24">
        <f t="shared" si="119"/>
        <v>0</v>
      </c>
      <c r="H1789" s="17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>
      <c r="A1790" s="25" t="s">
        <v>15</v>
      </c>
      <c r="B1790" s="2"/>
      <c r="C1790" s="2"/>
      <c r="D1790" s="2"/>
      <c r="E1790" s="2"/>
      <c r="F1790" s="2"/>
      <c r="G1790" s="3"/>
      <c r="H1790" s="26">
        <f>SUM(G1787:G1789)</f>
        <v>1262840</v>
      </c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>
      <c r="A1791" s="25" t="s">
        <v>16</v>
      </c>
      <c r="B1791" s="2"/>
      <c r="C1791" s="2"/>
      <c r="D1791" s="2"/>
      <c r="E1791" s="2"/>
      <c r="F1791" s="2"/>
      <c r="G1791" s="3"/>
      <c r="H1791" s="26">
        <f>MAX(0,H1790-648000)</f>
        <v>614840</v>
      </c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>
      <c r="A1792" s="27" t="s">
        <v>17</v>
      </c>
      <c r="B1792" s="2"/>
      <c r="C1792" s="2"/>
      <c r="D1792" s="2"/>
      <c r="E1792" s="2"/>
      <c r="F1792" s="2"/>
      <c r="G1792" s="3"/>
      <c r="H1792" s="28">
        <v>649000.0</v>
      </c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>
      <c r="A1793" s="1" t="s">
        <v>18</v>
      </c>
      <c r="B1793" s="2"/>
      <c r="C1793" s="2"/>
      <c r="D1793" s="2"/>
      <c r="E1793" s="2"/>
      <c r="F1793" s="2"/>
      <c r="G1793" s="2"/>
      <c r="H1793" s="3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9">
      <c r="A1799" s="1" t="s">
        <v>0</v>
      </c>
      <c r="B1799" s="2"/>
      <c r="C1799" s="2"/>
      <c r="D1799" s="2"/>
      <c r="E1799" s="2"/>
      <c r="F1799" s="2"/>
      <c r="G1799" s="2"/>
      <c r="H1799" s="3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>
      <c r="A1800" s="6" t="s">
        <v>464</v>
      </c>
      <c r="B1800" s="2"/>
      <c r="C1800" s="2"/>
      <c r="D1800" s="2"/>
      <c r="E1800" s="2"/>
      <c r="F1800" s="2"/>
      <c r="G1800" s="2"/>
      <c r="H1800" s="3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>
      <c r="A1801" s="7" t="s">
        <v>2</v>
      </c>
      <c r="B1801" s="7" t="s">
        <v>3</v>
      </c>
      <c r="C1801" s="7" t="s">
        <v>4</v>
      </c>
      <c r="D1801" s="7" t="s">
        <v>5</v>
      </c>
      <c r="E1801" s="7" t="s">
        <v>6</v>
      </c>
      <c r="F1801" s="8" t="s">
        <v>7</v>
      </c>
      <c r="G1801" s="7" t="s">
        <v>8</v>
      </c>
      <c r="H1801" s="9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>
      <c r="A1802" s="10">
        <v>1.0</v>
      </c>
      <c r="B1802" s="33" t="s">
        <v>88</v>
      </c>
      <c r="C1802" s="34" t="s">
        <v>465</v>
      </c>
      <c r="D1802" s="13" t="s">
        <v>11</v>
      </c>
      <c r="E1802" s="35">
        <v>1.8</v>
      </c>
      <c r="F1802" s="15">
        <v>293000.0</v>
      </c>
      <c r="G1802" s="16">
        <f t="shared" ref="G1802:G1804" si="120">IFERROR(E1802*F1802,0)</f>
        <v>527400</v>
      </c>
      <c r="H1802" s="17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>
      <c r="A1803" s="10">
        <v>2.0</v>
      </c>
      <c r="B1803" s="36" t="s">
        <v>60</v>
      </c>
      <c r="C1803" s="37" t="s">
        <v>466</v>
      </c>
      <c r="D1803" s="20" t="s">
        <v>13</v>
      </c>
      <c r="E1803" s="38">
        <v>1.6</v>
      </c>
      <c r="F1803" s="22">
        <v>435000.0</v>
      </c>
      <c r="G1803" s="16">
        <f t="shared" si="120"/>
        <v>696000</v>
      </c>
      <c r="H1803" s="17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>
      <c r="A1804" s="10">
        <v>3.0</v>
      </c>
      <c r="B1804" s="23" t="s">
        <v>14</v>
      </c>
      <c r="C1804" s="17"/>
      <c r="D1804" s="17"/>
      <c r="E1804" s="17"/>
      <c r="F1804" s="17"/>
      <c r="G1804" s="24">
        <f t="shared" si="120"/>
        <v>0</v>
      </c>
      <c r="H1804" s="17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>
      <c r="A1805" s="25" t="s">
        <v>15</v>
      </c>
      <c r="B1805" s="2"/>
      <c r="C1805" s="2"/>
      <c r="D1805" s="2"/>
      <c r="E1805" s="2"/>
      <c r="F1805" s="2"/>
      <c r="G1805" s="3"/>
      <c r="H1805" s="26">
        <f>SUM(G1802:G1804)</f>
        <v>1223400</v>
      </c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>
      <c r="A1806" s="25" t="s">
        <v>16</v>
      </c>
      <c r="B1806" s="2"/>
      <c r="C1806" s="2"/>
      <c r="D1806" s="2"/>
      <c r="E1806" s="2"/>
      <c r="F1806" s="2"/>
      <c r="G1806" s="3"/>
      <c r="H1806" s="26">
        <f>MAX(0,H1805-648000)</f>
        <v>575400</v>
      </c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>
      <c r="A1807" s="27" t="s">
        <v>17</v>
      </c>
      <c r="B1807" s="2"/>
      <c r="C1807" s="2"/>
      <c r="D1807" s="2"/>
      <c r="E1807" s="2"/>
      <c r="F1807" s="2"/>
      <c r="G1807" s="3"/>
      <c r="H1807" s="28">
        <v>649000.0</v>
      </c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>
      <c r="A1808" s="1" t="s">
        <v>18</v>
      </c>
      <c r="B1808" s="2"/>
      <c r="C1808" s="2"/>
      <c r="D1808" s="2"/>
      <c r="E1808" s="2"/>
      <c r="F1808" s="2"/>
      <c r="G1808" s="2"/>
      <c r="H1808" s="3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18">
      <c r="A1818" s="1" t="s">
        <v>0</v>
      </c>
      <c r="B1818" s="2"/>
      <c r="C1818" s="2"/>
      <c r="D1818" s="2"/>
      <c r="E1818" s="2"/>
      <c r="F1818" s="2"/>
      <c r="G1818" s="2"/>
      <c r="H1818" s="3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>
      <c r="A1819" s="6" t="s">
        <v>467</v>
      </c>
      <c r="B1819" s="2"/>
      <c r="C1819" s="2"/>
      <c r="D1819" s="2"/>
      <c r="E1819" s="2"/>
      <c r="F1819" s="2"/>
      <c r="G1819" s="2"/>
      <c r="H1819" s="3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>
      <c r="A1820" s="7" t="s">
        <v>2</v>
      </c>
      <c r="B1820" s="7" t="s">
        <v>3</v>
      </c>
      <c r="C1820" s="7" t="s">
        <v>4</v>
      </c>
      <c r="D1820" s="7" t="s">
        <v>5</v>
      </c>
      <c r="E1820" s="7" t="s">
        <v>6</v>
      </c>
      <c r="F1820" s="8" t="s">
        <v>7</v>
      </c>
      <c r="G1820" s="7" t="s">
        <v>8</v>
      </c>
      <c r="H1820" s="9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>
      <c r="A1821" s="10">
        <v>1.0</v>
      </c>
      <c r="B1821" s="33" t="s">
        <v>468</v>
      </c>
      <c r="C1821" s="34" t="s">
        <v>469</v>
      </c>
      <c r="D1821" s="13" t="s">
        <v>11</v>
      </c>
      <c r="E1821" s="35">
        <v>1.75</v>
      </c>
      <c r="F1821" s="15">
        <v>293000.0</v>
      </c>
      <c r="G1821" s="16">
        <f t="shared" ref="G1821:G1823" si="121">IFERROR(E1821*F1821,0)</f>
        <v>512750</v>
      </c>
      <c r="H1821" s="17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>
      <c r="A1822" s="10">
        <v>2.0</v>
      </c>
      <c r="B1822" s="36" t="s">
        <v>258</v>
      </c>
      <c r="C1822" s="37" t="s">
        <v>80</v>
      </c>
      <c r="D1822" s="20" t="s">
        <v>13</v>
      </c>
      <c r="E1822" s="38">
        <v>1.67</v>
      </c>
      <c r="F1822" s="22">
        <v>435000.0</v>
      </c>
      <c r="G1822" s="16">
        <f t="shared" si="121"/>
        <v>726450</v>
      </c>
      <c r="H1822" s="17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>
      <c r="A1823" s="10">
        <v>3.0</v>
      </c>
      <c r="B1823" s="23" t="s">
        <v>14</v>
      </c>
      <c r="C1823" s="17"/>
      <c r="D1823" s="17"/>
      <c r="E1823" s="17"/>
      <c r="F1823" s="17"/>
      <c r="G1823" s="24">
        <f t="shared" si="121"/>
        <v>0</v>
      </c>
      <c r="H1823" s="17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>
      <c r="A1824" s="25" t="s">
        <v>15</v>
      </c>
      <c r="B1824" s="2"/>
      <c r="C1824" s="2"/>
      <c r="D1824" s="2"/>
      <c r="E1824" s="2"/>
      <c r="F1824" s="2"/>
      <c r="G1824" s="3"/>
      <c r="H1824" s="26">
        <f>SUM(G1821:G1823)</f>
        <v>1239200</v>
      </c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>
      <c r="A1825" s="25" t="s">
        <v>16</v>
      </c>
      <c r="B1825" s="2"/>
      <c r="C1825" s="2"/>
      <c r="D1825" s="2"/>
      <c r="E1825" s="2"/>
      <c r="F1825" s="2"/>
      <c r="G1825" s="3"/>
      <c r="H1825" s="26">
        <f>MAX(0,H1824-648000)</f>
        <v>591200</v>
      </c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>
      <c r="A1826" s="27" t="s">
        <v>17</v>
      </c>
      <c r="B1826" s="2"/>
      <c r="C1826" s="2"/>
      <c r="D1826" s="2"/>
      <c r="E1826" s="2"/>
      <c r="F1826" s="2"/>
      <c r="G1826" s="3"/>
      <c r="H1826" s="28">
        <v>649000.0</v>
      </c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>
      <c r="A1827" s="1" t="s">
        <v>18</v>
      </c>
      <c r="B1827" s="2"/>
      <c r="C1827" s="2"/>
      <c r="D1827" s="2"/>
      <c r="E1827" s="2"/>
      <c r="F1827" s="2"/>
      <c r="G1827" s="2"/>
      <c r="H1827" s="3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34">
      <c r="A1834" s="1" t="s">
        <v>0</v>
      </c>
      <c r="B1834" s="2"/>
      <c r="C1834" s="2"/>
      <c r="D1834" s="2"/>
      <c r="E1834" s="2"/>
      <c r="F1834" s="2"/>
      <c r="G1834" s="2"/>
      <c r="H1834" s="3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>
      <c r="A1835" s="6" t="s">
        <v>470</v>
      </c>
      <c r="B1835" s="2"/>
      <c r="C1835" s="2"/>
      <c r="D1835" s="2"/>
      <c r="E1835" s="2"/>
      <c r="F1835" s="2"/>
      <c r="G1835" s="2"/>
      <c r="H1835" s="3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>
      <c r="A1836" s="7" t="s">
        <v>2</v>
      </c>
      <c r="B1836" s="7" t="s">
        <v>3</v>
      </c>
      <c r="C1836" s="7" t="s">
        <v>4</v>
      </c>
      <c r="D1836" s="7" t="s">
        <v>5</v>
      </c>
      <c r="E1836" s="7" t="s">
        <v>6</v>
      </c>
      <c r="F1836" s="8" t="s">
        <v>7</v>
      </c>
      <c r="G1836" s="7" t="s">
        <v>8</v>
      </c>
      <c r="H1836" s="9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>
      <c r="A1837" s="10">
        <v>1.0</v>
      </c>
      <c r="B1837" s="33" t="s">
        <v>183</v>
      </c>
      <c r="C1837" s="34" t="s">
        <v>471</v>
      </c>
      <c r="D1837" s="13" t="s">
        <v>11</v>
      </c>
      <c r="E1837" s="35">
        <v>1.5</v>
      </c>
      <c r="F1837" s="15">
        <v>293000.0</v>
      </c>
      <c r="G1837" s="16">
        <f t="shared" ref="G1837:G1839" si="122">IFERROR(E1837*F1837,0)</f>
        <v>439500</v>
      </c>
      <c r="H1837" s="17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>
      <c r="A1838" s="10">
        <v>2.0</v>
      </c>
      <c r="B1838" s="36" t="s">
        <v>254</v>
      </c>
      <c r="C1838" s="37" t="s">
        <v>80</v>
      </c>
      <c r="D1838" s="20" t="s">
        <v>13</v>
      </c>
      <c r="E1838" s="38">
        <v>2.0</v>
      </c>
      <c r="F1838" s="22">
        <v>435000.0</v>
      </c>
      <c r="G1838" s="16">
        <f t="shared" si="122"/>
        <v>870000</v>
      </c>
      <c r="H1838" s="17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>
      <c r="A1839" s="10">
        <v>3.0</v>
      </c>
      <c r="B1839" s="23" t="s">
        <v>14</v>
      </c>
      <c r="C1839" s="17"/>
      <c r="D1839" s="17"/>
      <c r="E1839" s="17"/>
      <c r="F1839" s="17"/>
      <c r="G1839" s="24">
        <f t="shared" si="122"/>
        <v>0</v>
      </c>
      <c r="H1839" s="17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>
      <c r="A1840" s="25" t="s">
        <v>15</v>
      </c>
      <c r="B1840" s="2"/>
      <c r="C1840" s="2"/>
      <c r="D1840" s="2"/>
      <c r="E1840" s="2"/>
      <c r="F1840" s="2"/>
      <c r="G1840" s="3"/>
      <c r="H1840" s="26">
        <f>SUM(G1837:G1839)</f>
        <v>1309500</v>
      </c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>
      <c r="A1841" s="25" t="s">
        <v>16</v>
      </c>
      <c r="B1841" s="2"/>
      <c r="C1841" s="2"/>
      <c r="D1841" s="2"/>
      <c r="E1841" s="2"/>
      <c r="F1841" s="2"/>
      <c r="G1841" s="3"/>
      <c r="H1841" s="26">
        <f>MAX(0,H1840-648000)</f>
        <v>661500</v>
      </c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>
      <c r="A1842" s="27" t="s">
        <v>17</v>
      </c>
      <c r="B1842" s="2"/>
      <c r="C1842" s="2"/>
      <c r="D1842" s="2"/>
      <c r="E1842" s="2"/>
      <c r="F1842" s="2"/>
      <c r="G1842" s="3"/>
      <c r="H1842" s="28">
        <v>649000.0</v>
      </c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>
      <c r="A1843" s="1" t="s">
        <v>18</v>
      </c>
      <c r="B1843" s="2"/>
      <c r="C1843" s="2"/>
      <c r="D1843" s="2"/>
      <c r="E1843" s="2"/>
      <c r="F1843" s="2"/>
      <c r="G1843" s="2"/>
      <c r="H1843" s="3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52">
      <c r="A1852" s="1" t="s">
        <v>0</v>
      </c>
      <c r="B1852" s="2"/>
      <c r="C1852" s="2"/>
      <c r="D1852" s="2"/>
      <c r="E1852" s="2"/>
      <c r="F1852" s="2"/>
      <c r="G1852" s="2"/>
      <c r="H1852" s="3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>
      <c r="A1853" s="6" t="s">
        <v>472</v>
      </c>
      <c r="B1853" s="2"/>
      <c r="C1853" s="2"/>
      <c r="D1853" s="2"/>
      <c r="E1853" s="2"/>
      <c r="F1853" s="2"/>
      <c r="G1853" s="2"/>
      <c r="H1853" s="3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>
      <c r="A1854" s="7" t="s">
        <v>2</v>
      </c>
      <c r="B1854" s="7" t="s">
        <v>3</v>
      </c>
      <c r="C1854" s="7" t="s">
        <v>4</v>
      </c>
      <c r="D1854" s="7" t="s">
        <v>5</v>
      </c>
      <c r="E1854" s="7" t="s">
        <v>6</v>
      </c>
      <c r="F1854" s="8" t="s">
        <v>7</v>
      </c>
      <c r="G1854" s="7" t="s">
        <v>8</v>
      </c>
      <c r="H1854" s="9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>
      <c r="A1855" s="10">
        <v>1.0</v>
      </c>
      <c r="B1855" s="33" t="s">
        <v>12</v>
      </c>
      <c r="C1855" s="34" t="s">
        <v>473</v>
      </c>
      <c r="D1855" s="13" t="s">
        <v>11</v>
      </c>
      <c r="E1855" s="35">
        <v>1.67</v>
      </c>
      <c r="F1855" s="15">
        <v>293000.0</v>
      </c>
      <c r="G1855" s="16">
        <f t="shared" ref="G1855:G1857" si="123">IFERROR(E1855*F1855,0)</f>
        <v>489310</v>
      </c>
      <c r="H1855" s="17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>
      <c r="A1856" s="10">
        <v>2.0</v>
      </c>
      <c r="B1856" s="36" t="s">
        <v>25</v>
      </c>
      <c r="C1856" s="37" t="s">
        <v>474</v>
      </c>
      <c r="D1856" s="20" t="s">
        <v>13</v>
      </c>
      <c r="E1856" s="38">
        <v>1.7</v>
      </c>
      <c r="F1856" s="22">
        <v>435000.0</v>
      </c>
      <c r="G1856" s="16">
        <f t="shared" si="123"/>
        <v>739500</v>
      </c>
      <c r="H1856" s="17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>
      <c r="A1857" s="10">
        <v>3.0</v>
      </c>
      <c r="B1857" s="23" t="s">
        <v>14</v>
      </c>
      <c r="C1857" s="17"/>
      <c r="D1857" s="17"/>
      <c r="E1857" s="17"/>
      <c r="F1857" s="17"/>
      <c r="G1857" s="24">
        <f t="shared" si="123"/>
        <v>0</v>
      </c>
      <c r="H1857" s="17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>
      <c r="A1858" s="25" t="s">
        <v>15</v>
      </c>
      <c r="B1858" s="2"/>
      <c r="C1858" s="2"/>
      <c r="D1858" s="2"/>
      <c r="E1858" s="2"/>
      <c r="F1858" s="2"/>
      <c r="G1858" s="3"/>
      <c r="H1858" s="26">
        <f>SUM(G1855:G1857)</f>
        <v>1228810</v>
      </c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>
      <c r="A1859" s="25" t="s">
        <v>16</v>
      </c>
      <c r="B1859" s="2"/>
      <c r="C1859" s="2"/>
      <c r="D1859" s="2"/>
      <c r="E1859" s="2"/>
      <c r="F1859" s="2"/>
      <c r="G1859" s="3"/>
      <c r="H1859" s="26">
        <f>MAX(0,H1858-648000)</f>
        <v>580810</v>
      </c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>
      <c r="A1860" s="27" t="s">
        <v>17</v>
      </c>
      <c r="B1860" s="2"/>
      <c r="C1860" s="2"/>
      <c r="D1860" s="2"/>
      <c r="E1860" s="2"/>
      <c r="F1860" s="2"/>
      <c r="G1860" s="3"/>
      <c r="H1860" s="28">
        <v>649000.0</v>
      </c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>
      <c r="A1861" s="1" t="s">
        <v>18</v>
      </c>
      <c r="B1861" s="2"/>
      <c r="C1861" s="2"/>
      <c r="D1861" s="2"/>
      <c r="E1861" s="2"/>
      <c r="F1861" s="2"/>
      <c r="G1861" s="2"/>
      <c r="H1861" s="3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9">
      <c r="A1869" s="1" t="s">
        <v>0</v>
      </c>
      <c r="B1869" s="2"/>
      <c r="C1869" s="2"/>
      <c r="D1869" s="2"/>
      <c r="E1869" s="2"/>
      <c r="F1869" s="2"/>
      <c r="G1869" s="2"/>
      <c r="H1869" s="3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>
      <c r="A1870" s="6" t="s">
        <v>475</v>
      </c>
      <c r="B1870" s="2"/>
      <c r="C1870" s="2"/>
      <c r="D1870" s="2"/>
      <c r="E1870" s="2"/>
      <c r="F1870" s="2"/>
      <c r="G1870" s="2"/>
      <c r="H1870" s="3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>
      <c r="A1871" s="7" t="s">
        <v>2</v>
      </c>
      <c r="B1871" s="7" t="s">
        <v>3</v>
      </c>
      <c r="C1871" s="7" t="s">
        <v>4</v>
      </c>
      <c r="D1871" s="7" t="s">
        <v>5</v>
      </c>
      <c r="E1871" s="7" t="s">
        <v>6</v>
      </c>
      <c r="F1871" s="8" t="s">
        <v>7</v>
      </c>
      <c r="G1871" s="7" t="s">
        <v>8</v>
      </c>
      <c r="H1871" s="9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>
      <c r="A1872" s="10">
        <v>1.0</v>
      </c>
      <c r="B1872" s="33" t="s">
        <v>74</v>
      </c>
      <c r="C1872" s="34" t="s">
        <v>476</v>
      </c>
      <c r="D1872" s="13" t="s">
        <v>11</v>
      </c>
      <c r="E1872" s="35">
        <v>1.5</v>
      </c>
      <c r="F1872" s="15">
        <v>293000.0</v>
      </c>
      <c r="G1872" s="16">
        <f t="shared" ref="G1872:G1874" si="124">IFERROR(E1872*F1872,0)</f>
        <v>439500</v>
      </c>
      <c r="H1872" s="17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>
      <c r="A1873" s="10">
        <v>2.0</v>
      </c>
      <c r="B1873" s="36" t="s">
        <v>22</v>
      </c>
      <c r="C1873" s="37" t="s">
        <v>80</v>
      </c>
      <c r="D1873" s="20" t="s">
        <v>13</v>
      </c>
      <c r="E1873" s="38">
        <v>1.95</v>
      </c>
      <c r="F1873" s="22">
        <v>435000.0</v>
      </c>
      <c r="G1873" s="16">
        <f t="shared" si="124"/>
        <v>848250</v>
      </c>
      <c r="H1873" s="17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>
      <c r="A1874" s="10">
        <v>3.0</v>
      </c>
      <c r="B1874" s="23" t="s">
        <v>14</v>
      </c>
      <c r="C1874" s="17"/>
      <c r="D1874" s="17"/>
      <c r="E1874" s="17"/>
      <c r="F1874" s="17"/>
      <c r="G1874" s="24">
        <f t="shared" si="124"/>
        <v>0</v>
      </c>
      <c r="H1874" s="17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>
      <c r="A1875" s="25" t="s">
        <v>15</v>
      </c>
      <c r="B1875" s="2"/>
      <c r="C1875" s="2"/>
      <c r="D1875" s="2"/>
      <c r="E1875" s="2"/>
      <c r="F1875" s="2"/>
      <c r="G1875" s="3"/>
      <c r="H1875" s="26">
        <f>SUM(G1872:G1874)</f>
        <v>1287750</v>
      </c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>
      <c r="A1876" s="25" t="s">
        <v>16</v>
      </c>
      <c r="B1876" s="2"/>
      <c r="C1876" s="2"/>
      <c r="D1876" s="2"/>
      <c r="E1876" s="2"/>
      <c r="F1876" s="2"/>
      <c r="G1876" s="3"/>
      <c r="H1876" s="26">
        <f>MAX(0,H1875-648000)</f>
        <v>639750</v>
      </c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>
      <c r="A1877" s="27" t="s">
        <v>17</v>
      </c>
      <c r="B1877" s="2"/>
      <c r="C1877" s="2"/>
      <c r="D1877" s="2"/>
      <c r="E1877" s="2"/>
      <c r="F1877" s="2"/>
      <c r="G1877" s="3"/>
      <c r="H1877" s="28">
        <v>649000.0</v>
      </c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>
      <c r="A1878" s="1" t="s">
        <v>18</v>
      </c>
      <c r="B1878" s="2"/>
      <c r="C1878" s="2"/>
      <c r="D1878" s="2"/>
      <c r="E1878" s="2"/>
      <c r="F1878" s="2"/>
      <c r="G1878" s="2"/>
      <c r="H1878" s="3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84">
      <c r="A1884" s="1" t="s">
        <v>0</v>
      </c>
      <c r="B1884" s="2"/>
      <c r="C1884" s="2"/>
      <c r="D1884" s="2"/>
      <c r="E1884" s="2"/>
      <c r="F1884" s="2"/>
      <c r="G1884" s="2"/>
      <c r="H1884" s="3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>
      <c r="A1885" s="6" t="s">
        <v>477</v>
      </c>
      <c r="B1885" s="2"/>
      <c r="C1885" s="2"/>
      <c r="D1885" s="2"/>
      <c r="E1885" s="2"/>
      <c r="F1885" s="2"/>
      <c r="G1885" s="2"/>
      <c r="H1885" s="3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>
      <c r="A1886" s="7" t="s">
        <v>2</v>
      </c>
      <c r="B1886" s="7" t="s">
        <v>3</v>
      </c>
      <c r="C1886" s="7" t="s">
        <v>4</v>
      </c>
      <c r="D1886" s="7" t="s">
        <v>5</v>
      </c>
      <c r="E1886" s="7" t="s">
        <v>6</v>
      </c>
      <c r="F1886" s="8" t="s">
        <v>7</v>
      </c>
      <c r="G1886" s="7" t="s">
        <v>8</v>
      </c>
      <c r="H1886" s="9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>
      <c r="A1887" s="10">
        <v>1.0</v>
      </c>
      <c r="B1887" s="33" t="s">
        <v>391</v>
      </c>
      <c r="C1887" s="34" t="s">
        <v>478</v>
      </c>
      <c r="D1887" s="13" t="s">
        <v>11</v>
      </c>
      <c r="E1887" s="35">
        <v>1.45</v>
      </c>
      <c r="F1887" s="15">
        <v>293000.0</v>
      </c>
      <c r="G1887" s="16">
        <f t="shared" ref="G1887:G1889" si="125">IFERROR(E1887*F1887,0)</f>
        <v>424850</v>
      </c>
      <c r="H1887" s="17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>
      <c r="A1888" s="10">
        <v>2.0</v>
      </c>
      <c r="B1888" s="36" t="s">
        <v>74</v>
      </c>
      <c r="C1888" s="37" t="s">
        <v>28</v>
      </c>
      <c r="D1888" s="20" t="s">
        <v>13</v>
      </c>
      <c r="E1888" s="38">
        <v>1.69</v>
      </c>
      <c r="F1888" s="22">
        <v>435000.0</v>
      </c>
      <c r="G1888" s="16">
        <f t="shared" si="125"/>
        <v>735150</v>
      </c>
      <c r="H1888" s="17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>
      <c r="A1889" s="10">
        <v>3.0</v>
      </c>
      <c r="B1889" s="23" t="s">
        <v>14</v>
      </c>
      <c r="C1889" s="17"/>
      <c r="D1889" s="17"/>
      <c r="E1889" s="17"/>
      <c r="F1889" s="17"/>
      <c r="G1889" s="24">
        <f t="shared" si="125"/>
        <v>0</v>
      </c>
      <c r="H1889" s="17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>
      <c r="A1890" s="25" t="s">
        <v>15</v>
      </c>
      <c r="B1890" s="2"/>
      <c r="C1890" s="2"/>
      <c r="D1890" s="2"/>
      <c r="E1890" s="2"/>
      <c r="F1890" s="2"/>
      <c r="G1890" s="3"/>
      <c r="H1890" s="26">
        <f>SUM(G1887:G1889)</f>
        <v>1160000</v>
      </c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>
      <c r="A1891" s="25" t="s">
        <v>16</v>
      </c>
      <c r="B1891" s="2"/>
      <c r="C1891" s="2"/>
      <c r="D1891" s="2"/>
      <c r="E1891" s="2"/>
      <c r="F1891" s="2"/>
      <c r="G1891" s="3"/>
      <c r="H1891" s="26">
        <f>MAX(0,H1890-648000)</f>
        <v>512000</v>
      </c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>
      <c r="A1892" s="27" t="s">
        <v>17</v>
      </c>
      <c r="B1892" s="2"/>
      <c r="C1892" s="2"/>
      <c r="D1892" s="2"/>
      <c r="E1892" s="2"/>
      <c r="F1892" s="2"/>
      <c r="G1892" s="3"/>
      <c r="H1892" s="28">
        <v>649000.0</v>
      </c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>
      <c r="A1893" s="1" t="s">
        <v>18</v>
      </c>
      <c r="B1893" s="2"/>
      <c r="C1893" s="2"/>
      <c r="D1893" s="2"/>
      <c r="E1893" s="2"/>
      <c r="F1893" s="2"/>
      <c r="G1893" s="2"/>
      <c r="H1893" s="3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900">
      <c r="A1900" s="1" t="s">
        <v>0</v>
      </c>
      <c r="B1900" s="2"/>
      <c r="C1900" s="2"/>
      <c r="D1900" s="2"/>
      <c r="E1900" s="2"/>
      <c r="F1900" s="2"/>
      <c r="G1900" s="2"/>
      <c r="H1900" s="3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>
      <c r="A1901" s="6" t="s">
        <v>479</v>
      </c>
      <c r="B1901" s="2"/>
      <c r="C1901" s="2"/>
      <c r="D1901" s="2"/>
      <c r="E1901" s="2"/>
      <c r="F1901" s="2"/>
      <c r="G1901" s="2"/>
      <c r="H1901" s="3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>
      <c r="A1902" s="7" t="s">
        <v>2</v>
      </c>
      <c r="B1902" s="7" t="s">
        <v>3</v>
      </c>
      <c r="C1902" s="7" t="s">
        <v>4</v>
      </c>
      <c r="D1902" s="7" t="s">
        <v>5</v>
      </c>
      <c r="E1902" s="7" t="s">
        <v>6</v>
      </c>
      <c r="F1902" s="8" t="s">
        <v>7</v>
      </c>
      <c r="G1902" s="7" t="s">
        <v>8</v>
      </c>
      <c r="H1902" s="9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>
      <c r="A1903" s="10">
        <v>1.0</v>
      </c>
      <c r="B1903" s="33" t="s">
        <v>27</v>
      </c>
      <c r="C1903" s="34" t="s">
        <v>480</v>
      </c>
      <c r="D1903" s="13" t="s">
        <v>11</v>
      </c>
      <c r="E1903" s="35">
        <v>1.5</v>
      </c>
      <c r="F1903" s="15">
        <v>293000.0</v>
      </c>
      <c r="G1903" s="16">
        <f t="shared" ref="G1903:G1905" si="126">IFERROR(E1903*F1903,0)</f>
        <v>439500</v>
      </c>
      <c r="H1903" s="17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>
      <c r="A1904" s="10">
        <v>2.0</v>
      </c>
      <c r="B1904" s="36" t="s">
        <v>481</v>
      </c>
      <c r="C1904" s="37" t="s">
        <v>452</v>
      </c>
      <c r="D1904" s="20" t="s">
        <v>13</v>
      </c>
      <c r="E1904" s="38">
        <v>1.8</v>
      </c>
      <c r="F1904" s="22">
        <v>435000.0</v>
      </c>
      <c r="G1904" s="16">
        <f t="shared" si="126"/>
        <v>783000</v>
      </c>
      <c r="H1904" s="17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>
      <c r="A1905" s="10">
        <v>3.0</v>
      </c>
      <c r="B1905" s="23" t="s">
        <v>14</v>
      </c>
      <c r="C1905" s="17"/>
      <c r="D1905" s="17"/>
      <c r="E1905" s="17"/>
      <c r="F1905" s="17"/>
      <c r="G1905" s="24">
        <f t="shared" si="126"/>
        <v>0</v>
      </c>
      <c r="H1905" s="17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>
      <c r="A1906" s="25" t="s">
        <v>15</v>
      </c>
      <c r="B1906" s="2"/>
      <c r="C1906" s="2"/>
      <c r="D1906" s="2"/>
      <c r="E1906" s="2"/>
      <c r="F1906" s="2"/>
      <c r="G1906" s="3"/>
      <c r="H1906" s="26">
        <f>SUM(G1903:G1905)</f>
        <v>1222500</v>
      </c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>
      <c r="A1907" s="25" t="s">
        <v>16</v>
      </c>
      <c r="B1907" s="2"/>
      <c r="C1907" s="2"/>
      <c r="D1907" s="2"/>
      <c r="E1907" s="2"/>
      <c r="F1907" s="2"/>
      <c r="G1907" s="3"/>
      <c r="H1907" s="26">
        <f>MAX(0,H1906-648000)</f>
        <v>574500</v>
      </c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>
      <c r="A1908" s="27" t="s">
        <v>17</v>
      </c>
      <c r="B1908" s="2"/>
      <c r="C1908" s="2"/>
      <c r="D1908" s="2"/>
      <c r="E1908" s="2"/>
      <c r="F1908" s="2"/>
      <c r="G1908" s="3"/>
      <c r="H1908" s="28">
        <v>649000.0</v>
      </c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>
      <c r="A1909" s="1" t="s">
        <v>18</v>
      </c>
      <c r="B1909" s="2"/>
      <c r="C1909" s="2"/>
      <c r="D1909" s="2"/>
      <c r="E1909" s="2"/>
      <c r="F1909" s="2"/>
      <c r="G1909" s="2"/>
      <c r="H1909" s="3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6">
      <c r="A1916" s="1" t="s">
        <v>0</v>
      </c>
      <c r="B1916" s="2"/>
      <c r="C1916" s="2"/>
      <c r="D1916" s="2"/>
      <c r="E1916" s="2"/>
      <c r="F1916" s="2"/>
      <c r="G1916" s="2"/>
      <c r="H1916" s="3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>
      <c r="A1917" s="6" t="s">
        <v>482</v>
      </c>
      <c r="B1917" s="2"/>
      <c r="C1917" s="2"/>
      <c r="D1917" s="2"/>
      <c r="E1917" s="2"/>
      <c r="F1917" s="2"/>
      <c r="G1917" s="2"/>
      <c r="H1917" s="3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>
      <c r="A1918" s="7" t="s">
        <v>2</v>
      </c>
      <c r="B1918" s="7" t="s">
        <v>3</v>
      </c>
      <c r="C1918" s="7" t="s">
        <v>4</v>
      </c>
      <c r="D1918" s="7" t="s">
        <v>5</v>
      </c>
      <c r="E1918" s="7" t="s">
        <v>6</v>
      </c>
      <c r="F1918" s="8" t="s">
        <v>7</v>
      </c>
      <c r="G1918" s="7" t="s">
        <v>8</v>
      </c>
      <c r="H1918" s="9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>
      <c r="A1919" s="10">
        <v>1.0</v>
      </c>
      <c r="B1919" s="33" t="s">
        <v>131</v>
      </c>
      <c r="C1919" s="34" t="s">
        <v>483</v>
      </c>
      <c r="D1919" s="13" t="s">
        <v>11</v>
      </c>
      <c r="E1919" s="35">
        <v>1.52</v>
      </c>
      <c r="F1919" s="15">
        <v>293000.0</v>
      </c>
      <c r="G1919" s="16">
        <f t="shared" ref="G1919:G1921" si="127">IFERROR(E1919*F1919,0)</f>
        <v>445360</v>
      </c>
      <c r="H1919" s="17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>
      <c r="A1920" s="10">
        <v>2.0</v>
      </c>
      <c r="B1920" s="36" t="s">
        <v>484</v>
      </c>
      <c r="C1920" s="37" t="s">
        <v>485</v>
      </c>
      <c r="D1920" s="20" t="s">
        <v>13</v>
      </c>
      <c r="E1920" s="38">
        <v>2.0</v>
      </c>
      <c r="F1920" s="22">
        <v>435000.0</v>
      </c>
      <c r="G1920" s="16">
        <f t="shared" si="127"/>
        <v>870000</v>
      </c>
      <c r="H1920" s="17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>
      <c r="A1921" s="10">
        <v>3.0</v>
      </c>
      <c r="B1921" s="23" t="s">
        <v>14</v>
      </c>
      <c r="C1921" s="17"/>
      <c r="D1921" s="17"/>
      <c r="E1921" s="17"/>
      <c r="F1921" s="17"/>
      <c r="G1921" s="24">
        <f t="shared" si="127"/>
        <v>0</v>
      </c>
      <c r="H1921" s="17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>
      <c r="A1922" s="25" t="s">
        <v>15</v>
      </c>
      <c r="B1922" s="2"/>
      <c r="C1922" s="2"/>
      <c r="D1922" s="2"/>
      <c r="E1922" s="2"/>
      <c r="F1922" s="2"/>
      <c r="G1922" s="3"/>
      <c r="H1922" s="26">
        <f>SUM(G1919:G1921)</f>
        <v>1315360</v>
      </c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>
      <c r="A1923" s="25" t="s">
        <v>16</v>
      </c>
      <c r="B1923" s="2"/>
      <c r="C1923" s="2"/>
      <c r="D1923" s="2"/>
      <c r="E1923" s="2"/>
      <c r="F1923" s="2"/>
      <c r="G1923" s="3"/>
      <c r="H1923" s="26">
        <f>MAX(0,H1922-648000)</f>
        <v>667360</v>
      </c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>
      <c r="A1924" s="27" t="s">
        <v>17</v>
      </c>
      <c r="B1924" s="2"/>
      <c r="C1924" s="2"/>
      <c r="D1924" s="2"/>
      <c r="E1924" s="2"/>
      <c r="F1924" s="2"/>
      <c r="G1924" s="3"/>
      <c r="H1924" s="28">
        <v>649000.0</v>
      </c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>
      <c r="A1925" s="1" t="s">
        <v>18</v>
      </c>
      <c r="B1925" s="2"/>
      <c r="C1925" s="2"/>
      <c r="D1925" s="2"/>
      <c r="E1925" s="2"/>
      <c r="F1925" s="2"/>
      <c r="G1925" s="2"/>
      <c r="H1925" s="3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31">
      <c r="A1931" s="1" t="s">
        <v>0</v>
      </c>
      <c r="B1931" s="2"/>
      <c r="C1931" s="2"/>
      <c r="D1931" s="2"/>
      <c r="E1931" s="2"/>
      <c r="F1931" s="2"/>
      <c r="G1931" s="2"/>
      <c r="H1931" s="3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>
      <c r="A1932" s="6" t="s">
        <v>486</v>
      </c>
      <c r="B1932" s="2"/>
      <c r="C1932" s="2"/>
      <c r="D1932" s="2"/>
      <c r="E1932" s="2"/>
      <c r="F1932" s="2"/>
      <c r="G1932" s="2"/>
      <c r="H1932" s="3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>
      <c r="A1933" s="7" t="s">
        <v>2</v>
      </c>
      <c r="B1933" s="7" t="s">
        <v>3</v>
      </c>
      <c r="C1933" s="7" t="s">
        <v>4</v>
      </c>
      <c r="D1933" s="7" t="s">
        <v>5</v>
      </c>
      <c r="E1933" s="7" t="s">
        <v>6</v>
      </c>
      <c r="F1933" s="8" t="s">
        <v>7</v>
      </c>
      <c r="G1933" s="7" t="s">
        <v>8</v>
      </c>
      <c r="H1933" s="9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>
      <c r="A1934" s="10">
        <v>1.0</v>
      </c>
      <c r="B1934" s="33" t="s">
        <v>487</v>
      </c>
      <c r="C1934" s="34" t="s">
        <v>488</v>
      </c>
      <c r="D1934" s="13" t="s">
        <v>11</v>
      </c>
      <c r="E1934" s="35">
        <v>2.0</v>
      </c>
      <c r="F1934" s="15">
        <v>293000.0</v>
      </c>
      <c r="G1934" s="16">
        <f t="shared" ref="G1934:G1936" si="128">IFERROR(E1934*F1934,0)</f>
        <v>586000</v>
      </c>
      <c r="H1934" s="17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>
      <c r="A1935" s="10">
        <v>2.0</v>
      </c>
      <c r="B1935" s="36" t="s">
        <v>12</v>
      </c>
      <c r="C1935" s="37" t="s">
        <v>489</v>
      </c>
      <c r="D1935" s="20" t="s">
        <v>13</v>
      </c>
      <c r="E1935" s="38">
        <v>1.5</v>
      </c>
      <c r="F1935" s="22">
        <v>435000.0</v>
      </c>
      <c r="G1935" s="16">
        <f t="shared" si="128"/>
        <v>652500</v>
      </c>
      <c r="H1935" s="17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>
      <c r="A1936" s="10">
        <v>3.0</v>
      </c>
      <c r="B1936" s="23" t="s">
        <v>14</v>
      </c>
      <c r="C1936" s="17"/>
      <c r="D1936" s="17"/>
      <c r="E1936" s="17"/>
      <c r="F1936" s="17"/>
      <c r="G1936" s="24">
        <f t="shared" si="128"/>
        <v>0</v>
      </c>
      <c r="H1936" s="17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>
      <c r="A1937" s="25" t="s">
        <v>15</v>
      </c>
      <c r="B1937" s="2"/>
      <c r="C1937" s="2"/>
      <c r="D1937" s="2"/>
      <c r="E1937" s="2"/>
      <c r="F1937" s="2"/>
      <c r="G1937" s="3"/>
      <c r="H1937" s="26">
        <f>SUM(G1934:G1936)</f>
        <v>1238500</v>
      </c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>
      <c r="A1938" s="25" t="s">
        <v>16</v>
      </c>
      <c r="B1938" s="2"/>
      <c r="C1938" s="2"/>
      <c r="D1938" s="2"/>
      <c r="E1938" s="2"/>
      <c r="F1938" s="2"/>
      <c r="G1938" s="3"/>
      <c r="H1938" s="26">
        <f>MAX(0,H1937-648000)</f>
        <v>590500</v>
      </c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>
      <c r="A1939" s="27" t="s">
        <v>17</v>
      </c>
      <c r="B1939" s="2"/>
      <c r="C1939" s="2"/>
      <c r="D1939" s="2"/>
      <c r="E1939" s="2"/>
      <c r="F1939" s="2"/>
      <c r="G1939" s="3"/>
      <c r="H1939" s="28">
        <v>649000.0</v>
      </c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>
      <c r="A1940" s="1" t="s">
        <v>18</v>
      </c>
      <c r="B1940" s="2"/>
      <c r="C1940" s="2"/>
      <c r="D1940" s="2"/>
      <c r="E1940" s="2"/>
      <c r="F1940" s="2"/>
      <c r="G1940" s="2"/>
      <c r="H1940" s="3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6">
      <c r="A1946" s="1" t="s">
        <v>0</v>
      </c>
      <c r="B1946" s="2"/>
      <c r="C1946" s="2"/>
      <c r="D1946" s="2"/>
      <c r="E1946" s="2"/>
      <c r="F1946" s="2"/>
      <c r="G1946" s="2"/>
      <c r="H1946" s="3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>
      <c r="A1947" s="6" t="s">
        <v>490</v>
      </c>
      <c r="B1947" s="2"/>
      <c r="C1947" s="2"/>
      <c r="D1947" s="2"/>
      <c r="E1947" s="2"/>
      <c r="F1947" s="2"/>
      <c r="G1947" s="2"/>
      <c r="H1947" s="3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>
      <c r="A1948" s="7" t="s">
        <v>2</v>
      </c>
      <c r="B1948" s="7" t="s">
        <v>3</v>
      </c>
      <c r="C1948" s="7" t="s">
        <v>4</v>
      </c>
      <c r="D1948" s="7" t="s">
        <v>5</v>
      </c>
      <c r="E1948" s="7" t="s">
        <v>6</v>
      </c>
      <c r="F1948" s="8" t="s">
        <v>7</v>
      </c>
      <c r="G1948" s="7" t="s">
        <v>8</v>
      </c>
      <c r="H1948" s="9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>
      <c r="A1949" s="10">
        <v>1.0</v>
      </c>
      <c r="B1949" s="33" t="s">
        <v>491</v>
      </c>
      <c r="C1949" s="34" t="s">
        <v>492</v>
      </c>
      <c r="D1949" s="13" t="s">
        <v>11</v>
      </c>
      <c r="E1949" s="35">
        <v>2.07</v>
      </c>
      <c r="F1949" s="15">
        <v>293000.0</v>
      </c>
      <c r="G1949" s="16">
        <f t="shared" ref="G1949:G1951" si="129">IFERROR(E1949*F1949,0)</f>
        <v>606510</v>
      </c>
      <c r="H1949" s="17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>
      <c r="A1950" s="10">
        <v>2.0</v>
      </c>
      <c r="B1950" s="36" t="s">
        <v>12</v>
      </c>
      <c r="C1950" s="37" t="s">
        <v>493</v>
      </c>
      <c r="D1950" s="20" t="s">
        <v>13</v>
      </c>
      <c r="E1950" s="38">
        <v>1.24</v>
      </c>
      <c r="F1950" s="22">
        <v>435000.0</v>
      </c>
      <c r="G1950" s="16">
        <f t="shared" si="129"/>
        <v>539400</v>
      </c>
      <c r="H1950" s="17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>
      <c r="A1951" s="10">
        <v>3.0</v>
      </c>
      <c r="B1951" s="23" t="s">
        <v>14</v>
      </c>
      <c r="C1951" s="17"/>
      <c r="D1951" s="17"/>
      <c r="E1951" s="17"/>
      <c r="F1951" s="17"/>
      <c r="G1951" s="24">
        <f t="shared" si="129"/>
        <v>0</v>
      </c>
      <c r="H1951" s="17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>
      <c r="A1952" s="25" t="s">
        <v>15</v>
      </c>
      <c r="B1952" s="2"/>
      <c r="C1952" s="2"/>
      <c r="D1952" s="2"/>
      <c r="E1952" s="2"/>
      <c r="F1952" s="2"/>
      <c r="G1952" s="3"/>
      <c r="H1952" s="26">
        <f>SUM(G1949:G1951)</f>
        <v>1145910</v>
      </c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>
      <c r="A1953" s="25" t="s">
        <v>16</v>
      </c>
      <c r="B1953" s="2"/>
      <c r="C1953" s="2"/>
      <c r="D1953" s="2"/>
      <c r="E1953" s="2"/>
      <c r="F1953" s="2"/>
      <c r="G1953" s="3"/>
      <c r="H1953" s="26">
        <f>MAX(0,H1952-648000)</f>
        <v>497910</v>
      </c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>
      <c r="A1954" s="27" t="s">
        <v>17</v>
      </c>
      <c r="B1954" s="2"/>
      <c r="C1954" s="2"/>
      <c r="D1954" s="2"/>
      <c r="E1954" s="2"/>
      <c r="F1954" s="2"/>
      <c r="G1954" s="3"/>
      <c r="H1954" s="28">
        <v>649000.0</v>
      </c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>
      <c r="A1955" s="1" t="s">
        <v>18</v>
      </c>
      <c r="B1955" s="2"/>
      <c r="C1955" s="2"/>
      <c r="D1955" s="2"/>
      <c r="E1955" s="2"/>
      <c r="F1955" s="2"/>
      <c r="G1955" s="2"/>
      <c r="H1955" s="3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60">
      <c r="A1960" s="1" t="s">
        <v>0</v>
      </c>
      <c r="B1960" s="2"/>
      <c r="C1960" s="2"/>
      <c r="D1960" s="2"/>
      <c r="E1960" s="2"/>
      <c r="F1960" s="2"/>
      <c r="G1960" s="2"/>
      <c r="H1960" s="3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>
      <c r="A1961" s="6" t="s">
        <v>494</v>
      </c>
      <c r="B1961" s="2"/>
      <c r="C1961" s="2"/>
      <c r="D1961" s="2"/>
      <c r="E1961" s="2"/>
      <c r="F1961" s="2"/>
      <c r="G1961" s="2"/>
      <c r="H1961" s="3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>
      <c r="A1962" s="7" t="s">
        <v>2</v>
      </c>
      <c r="B1962" s="7" t="s">
        <v>3</v>
      </c>
      <c r="C1962" s="7" t="s">
        <v>4</v>
      </c>
      <c r="D1962" s="7" t="s">
        <v>5</v>
      </c>
      <c r="E1962" s="7" t="s">
        <v>6</v>
      </c>
      <c r="F1962" s="8" t="s">
        <v>7</v>
      </c>
      <c r="G1962" s="7" t="s">
        <v>8</v>
      </c>
      <c r="H1962" s="9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>
      <c r="A1963" s="10">
        <v>1.0</v>
      </c>
      <c r="B1963" s="33" t="s">
        <v>289</v>
      </c>
      <c r="C1963" s="34" t="s">
        <v>495</v>
      </c>
      <c r="D1963" s="13" t="s">
        <v>11</v>
      </c>
      <c r="E1963" s="35">
        <v>2.47</v>
      </c>
      <c r="F1963" s="15">
        <v>293000.0</v>
      </c>
      <c r="G1963" s="16">
        <f t="shared" ref="G1963:G1965" si="130">IFERROR(E1963*F1963,0)</f>
        <v>723710</v>
      </c>
      <c r="H1963" s="17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>
      <c r="A1964" s="10">
        <v>2.0</v>
      </c>
      <c r="B1964" s="36" t="s">
        <v>94</v>
      </c>
      <c r="C1964" s="37" t="s">
        <v>496</v>
      </c>
      <c r="D1964" s="20" t="s">
        <v>13</v>
      </c>
      <c r="E1964" s="38">
        <v>1.0</v>
      </c>
      <c r="F1964" s="22">
        <v>435000.0</v>
      </c>
      <c r="G1964" s="16">
        <f t="shared" si="130"/>
        <v>435000</v>
      </c>
      <c r="H1964" s="17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>
      <c r="A1965" s="10">
        <v>3.0</v>
      </c>
      <c r="B1965" s="23" t="s">
        <v>14</v>
      </c>
      <c r="C1965" s="17"/>
      <c r="D1965" s="17"/>
      <c r="E1965" s="17"/>
      <c r="F1965" s="17"/>
      <c r="G1965" s="24">
        <f t="shared" si="130"/>
        <v>0</v>
      </c>
      <c r="H1965" s="17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>
      <c r="A1966" s="25" t="s">
        <v>15</v>
      </c>
      <c r="B1966" s="2"/>
      <c r="C1966" s="2"/>
      <c r="D1966" s="2"/>
      <c r="E1966" s="2"/>
      <c r="F1966" s="2"/>
      <c r="G1966" s="3"/>
      <c r="H1966" s="26">
        <f>SUM(G1963:G1965)</f>
        <v>1158710</v>
      </c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>
      <c r="A1967" s="25" t="s">
        <v>16</v>
      </c>
      <c r="B1967" s="2"/>
      <c r="C1967" s="2"/>
      <c r="D1967" s="2"/>
      <c r="E1967" s="2"/>
      <c r="F1967" s="2"/>
      <c r="G1967" s="3"/>
      <c r="H1967" s="26">
        <f>MAX(0,H1966-648000)</f>
        <v>510710</v>
      </c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>
      <c r="A1968" s="27" t="s">
        <v>17</v>
      </c>
      <c r="B1968" s="2"/>
      <c r="C1968" s="2"/>
      <c r="D1968" s="2"/>
      <c r="E1968" s="2"/>
      <c r="F1968" s="2"/>
      <c r="G1968" s="3"/>
      <c r="H1968" s="28">
        <v>649000.0</v>
      </c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>
      <c r="A1969" s="1" t="s">
        <v>18</v>
      </c>
      <c r="B1969" s="2"/>
      <c r="C1969" s="2"/>
      <c r="D1969" s="2"/>
      <c r="E1969" s="2"/>
      <c r="F1969" s="2"/>
      <c r="G1969" s="2"/>
      <c r="H1969" s="3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4">
      <c r="A1974" s="1" t="s">
        <v>0</v>
      </c>
      <c r="B1974" s="2"/>
      <c r="C1974" s="2"/>
      <c r="D1974" s="2"/>
      <c r="E1974" s="2"/>
      <c r="F1974" s="2"/>
      <c r="G1974" s="2"/>
      <c r="H1974" s="3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>
      <c r="A1975" s="6" t="s">
        <v>497</v>
      </c>
      <c r="B1975" s="2"/>
      <c r="C1975" s="2"/>
      <c r="D1975" s="2"/>
      <c r="E1975" s="2"/>
      <c r="F1975" s="2"/>
      <c r="G1975" s="2"/>
      <c r="H1975" s="3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>
      <c r="A1976" s="7" t="s">
        <v>2</v>
      </c>
      <c r="B1976" s="7" t="s">
        <v>3</v>
      </c>
      <c r="C1976" s="7" t="s">
        <v>4</v>
      </c>
      <c r="D1976" s="7" t="s">
        <v>5</v>
      </c>
      <c r="E1976" s="7" t="s">
        <v>6</v>
      </c>
      <c r="F1976" s="8" t="s">
        <v>7</v>
      </c>
      <c r="G1976" s="7" t="s">
        <v>8</v>
      </c>
      <c r="H1976" s="9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>
      <c r="A1977" s="10">
        <v>1.0</v>
      </c>
      <c r="B1977" s="33" t="s">
        <v>12</v>
      </c>
      <c r="C1977" s="34" t="s">
        <v>498</v>
      </c>
      <c r="D1977" s="13" t="s">
        <v>11</v>
      </c>
      <c r="E1977" s="35">
        <v>3.0</v>
      </c>
      <c r="F1977" s="15">
        <v>293000.0</v>
      </c>
      <c r="G1977" s="16">
        <f t="shared" ref="G1977:G1979" si="131">IFERROR(E1977*F1977,0)</f>
        <v>879000</v>
      </c>
      <c r="H1977" s="17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>
      <c r="A1978" s="10">
        <v>2.0</v>
      </c>
      <c r="B1978" s="36" t="s">
        <v>55</v>
      </c>
      <c r="C1978" s="37" t="s">
        <v>499</v>
      </c>
      <c r="D1978" s="20" t="s">
        <v>13</v>
      </c>
      <c r="E1978" s="38">
        <v>0.7</v>
      </c>
      <c r="F1978" s="22">
        <v>435000.0</v>
      </c>
      <c r="G1978" s="16">
        <f t="shared" si="131"/>
        <v>304500</v>
      </c>
      <c r="H1978" s="17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>
      <c r="A1979" s="10">
        <v>3.0</v>
      </c>
      <c r="B1979" s="23" t="s">
        <v>14</v>
      </c>
      <c r="C1979" s="17"/>
      <c r="D1979" s="17"/>
      <c r="E1979" s="17"/>
      <c r="F1979" s="17"/>
      <c r="G1979" s="24">
        <f t="shared" si="131"/>
        <v>0</v>
      </c>
      <c r="H1979" s="17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>
      <c r="A1980" s="25" t="s">
        <v>15</v>
      </c>
      <c r="B1980" s="2"/>
      <c r="C1980" s="2"/>
      <c r="D1980" s="2"/>
      <c r="E1980" s="2"/>
      <c r="F1980" s="2"/>
      <c r="G1980" s="3"/>
      <c r="H1980" s="26">
        <f>SUM(G1977:G1979)</f>
        <v>1183500</v>
      </c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>
      <c r="A1981" s="25" t="s">
        <v>16</v>
      </c>
      <c r="B1981" s="2"/>
      <c r="C1981" s="2"/>
      <c r="D1981" s="2"/>
      <c r="E1981" s="2"/>
      <c r="F1981" s="2"/>
      <c r="G1981" s="3"/>
      <c r="H1981" s="26">
        <f>MAX(0,H1980-648000)</f>
        <v>535500</v>
      </c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>
      <c r="A1982" s="27" t="s">
        <v>17</v>
      </c>
      <c r="B1982" s="2"/>
      <c r="C1982" s="2"/>
      <c r="D1982" s="2"/>
      <c r="E1982" s="2"/>
      <c r="F1982" s="2"/>
      <c r="G1982" s="3"/>
      <c r="H1982" s="28">
        <v>649000.0</v>
      </c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>
      <c r="A1983" s="1" t="s">
        <v>18</v>
      </c>
      <c r="B1983" s="2"/>
      <c r="C1983" s="2"/>
      <c r="D1983" s="2"/>
      <c r="E1983" s="2"/>
      <c r="F1983" s="2"/>
      <c r="G1983" s="2"/>
      <c r="H1983" s="3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9">
      <c r="A1989" s="1" t="s">
        <v>0</v>
      </c>
      <c r="B1989" s="2"/>
      <c r="C1989" s="2"/>
      <c r="D1989" s="2"/>
      <c r="E1989" s="2"/>
      <c r="F1989" s="2"/>
      <c r="G1989" s="2"/>
      <c r="H1989" s="3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>
      <c r="A1990" s="6" t="s">
        <v>500</v>
      </c>
      <c r="B1990" s="2"/>
      <c r="C1990" s="2"/>
      <c r="D1990" s="2"/>
      <c r="E1990" s="2"/>
      <c r="F1990" s="2"/>
      <c r="G1990" s="2"/>
      <c r="H1990" s="3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>
      <c r="A1991" s="7" t="s">
        <v>2</v>
      </c>
      <c r="B1991" s="7" t="s">
        <v>3</v>
      </c>
      <c r="C1991" s="7" t="s">
        <v>4</v>
      </c>
      <c r="D1991" s="7" t="s">
        <v>5</v>
      </c>
      <c r="E1991" s="7" t="s">
        <v>6</v>
      </c>
      <c r="F1991" s="8" t="s">
        <v>7</v>
      </c>
      <c r="G1991" s="7" t="s">
        <v>8</v>
      </c>
      <c r="H1991" s="9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>
      <c r="A1992" s="10">
        <v>1.0</v>
      </c>
      <c r="B1992" s="33" t="s">
        <v>202</v>
      </c>
      <c r="C1992" s="34" t="s">
        <v>501</v>
      </c>
      <c r="D1992" s="13" t="s">
        <v>11</v>
      </c>
      <c r="E1992" s="35">
        <v>1.92</v>
      </c>
      <c r="F1992" s="15">
        <v>293000.0</v>
      </c>
      <c r="G1992" s="16">
        <f t="shared" ref="G1992:G1994" si="132">IFERROR(E1992*F1992,0)</f>
        <v>562560</v>
      </c>
      <c r="H1992" s="17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>
      <c r="A1993" s="10">
        <v>2.0</v>
      </c>
      <c r="B1993" s="36" t="s">
        <v>190</v>
      </c>
      <c r="C1993" s="37" t="s">
        <v>502</v>
      </c>
      <c r="D1993" s="20" t="s">
        <v>13</v>
      </c>
      <c r="E1993" s="38">
        <v>1.48</v>
      </c>
      <c r="F1993" s="22">
        <v>435000.0</v>
      </c>
      <c r="G1993" s="16">
        <f t="shared" si="132"/>
        <v>643800</v>
      </c>
      <c r="H1993" s="17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>
      <c r="A1994" s="10">
        <v>3.0</v>
      </c>
      <c r="B1994" s="23" t="s">
        <v>14</v>
      </c>
      <c r="C1994" s="17"/>
      <c r="D1994" s="17"/>
      <c r="E1994" s="17"/>
      <c r="F1994" s="17"/>
      <c r="G1994" s="24">
        <f t="shared" si="132"/>
        <v>0</v>
      </c>
      <c r="H1994" s="17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>
      <c r="A1995" s="25" t="s">
        <v>15</v>
      </c>
      <c r="B1995" s="2"/>
      <c r="C1995" s="2"/>
      <c r="D1995" s="2"/>
      <c r="E1995" s="2"/>
      <c r="F1995" s="2"/>
      <c r="G1995" s="3"/>
      <c r="H1995" s="26">
        <f>SUM(G1992:G1994)</f>
        <v>1206360</v>
      </c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>
      <c r="A1996" s="25" t="s">
        <v>16</v>
      </c>
      <c r="B1996" s="2"/>
      <c r="C1996" s="2"/>
      <c r="D1996" s="2"/>
      <c r="E1996" s="2"/>
      <c r="F1996" s="2"/>
      <c r="G1996" s="3"/>
      <c r="H1996" s="26">
        <f>MAX(0,H1995-648000)</f>
        <v>558360</v>
      </c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>
      <c r="A1997" s="27" t="s">
        <v>17</v>
      </c>
      <c r="B1997" s="2"/>
      <c r="C1997" s="2"/>
      <c r="D1997" s="2"/>
      <c r="E1997" s="2"/>
      <c r="F1997" s="2"/>
      <c r="G1997" s="3"/>
      <c r="H1997" s="28">
        <v>649000.0</v>
      </c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>
      <c r="A1998" s="1" t="s">
        <v>18</v>
      </c>
      <c r="B1998" s="2"/>
      <c r="C1998" s="2"/>
      <c r="D1998" s="2"/>
      <c r="E1998" s="2"/>
      <c r="F1998" s="2"/>
      <c r="G1998" s="2"/>
      <c r="H1998" s="3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2003">
      <c r="A2003" s="1" t="s">
        <v>0</v>
      </c>
      <c r="B2003" s="2"/>
      <c r="C2003" s="2"/>
      <c r="D2003" s="2"/>
      <c r="E2003" s="2"/>
      <c r="F2003" s="2"/>
      <c r="G2003" s="2"/>
      <c r="H2003" s="3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>
      <c r="A2004" s="6" t="s">
        <v>503</v>
      </c>
      <c r="B2004" s="2"/>
      <c r="C2004" s="2"/>
      <c r="D2004" s="2"/>
      <c r="E2004" s="2"/>
      <c r="F2004" s="2"/>
      <c r="G2004" s="2"/>
      <c r="H2004" s="3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>
      <c r="A2005" s="7" t="s">
        <v>2</v>
      </c>
      <c r="B2005" s="7" t="s">
        <v>3</v>
      </c>
      <c r="C2005" s="7" t="s">
        <v>4</v>
      </c>
      <c r="D2005" s="7" t="s">
        <v>5</v>
      </c>
      <c r="E2005" s="7" t="s">
        <v>6</v>
      </c>
      <c r="F2005" s="8" t="s">
        <v>7</v>
      </c>
      <c r="G2005" s="7" t="s">
        <v>8</v>
      </c>
      <c r="H2005" s="9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>
      <c r="A2006" s="10">
        <v>1.0</v>
      </c>
      <c r="B2006" s="33" t="s">
        <v>44</v>
      </c>
      <c r="C2006" s="34" t="s">
        <v>504</v>
      </c>
      <c r="D2006" s="13" t="s">
        <v>11</v>
      </c>
      <c r="E2006" s="35">
        <v>1.7</v>
      </c>
      <c r="F2006" s="15">
        <v>293000.0</v>
      </c>
      <c r="G2006" s="16">
        <f t="shared" ref="G2006:G2008" si="133">IFERROR(E2006*F2006,0)</f>
        <v>498100</v>
      </c>
      <c r="H2006" s="17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>
      <c r="A2007" s="10">
        <v>2.0</v>
      </c>
      <c r="B2007" s="36" t="s">
        <v>391</v>
      </c>
      <c r="C2007" s="37" t="s">
        <v>505</v>
      </c>
      <c r="D2007" s="20" t="s">
        <v>13</v>
      </c>
      <c r="E2007" s="38">
        <v>1.6</v>
      </c>
      <c r="F2007" s="22">
        <v>435000.0</v>
      </c>
      <c r="G2007" s="16">
        <f t="shared" si="133"/>
        <v>696000</v>
      </c>
      <c r="H2007" s="17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>
      <c r="A2008" s="10">
        <v>3.0</v>
      </c>
      <c r="B2008" s="23" t="s">
        <v>14</v>
      </c>
      <c r="C2008" s="17"/>
      <c r="D2008" s="17"/>
      <c r="E2008" s="17"/>
      <c r="F2008" s="17"/>
      <c r="G2008" s="24">
        <f t="shared" si="133"/>
        <v>0</v>
      </c>
      <c r="H2008" s="17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>
      <c r="A2009" s="25" t="s">
        <v>15</v>
      </c>
      <c r="B2009" s="2"/>
      <c r="C2009" s="2"/>
      <c r="D2009" s="2"/>
      <c r="E2009" s="2"/>
      <c r="F2009" s="2"/>
      <c r="G2009" s="3"/>
      <c r="H2009" s="26">
        <f>SUM(G2006:G2008)</f>
        <v>1194100</v>
      </c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>
      <c r="A2010" s="25" t="s">
        <v>16</v>
      </c>
      <c r="B2010" s="2"/>
      <c r="C2010" s="2"/>
      <c r="D2010" s="2"/>
      <c r="E2010" s="2"/>
      <c r="F2010" s="2"/>
      <c r="G2010" s="3"/>
      <c r="H2010" s="26">
        <f>MAX(0,H2009-648000)</f>
        <v>546100</v>
      </c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>
      <c r="A2011" s="27" t="s">
        <v>17</v>
      </c>
      <c r="B2011" s="2"/>
      <c r="C2011" s="2"/>
      <c r="D2011" s="2"/>
      <c r="E2011" s="2"/>
      <c r="F2011" s="2"/>
      <c r="G2011" s="3"/>
      <c r="H2011" s="28">
        <v>649000.0</v>
      </c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>
      <c r="A2012" s="1" t="s">
        <v>18</v>
      </c>
      <c r="B2012" s="2"/>
      <c r="C2012" s="2"/>
      <c r="D2012" s="2"/>
      <c r="E2012" s="2"/>
      <c r="F2012" s="2"/>
      <c r="G2012" s="2"/>
      <c r="H2012" s="3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7">
      <c r="A2017" s="1" t="s">
        <v>0</v>
      </c>
      <c r="B2017" s="2"/>
      <c r="C2017" s="2"/>
      <c r="D2017" s="2"/>
      <c r="E2017" s="2"/>
      <c r="F2017" s="2"/>
      <c r="G2017" s="2"/>
      <c r="H2017" s="3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>
      <c r="A2018" s="6" t="s">
        <v>506</v>
      </c>
      <c r="B2018" s="2"/>
      <c r="C2018" s="2"/>
      <c r="D2018" s="2"/>
      <c r="E2018" s="2"/>
      <c r="F2018" s="2"/>
      <c r="G2018" s="2"/>
      <c r="H2018" s="3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>
      <c r="A2019" s="7" t="s">
        <v>2</v>
      </c>
      <c r="B2019" s="7" t="s">
        <v>3</v>
      </c>
      <c r="C2019" s="7" t="s">
        <v>4</v>
      </c>
      <c r="D2019" s="7" t="s">
        <v>5</v>
      </c>
      <c r="E2019" s="7" t="s">
        <v>6</v>
      </c>
      <c r="F2019" s="8" t="s">
        <v>7</v>
      </c>
      <c r="G2019" s="7" t="s">
        <v>8</v>
      </c>
      <c r="H2019" s="9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>
      <c r="A2020" s="10">
        <v>1.0</v>
      </c>
      <c r="B2020" s="33" t="s">
        <v>175</v>
      </c>
      <c r="C2020" s="34" t="s">
        <v>507</v>
      </c>
      <c r="D2020" s="13" t="s">
        <v>11</v>
      </c>
      <c r="E2020" s="35">
        <v>2.1</v>
      </c>
      <c r="F2020" s="15">
        <v>293000.0</v>
      </c>
      <c r="G2020" s="16">
        <f t="shared" ref="G2020:G2022" si="134">IFERROR(E2020*F2020,0)</f>
        <v>615300</v>
      </c>
      <c r="H2020" s="17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>
      <c r="A2021" s="10">
        <v>2.0</v>
      </c>
      <c r="B2021" s="36" t="s">
        <v>97</v>
      </c>
      <c r="C2021" s="37" t="s">
        <v>508</v>
      </c>
      <c r="D2021" s="20" t="s">
        <v>13</v>
      </c>
      <c r="E2021" s="38">
        <v>1.5</v>
      </c>
      <c r="F2021" s="22">
        <v>435000.0</v>
      </c>
      <c r="G2021" s="16">
        <f t="shared" si="134"/>
        <v>652500</v>
      </c>
      <c r="H2021" s="17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>
      <c r="A2022" s="10">
        <v>3.0</v>
      </c>
      <c r="B2022" s="23" t="s">
        <v>14</v>
      </c>
      <c r="C2022" s="17"/>
      <c r="D2022" s="17"/>
      <c r="E2022" s="17"/>
      <c r="F2022" s="17"/>
      <c r="G2022" s="24">
        <f t="shared" si="134"/>
        <v>0</v>
      </c>
      <c r="H2022" s="17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>
      <c r="A2023" s="25" t="s">
        <v>15</v>
      </c>
      <c r="B2023" s="2"/>
      <c r="C2023" s="2"/>
      <c r="D2023" s="2"/>
      <c r="E2023" s="2"/>
      <c r="F2023" s="2"/>
      <c r="G2023" s="3"/>
      <c r="H2023" s="26">
        <f>SUM(G2020:G2022)</f>
        <v>1267800</v>
      </c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>
      <c r="A2024" s="25" t="s">
        <v>16</v>
      </c>
      <c r="B2024" s="2"/>
      <c r="C2024" s="2"/>
      <c r="D2024" s="2"/>
      <c r="E2024" s="2"/>
      <c r="F2024" s="2"/>
      <c r="G2024" s="3"/>
      <c r="H2024" s="26">
        <f>MAX(0,H2023-648000)</f>
        <v>619800</v>
      </c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>
      <c r="A2025" s="27" t="s">
        <v>17</v>
      </c>
      <c r="B2025" s="2"/>
      <c r="C2025" s="2"/>
      <c r="D2025" s="2"/>
      <c r="E2025" s="2"/>
      <c r="F2025" s="2"/>
      <c r="G2025" s="3"/>
      <c r="H2025" s="28">
        <v>649000.0</v>
      </c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>
      <c r="A2026" s="1" t="s">
        <v>18</v>
      </c>
      <c r="B2026" s="2"/>
      <c r="C2026" s="2"/>
      <c r="D2026" s="2"/>
      <c r="E2026" s="2"/>
      <c r="F2026" s="2"/>
      <c r="G2026" s="2"/>
      <c r="H2026" s="3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32">
      <c r="A2032" s="1" t="s">
        <v>0</v>
      </c>
      <c r="B2032" s="2"/>
      <c r="C2032" s="2"/>
      <c r="D2032" s="2"/>
      <c r="E2032" s="2"/>
      <c r="F2032" s="2"/>
      <c r="G2032" s="2"/>
      <c r="H2032" s="3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>
      <c r="A2033" s="6" t="s">
        <v>509</v>
      </c>
      <c r="B2033" s="2"/>
      <c r="C2033" s="2"/>
      <c r="D2033" s="2"/>
      <c r="E2033" s="2"/>
      <c r="F2033" s="2"/>
      <c r="G2033" s="2"/>
      <c r="H2033" s="3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>
      <c r="A2034" s="7" t="s">
        <v>2</v>
      </c>
      <c r="B2034" s="7" t="s">
        <v>3</v>
      </c>
      <c r="C2034" s="7" t="s">
        <v>4</v>
      </c>
      <c r="D2034" s="7" t="s">
        <v>5</v>
      </c>
      <c r="E2034" s="7" t="s">
        <v>6</v>
      </c>
      <c r="F2034" s="8" t="s">
        <v>7</v>
      </c>
      <c r="G2034" s="7" t="s">
        <v>8</v>
      </c>
      <c r="H2034" s="9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>
      <c r="A2035" s="10">
        <v>1.0</v>
      </c>
      <c r="B2035" s="33" t="s">
        <v>310</v>
      </c>
      <c r="C2035" s="34" t="s">
        <v>510</v>
      </c>
      <c r="D2035" s="13" t="s">
        <v>11</v>
      </c>
      <c r="E2035" s="35">
        <v>2.0</v>
      </c>
      <c r="F2035" s="15">
        <v>293000.0</v>
      </c>
      <c r="G2035" s="16">
        <f t="shared" ref="G2035:G2037" si="135">IFERROR(E2035*F2035,0)</f>
        <v>586000</v>
      </c>
      <c r="H2035" s="17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>
      <c r="A2036" s="10">
        <v>2.0</v>
      </c>
      <c r="B2036" s="36" t="s">
        <v>511</v>
      </c>
      <c r="C2036" s="37" t="s">
        <v>512</v>
      </c>
      <c r="D2036" s="20" t="s">
        <v>13</v>
      </c>
      <c r="E2036" s="38">
        <v>1.5</v>
      </c>
      <c r="F2036" s="22">
        <v>435000.0</v>
      </c>
      <c r="G2036" s="16">
        <f t="shared" si="135"/>
        <v>652500</v>
      </c>
      <c r="H2036" s="17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>
      <c r="A2037" s="10">
        <v>3.0</v>
      </c>
      <c r="B2037" s="23" t="s">
        <v>14</v>
      </c>
      <c r="C2037" s="17"/>
      <c r="D2037" s="17"/>
      <c r="E2037" s="17"/>
      <c r="F2037" s="17"/>
      <c r="G2037" s="24">
        <f t="shared" si="135"/>
        <v>0</v>
      </c>
      <c r="H2037" s="17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>
      <c r="A2038" s="25" t="s">
        <v>15</v>
      </c>
      <c r="B2038" s="2"/>
      <c r="C2038" s="2"/>
      <c r="D2038" s="2"/>
      <c r="E2038" s="2"/>
      <c r="F2038" s="2"/>
      <c r="G2038" s="3"/>
      <c r="H2038" s="26">
        <f>SUM(G2035:G2037)</f>
        <v>1238500</v>
      </c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>
      <c r="A2039" s="25" t="s">
        <v>16</v>
      </c>
      <c r="B2039" s="2"/>
      <c r="C2039" s="2"/>
      <c r="D2039" s="2"/>
      <c r="E2039" s="2"/>
      <c r="F2039" s="2"/>
      <c r="G2039" s="3"/>
      <c r="H2039" s="26">
        <f>MAX(0,H2038-648000)</f>
        <v>590500</v>
      </c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>
      <c r="A2040" s="27" t="s">
        <v>17</v>
      </c>
      <c r="B2040" s="2"/>
      <c r="C2040" s="2"/>
      <c r="D2040" s="2"/>
      <c r="E2040" s="2"/>
      <c r="F2040" s="2"/>
      <c r="G2040" s="3"/>
      <c r="H2040" s="28">
        <v>649000.0</v>
      </c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>
      <c r="A2041" s="1" t="s">
        <v>18</v>
      </c>
      <c r="B2041" s="2"/>
      <c r="C2041" s="2"/>
      <c r="D2041" s="2"/>
      <c r="E2041" s="2"/>
      <c r="F2041" s="2"/>
      <c r="G2041" s="2"/>
      <c r="H2041" s="3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8">
      <c r="A2048" s="1" t="s">
        <v>0</v>
      </c>
      <c r="B2048" s="2"/>
      <c r="C2048" s="2"/>
      <c r="D2048" s="2"/>
      <c r="E2048" s="2"/>
      <c r="F2048" s="2"/>
      <c r="G2048" s="2"/>
      <c r="H2048" s="3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>
      <c r="A2049" s="6" t="s">
        <v>513</v>
      </c>
      <c r="B2049" s="2"/>
      <c r="C2049" s="2"/>
      <c r="D2049" s="2"/>
      <c r="E2049" s="2"/>
      <c r="F2049" s="2"/>
      <c r="G2049" s="2"/>
      <c r="H2049" s="3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>
      <c r="A2050" s="7" t="s">
        <v>2</v>
      </c>
      <c r="B2050" s="7" t="s">
        <v>3</v>
      </c>
      <c r="C2050" s="7" t="s">
        <v>4</v>
      </c>
      <c r="D2050" s="7" t="s">
        <v>5</v>
      </c>
      <c r="E2050" s="7" t="s">
        <v>6</v>
      </c>
      <c r="F2050" s="8" t="s">
        <v>7</v>
      </c>
      <c r="G2050" s="7" t="s">
        <v>8</v>
      </c>
      <c r="H2050" s="9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>
      <c r="A2051" s="10">
        <v>1.0</v>
      </c>
      <c r="B2051" s="33" t="s">
        <v>94</v>
      </c>
      <c r="C2051" s="34" t="s">
        <v>514</v>
      </c>
      <c r="D2051" s="13" t="s">
        <v>11</v>
      </c>
      <c r="E2051" s="35">
        <v>2.85</v>
      </c>
      <c r="F2051" s="15">
        <v>293000.0</v>
      </c>
      <c r="G2051" s="16">
        <f t="shared" ref="G2051:G2053" si="136">IFERROR(E2051*F2051,0)</f>
        <v>835050</v>
      </c>
      <c r="H2051" s="17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>
      <c r="A2052" s="10">
        <v>2.0</v>
      </c>
      <c r="B2052" s="36" t="s">
        <v>72</v>
      </c>
      <c r="C2052" s="37" t="s">
        <v>515</v>
      </c>
      <c r="D2052" s="20" t="s">
        <v>13</v>
      </c>
      <c r="E2052" s="38">
        <v>0.55</v>
      </c>
      <c r="F2052" s="22">
        <v>435000.0</v>
      </c>
      <c r="G2052" s="16">
        <f t="shared" si="136"/>
        <v>239250</v>
      </c>
      <c r="H2052" s="17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>
      <c r="A2053" s="10">
        <v>3.0</v>
      </c>
      <c r="B2053" s="23" t="s">
        <v>14</v>
      </c>
      <c r="C2053" s="17"/>
      <c r="D2053" s="17"/>
      <c r="E2053" s="17"/>
      <c r="F2053" s="17"/>
      <c r="G2053" s="24">
        <f t="shared" si="136"/>
        <v>0</v>
      </c>
      <c r="H2053" s="17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>
      <c r="A2054" s="25" t="s">
        <v>15</v>
      </c>
      <c r="B2054" s="2"/>
      <c r="C2054" s="2"/>
      <c r="D2054" s="2"/>
      <c r="E2054" s="2"/>
      <c r="F2054" s="2"/>
      <c r="G2054" s="3"/>
      <c r="H2054" s="26">
        <f>SUM(G2051:G2053)</f>
        <v>1074300</v>
      </c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>
      <c r="A2055" s="25" t="s">
        <v>16</v>
      </c>
      <c r="B2055" s="2"/>
      <c r="C2055" s="2"/>
      <c r="D2055" s="2"/>
      <c r="E2055" s="2"/>
      <c r="F2055" s="2"/>
      <c r="G2055" s="3"/>
      <c r="H2055" s="26">
        <f>MAX(0,H2054-648000)</f>
        <v>426300</v>
      </c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>
      <c r="A2056" s="27" t="s">
        <v>17</v>
      </c>
      <c r="B2056" s="2"/>
      <c r="C2056" s="2"/>
      <c r="D2056" s="2"/>
      <c r="E2056" s="2"/>
      <c r="F2056" s="2"/>
      <c r="G2056" s="3"/>
      <c r="H2056" s="28">
        <v>649000.0</v>
      </c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>
      <c r="A2057" s="1" t="s">
        <v>18</v>
      </c>
      <c r="B2057" s="2"/>
      <c r="C2057" s="2"/>
      <c r="D2057" s="2"/>
      <c r="E2057" s="2"/>
      <c r="F2057" s="2"/>
      <c r="G2057" s="2"/>
      <c r="H2057" s="3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63">
      <c r="A2063" s="1" t="s">
        <v>0</v>
      </c>
      <c r="B2063" s="2"/>
      <c r="C2063" s="2"/>
      <c r="D2063" s="2"/>
      <c r="E2063" s="2"/>
      <c r="F2063" s="2"/>
      <c r="G2063" s="2"/>
      <c r="H2063" s="3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>
      <c r="A2064" s="6" t="s">
        <v>516</v>
      </c>
      <c r="B2064" s="2"/>
      <c r="C2064" s="2"/>
      <c r="D2064" s="2"/>
      <c r="E2064" s="2"/>
      <c r="F2064" s="2"/>
      <c r="G2064" s="2"/>
      <c r="H2064" s="3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>
      <c r="A2065" s="7" t="s">
        <v>2</v>
      </c>
      <c r="B2065" s="7" t="s">
        <v>3</v>
      </c>
      <c r="C2065" s="7" t="s">
        <v>4</v>
      </c>
      <c r="D2065" s="7" t="s">
        <v>5</v>
      </c>
      <c r="E2065" s="7" t="s">
        <v>6</v>
      </c>
      <c r="F2065" s="8" t="s">
        <v>7</v>
      </c>
      <c r="G2065" s="7" t="s">
        <v>8</v>
      </c>
      <c r="H2065" s="9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>
      <c r="A2066" s="10">
        <v>1.0</v>
      </c>
      <c r="B2066" s="33" t="s">
        <v>289</v>
      </c>
      <c r="C2066" s="34" t="s">
        <v>495</v>
      </c>
      <c r="D2066" s="13" t="s">
        <v>11</v>
      </c>
      <c r="E2066" s="35">
        <v>2.44</v>
      </c>
      <c r="F2066" s="15">
        <v>293000.0</v>
      </c>
      <c r="G2066" s="16">
        <f t="shared" ref="G2066:G2068" si="137">IFERROR(E2066*F2066,0)</f>
        <v>714920</v>
      </c>
      <c r="H2066" s="17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>
      <c r="A2067" s="10">
        <v>2.0</v>
      </c>
      <c r="B2067" s="36" t="s">
        <v>218</v>
      </c>
      <c r="C2067" s="37" t="s">
        <v>517</v>
      </c>
      <c r="D2067" s="20" t="s">
        <v>13</v>
      </c>
      <c r="E2067" s="38">
        <v>1.0</v>
      </c>
      <c r="F2067" s="22">
        <v>435000.0</v>
      </c>
      <c r="G2067" s="16">
        <f t="shared" si="137"/>
        <v>435000</v>
      </c>
      <c r="H2067" s="17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>
      <c r="A2068" s="10">
        <v>3.0</v>
      </c>
      <c r="B2068" s="23" t="s">
        <v>14</v>
      </c>
      <c r="C2068" s="17"/>
      <c r="D2068" s="17"/>
      <c r="E2068" s="17"/>
      <c r="F2068" s="17"/>
      <c r="G2068" s="24">
        <f t="shared" si="137"/>
        <v>0</v>
      </c>
      <c r="H2068" s="17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>
      <c r="A2069" s="25" t="s">
        <v>15</v>
      </c>
      <c r="B2069" s="2"/>
      <c r="C2069" s="2"/>
      <c r="D2069" s="2"/>
      <c r="E2069" s="2"/>
      <c r="F2069" s="2"/>
      <c r="G2069" s="3"/>
      <c r="H2069" s="26">
        <f>SUM(G2066:G2068)</f>
        <v>1149920</v>
      </c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>
      <c r="A2070" s="25" t="s">
        <v>16</v>
      </c>
      <c r="B2070" s="2"/>
      <c r="C2070" s="2"/>
      <c r="D2070" s="2"/>
      <c r="E2070" s="2"/>
      <c r="F2070" s="2"/>
      <c r="G2070" s="3"/>
      <c r="H2070" s="26">
        <f>MAX(0,H2069-648000)</f>
        <v>501920</v>
      </c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>
      <c r="A2071" s="27" t="s">
        <v>17</v>
      </c>
      <c r="B2071" s="2"/>
      <c r="C2071" s="2"/>
      <c r="D2071" s="2"/>
      <c r="E2071" s="2"/>
      <c r="F2071" s="2"/>
      <c r="G2071" s="3"/>
      <c r="H2071" s="28">
        <v>649000.0</v>
      </c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>
      <c r="A2072" s="1" t="s">
        <v>18</v>
      </c>
      <c r="B2072" s="2"/>
      <c r="C2072" s="2"/>
      <c r="D2072" s="2"/>
      <c r="E2072" s="2"/>
      <c r="F2072" s="2"/>
      <c r="G2072" s="2"/>
      <c r="H2072" s="3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8">
      <c r="A2078" s="1" t="s">
        <v>0</v>
      </c>
      <c r="B2078" s="2"/>
      <c r="C2078" s="2"/>
      <c r="D2078" s="2"/>
      <c r="E2078" s="2"/>
      <c r="F2078" s="2"/>
      <c r="G2078" s="2"/>
      <c r="H2078" s="3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>
      <c r="A2079" s="6" t="s">
        <v>518</v>
      </c>
      <c r="B2079" s="2"/>
      <c r="C2079" s="2"/>
      <c r="D2079" s="2"/>
      <c r="E2079" s="2"/>
      <c r="F2079" s="2"/>
      <c r="G2079" s="2"/>
      <c r="H2079" s="3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>
      <c r="A2080" s="7" t="s">
        <v>2</v>
      </c>
      <c r="B2080" s="7" t="s">
        <v>3</v>
      </c>
      <c r="C2080" s="7" t="s">
        <v>4</v>
      </c>
      <c r="D2080" s="7" t="s">
        <v>5</v>
      </c>
      <c r="E2080" s="7" t="s">
        <v>6</v>
      </c>
      <c r="F2080" s="8" t="s">
        <v>7</v>
      </c>
      <c r="G2080" s="7" t="s">
        <v>8</v>
      </c>
      <c r="H2080" s="9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>
      <c r="A2081" s="10">
        <v>1.0</v>
      </c>
      <c r="B2081" s="33" t="s">
        <v>212</v>
      </c>
      <c r="C2081" s="34" t="s">
        <v>519</v>
      </c>
      <c r="D2081" s="13" t="s">
        <v>11</v>
      </c>
      <c r="E2081" s="35">
        <v>2.5</v>
      </c>
      <c r="F2081" s="15">
        <v>293000.0</v>
      </c>
      <c r="G2081" s="16">
        <f t="shared" ref="G2081:G2083" si="138">IFERROR(E2081*F2081,0)</f>
        <v>732500</v>
      </c>
      <c r="H2081" s="17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>
      <c r="A2082" s="10">
        <v>2.0</v>
      </c>
      <c r="B2082" s="36" t="s">
        <v>254</v>
      </c>
      <c r="C2082" s="37" t="s">
        <v>520</v>
      </c>
      <c r="D2082" s="20" t="s">
        <v>13</v>
      </c>
      <c r="E2082" s="38">
        <v>1.0</v>
      </c>
      <c r="F2082" s="22">
        <v>435000.0</v>
      </c>
      <c r="G2082" s="16">
        <f t="shared" si="138"/>
        <v>435000</v>
      </c>
      <c r="H2082" s="17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>
      <c r="A2083" s="10">
        <v>3.0</v>
      </c>
      <c r="B2083" s="23" t="s">
        <v>14</v>
      </c>
      <c r="C2083" s="17"/>
      <c r="D2083" s="17"/>
      <c r="E2083" s="17"/>
      <c r="F2083" s="17"/>
      <c r="G2083" s="24">
        <f t="shared" si="138"/>
        <v>0</v>
      </c>
      <c r="H2083" s="17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>
      <c r="A2084" s="25" t="s">
        <v>15</v>
      </c>
      <c r="B2084" s="2"/>
      <c r="C2084" s="2"/>
      <c r="D2084" s="2"/>
      <c r="E2084" s="2"/>
      <c r="F2084" s="2"/>
      <c r="G2084" s="3"/>
      <c r="H2084" s="26">
        <f>SUM(G2081:G2083)</f>
        <v>1167500</v>
      </c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>
      <c r="A2085" s="25" t="s">
        <v>16</v>
      </c>
      <c r="B2085" s="2"/>
      <c r="C2085" s="2"/>
      <c r="D2085" s="2"/>
      <c r="E2085" s="2"/>
      <c r="F2085" s="2"/>
      <c r="G2085" s="3"/>
      <c r="H2085" s="26">
        <f>MAX(0,H2084-648000)</f>
        <v>519500</v>
      </c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>
      <c r="A2086" s="27" t="s">
        <v>17</v>
      </c>
      <c r="B2086" s="2"/>
      <c r="C2086" s="2"/>
      <c r="D2086" s="2"/>
      <c r="E2086" s="2"/>
      <c r="F2086" s="2"/>
      <c r="G2086" s="3"/>
      <c r="H2086" s="28">
        <v>649000.0</v>
      </c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>
      <c r="A2087" s="1" t="s">
        <v>18</v>
      </c>
      <c r="B2087" s="2"/>
      <c r="C2087" s="2"/>
      <c r="D2087" s="2"/>
      <c r="E2087" s="2"/>
      <c r="F2087" s="2"/>
      <c r="G2087" s="2"/>
      <c r="H2087" s="3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93">
      <c r="A2093" s="1" t="s">
        <v>0</v>
      </c>
      <c r="B2093" s="2"/>
      <c r="C2093" s="2"/>
      <c r="D2093" s="2"/>
      <c r="E2093" s="2"/>
      <c r="F2093" s="2"/>
      <c r="G2093" s="2"/>
      <c r="H2093" s="3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>
      <c r="A2094" s="6" t="s">
        <v>521</v>
      </c>
      <c r="B2094" s="2"/>
      <c r="C2094" s="2"/>
      <c r="D2094" s="2"/>
      <c r="E2094" s="2"/>
      <c r="F2094" s="2"/>
      <c r="G2094" s="2"/>
      <c r="H2094" s="3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>
      <c r="A2095" s="7" t="s">
        <v>2</v>
      </c>
      <c r="B2095" s="7" t="s">
        <v>3</v>
      </c>
      <c r="C2095" s="7" t="s">
        <v>4</v>
      </c>
      <c r="D2095" s="7" t="s">
        <v>5</v>
      </c>
      <c r="E2095" s="7" t="s">
        <v>6</v>
      </c>
      <c r="F2095" s="8" t="s">
        <v>7</v>
      </c>
      <c r="G2095" s="7" t="s">
        <v>8</v>
      </c>
      <c r="H2095" s="9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>
      <c r="A2096" s="10">
        <v>1.0</v>
      </c>
      <c r="B2096" s="33" t="s">
        <v>9</v>
      </c>
      <c r="C2096" s="34" t="s">
        <v>522</v>
      </c>
      <c r="D2096" s="13" t="s">
        <v>11</v>
      </c>
      <c r="E2096" s="35">
        <v>2.9</v>
      </c>
      <c r="F2096" s="15">
        <v>293000.0</v>
      </c>
      <c r="G2096" s="16">
        <f t="shared" ref="G2096:G2098" si="139">IFERROR(E2096*F2096,0)</f>
        <v>849700</v>
      </c>
      <c r="H2096" s="17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>
      <c r="A2097" s="10">
        <v>2.0</v>
      </c>
      <c r="B2097" s="36" t="s">
        <v>12</v>
      </c>
      <c r="C2097" s="37" t="s">
        <v>523</v>
      </c>
      <c r="D2097" s="20" t="s">
        <v>13</v>
      </c>
      <c r="E2097" s="38">
        <v>0.78</v>
      </c>
      <c r="F2097" s="22">
        <v>435000.0</v>
      </c>
      <c r="G2097" s="16">
        <f t="shared" si="139"/>
        <v>339300</v>
      </c>
      <c r="H2097" s="17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>
      <c r="A2098" s="10">
        <v>3.0</v>
      </c>
      <c r="B2098" s="23" t="s">
        <v>14</v>
      </c>
      <c r="C2098" s="17"/>
      <c r="D2098" s="17"/>
      <c r="E2098" s="17"/>
      <c r="F2098" s="17"/>
      <c r="G2098" s="24">
        <f t="shared" si="139"/>
        <v>0</v>
      </c>
      <c r="H2098" s="17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>
      <c r="A2099" s="25" t="s">
        <v>15</v>
      </c>
      <c r="B2099" s="2"/>
      <c r="C2099" s="2"/>
      <c r="D2099" s="2"/>
      <c r="E2099" s="2"/>
      <c r="F2099" s="2"/>
      <c r="G2099" s="3"/>
      <c r="H2099" s="26">
        <f>SUM(G2096:G2098)</f>
        <v>1189000</v>
      </c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>
      <c r="A2100" s="25" t="s">
        <v>16</v>
      </c>
      <c r="B2100" s="2"/>
      <c r="C2100" s="2"/>
      <c r="D2100" s="2"/>
      <c r="E2100" s="2"/>
      <c r="F2100" s="2"/>
      <c r="G2100" s="3"/>
      <c r="H2100" s="26">
        <f>MAX(0,H2099-648000)</f>
        <v>541000</v>
      </c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>
      <c r="A2101" s="27" t="s">
        <v>17</v>
      </c>
      <c r="B2101" s="2"/>
      <c r="C2101" s="2"/>
      <c r="D2101" s="2"/>
      <c r="E2101" s="2"/>
      <c r="F2101" s="2"/>
      <c r="G2101" s="3"/>
      <c r="H2101" s="28">
        <v>649000.0</v>
      </c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>
      <c r="A2102" s="1" t="s">
        <v>18</v>
      </c>
      <c r="B2102" s="2"/>
      <c r="C2102" s="2"/>
      <c r="D2102" s="2"/>
      <c r="E2102" s="2"/>
      <c r="F2102" s="2"/>
      <c r="G2102" s="2"/>
      <c r="H2102" s="3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8">
      <c r="A2108" s="1" t="s">
        <v>0</v>
      </c>
      <c r="B2108" s="2"/>
      <c r="C2108" s="2"/>
      <c r="D2108" s="2"/>
      <c r="E2108" s="2"/>
      <c r="F2108" s="2"/>
      <c r="G2108" s="2"/>
      <c r="H2108" s="3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>
      <c r="A2109" s="6" t="s">
        <v>524</v>
      </c>
      <c r="B2109" s="2"/>
      <c r="C2109" s="2"/>
      <c r="D2109" s="2"/>
      <c r="E2109" s="2"/>
      <c r="F2109" s="2"/>
      <c r="G2109" s="2"/>
      <c r="H2109" s="3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>
      <c r="A2110" s="7" t="s">
        <v>2</v>
      </c>
      <c r="B2110" s="7" t="s">
        <v>3</v>
      </c>
      <c r="C2110" s="7" t="s">
        <v>4</v>
      </c>
      <c r="D2110" s="7" t="s">
        <v>5</v>
      </c>
      <c r="E2110" s="7" t="s">
        <v>6</v>
      </c>
      <c r="F2110" s="8" t="s">
        <v>7</v>
      </c>
      <c r="G2110" s="7" t="s">
        <v>8</v>
      </c>
      <c r="H2110" s="9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>
      <c r="A2111" s="10">
        <v>1.0</v>
      </c>
      <c r="B2111" s="33" t="s">
        <v>58</v>
      </c>
      <c r="C2111" s="34" t="s">
        <v>525</v>
      </c>
      <c r="D2111" s="13" t="s">
        <v>11</v>
      </c>
      <c r="E2111" s="35">
        <v>2.3</v>
      </c>
      <c r="F2111" s="15">
        <v>293000.0</v>
      </c>
      <c r="G2111" s="16">
        <f t="shared" ref="G2111:G2113" si="140">IFERROR(E2111*F2111,0)</f>
        <v>673900</v>
      </c>
      <c r="H2111" s="17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>
      <c r="A2112" s="10">
        <v>2.0</v>
      </c>
      <c r="B2112" s="36" t="s">
        <v>526</v>
      </c>
      <c r="C2112" s="37" t="s">
        <v>527</v>
      </c>
      <c r="D2112" s="20" t="s">
        <v>13</v>
      </c>
      <c r="E2112" s="38">
        <v>1.5</v>
      </c>
      <c r="F2112" s="22">
        <v>435000.0</v>
      </c>
      <c r="G2112" s="16">
        <f t="shared" si="140"/>
        <v>652500</v>
      </c>
      <c r="H2112" s="17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>
      <c r="A2113" s="10">
        <v>3.0</v>
      </c>
      <c r="B2113" s="23" t="s">
        <v>14</v>
      </c>
      <c r="C2113" s="17"/>
      <c r="D2113" s="17"/>
      <c r="E2113" s="17"/>
      <c r="F2113" s="17"/>
      <c r="G2113" s="24">
        <f t="shared" si="140"/>
        <v>0</v>
      </c>
      <c r="H2113" s="17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>
      <c r="A2114" s="25" t="s">
        <v>15</v>
      </c>
      <c r="B2114" s="2"/>
      <c r="C2114" s="2"/>
      <c r="D2114" s="2"/>
      <c r="E2114" s="2"/>
      <c r="F2114" s="2"/>
      <c r="G2114" s="3"/>
      <c r="H2114" s="26">
        <f>SUM(G2111:G2113)</f>
        <v>1326400</v>
      </c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>
      <c r="A2115" s="25" t="s">
        <v>16</v>
      </c>
      <c r="B2115" s="2"/>
      <c r="C2115" s="2"/>
      <c r="D2115" s="2"/>
      <c r="E2115" s="2"/>
      <c r="F2115" s="2"/>
      <c r="G2115" s="3"/>
      <c r="H2115" s="26">
        <f>MAX(0,H2114-648000)</f>
        <v>678400</v>
      </c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>
      <c r="A2116" s="27" t="s">
        <v>17</v>
      </c>
      <c r="B2116" s="2"/>
      <c r="C2116" s="2"/>
      <c r="D2116" s="2"/>
      <c r="E2116" s="2"/>
      <c r="F2116" s="2"/>
      <c r="G2116" s="3"/>
      <c r="H2116" s="28">
        <v>649000.0</v>
      </c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>
      <c r="A2117" s="1" t="s">
        <v>18</v>
      </c>
      <c r="B2117" s="2"/>
      <c r="C2117" s="2"/>
      <c r="D2117" s="2"/>
      <c r="E2117" s="2"/>
      <c r="F2117" s="2"/>
      <c r="G2117" s="2"/>
      <c r="H2117" s="3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23">
      <c r="A2123" s="1" t="s">
        <v>0</v>
      </c>
      <c r="B2123" s="2"/>
      <c r="C2123" s="2"/>
      <c r="D2123" s="2"/>
      <c r="E2123" s="2"/>
      <c r="F2123" s="2"/>
      <c r="G2123" s="2"/>
      <c r="H2123" s="3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>
      <c r="A2124" s="6" t="s">
        <v>528</v>
      </c>
      <c r="B2124" s="2"/>
      <c r="C2124" s="2"/>
      <c r="D2124" s="2"/>
      <c r="E2124" s="2"/>
      <c r="F2124" s="2"/>
      <c r="G2124" s="2"/>
      <c r="H2124" s="3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>
      <c r="A2125" s="7" t="s">
        <v>2</v>
      </c>
      <c r="B2125" s="7" t="s">
        <v>3</v>
      </c>
      <c r="C2125" s="7" t="s">
        <v>4</v>
      </c>
      <c r="D2125" s="7" t="s">
        <v>5</v>
      </c>
      <c r="E2125" s="7" t="s">
        <v>6</v>
      </c>
      <c r="F2125" s="8" t="s">
        <v>7</v>
      </c>
      <c r="G2125" s="7" t="s">
        <v>8</v>
      </c>
      <c r="H2125" s="9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>
      <c r="A2126" s="10">
        <v>1.0</v>
      </c>
      <c r="B2126" s="33" t="s">
        <v>529</v>
      </c>
      <c r="C2126" s="34" t="s">
        <v>161</v>
      </c>
      <c r="D2126" s="13" t="s">
        <v>11</v>
      </c>
      <c r="E2126" s="35">
        <v>1.94</v>
      </c>
      <c r="F2126" s="15">
        <v>293000.0</v>
      </c>
      <c r="G2126" s="16">
        <f t="shared" ref="G2126:G2128" si="141">IFERROR(E2126*F2126,0)</f>
        <v>568420</v>
      </c>
      <c r="H2126" s="17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>
      <c r="A2127" s="10">
        <v>2.0</v>
      </c>
      <c r="B2127" s="36" t="s">
        <v>202</v>
      </c>
      <c r="C2127" s="37" t="s">
        <v>530</v>
      </c>
      <c r="D2127" s="20" t="s">
        <v>13</v>
      </c>
      <c r="E2127" s="38">
        <v>1.4</v>
      </c>
      <c r="F2127" s="22">
        <v>435000.0</v>
      </c>
      <c r="G2127" s="16">
        <f t="shared" si="141"/>
        <v>609000</v>
      </c>
      <c r="H2127" s="17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>
      <c r="A2128" s="10">
        <v>3.0</v>
      </c>
      <c r="B2128" s="23" t="s">
        <v>14</v>
      </c>
      <c r="C2128" s="17"/>
      <c r="D2128" s="17"/>
      <c r="E2128" s="17"/>
      <c r="F2128" s="17"/>
      <c r="G2128" s="24">
        <f t="shared" si="141"/>
        <v>0</v>
      </c>
      <c r="H2128" s="17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>
      <c r="A2129" s="25" t="s">
        <v>15</v>
      </c>
      <c r="B2129" s="2"/>
      <c r="C2129" s="2"/>
      <c r="D2129" s="2"/>
      <c r="E2129" s="2"/>
      <c r="F2129" s="2"/>
      <c r="G2129" s="3"/>
      <c r="H2129" s="26">
        <f>SUM(G2126:G2128)</f>
        <v>1177420</v>
      </c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>
      <c r="A2130" s="25" t="s">
        <v>16</v>
      </c>
      <c r="B2130" s="2"/>
      <c r="C2130" s="2"/>
      <c r="D2130" s="2"/>
      <c r="E2130" s="2"/>
      <c r="F2130" s="2"/>
      <c r="G2130" s="3"/>
      <c r="H2130" s="26">
        <f>MAX(0,H2129-648000)</f>
        <v>529420</v>
      </c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>
      <c r="A2131" s="27" t="s">
        <v>17</v>
      </c>
      <c r="B2131" s="2"/>
      <c r="C2131" s="2"/>
      <c r="D2131" s="2"/>
      <c r="E2131" s="2"/>
      <c r="F2131" s="2"/>
      <c r="G2131" s="3"/>
      <c r="H2131" s="28">
        <v>649000.0</v>
      </c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>
      <c r="A2132" s="1" t="s">
        <v>18</v>
      </c>
      <c r="B2132" s="2"/>
      <c r="C2132" s="2"/>
      <c r="D2132" s="2"/>
      <c r="E2132" s="2"/>
      <c r="F2132" s="2"/>
      <c r="G2132" s="2"/>
      <c r="H2132" s="3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8">
      <c r="A2138" s="1" t="s">
        <v>0</v>
      </c>
      <c r="B2138" s="2"/>
      <c r="C2138" s="2"/>
      <c r="D2138" s="2"/>
      <c r="E2138" s="2"/>
      <c r="F2138" s="2"/>
      <c r="G2138" s="2"/>
      <c r="H2138" s="3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>
      <c r="A2139" s="6" t="s">
        <v>531</v>
      </c>
      <c r="B2139" s="2"/>
      <c r="C2139" s="2"/>
      <c r="D2139" s="2"/>
      <c r="E2139" s="2"/>
      <c r="F2139" s="2"/>
      <c r="G2139" s="2"/>
      <c r="H2139" s="3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>
      <c r="A2140" s="7" t="s">
        <v>2</v>
      </c>
      <c r="B2140" s="7" t="s">
        <v>3</v>
      </c>
      <c r="C2140" s="7" t="s">
        <v>4</v>
      </c>
      <c r="D2140" s="7" t="s">
        <v>5</v>
      </c>
      <c r="E2140" s="7" t="s">
        <v>6</v>
      </c>
      <c r="F2140" s="8" t="s">
        <v>7</v>
      </c>
      <c r="G2140" s="7" t="s">
        <v>8</v>
      </c>
      <c r="H2140" s="9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>
      <c r="A2141" s="10">
        <v>1.0</v>
      </c>
      <c r="B2141" s="33" t="s">
        <v>41</v>
      </c>
      <c r="C2141" s="34" t="s">
        <v>532</v>
      </c>
      <c r="D2141" s="13" t="s">
        <v>11</v>
      </c>
      <c r="E2141" s="35">
        <v>1.6</v>
      </c>
      <c r="F2141" s="15">
        <v>293000.0</v>
      </c>
      <c r="G2141" s="16">
        <f t="shared" ref="G2141:G2143" si="142">IFERROR(E2141*F2141,0)</f>
        <v>468800</v>
      </c>
      <c r="H2141" s="17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>
      <c r="A2142" s="10">
        <v>2.0</v>
      </c>
      <c r="B2142" s="36" t="s">
        <v>533</v>
      </c>
      <c r="C2142" s="37" t="s">
        <v>534</v>
      </c>
      <c r="D2142" s="20" t="s">
        <v>13</v>
      </c>
      <c r="E2142" s="38">
        <v>1.95</v>
      </c>
      <c r="F2142" s="22">
        <v>435000.0</v>
      </c>
      <c r="G2142" s="16">
        <f t="shared" si="142"/>
        <v>848250</v>
      </c>
      <c r="H2142" s="17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>
      <c r="A2143" s="10">
        <v>3.0</v>
      </c>
      <c r="B2143" s="23" t="s">
        <v>14</v>
      </c>
      <c r="C2143" s="17"/>
      <c r="D2143" s="17"/>
      <c r="E2143" s="17"/>
      <c r="F2143" s="17"/>
      <c r="G2143" s="24">
        <f t="shared" si="142"/>
        <v>0</v>
      </c>
      <c r="H2143" s="17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>
      <c r="A2144" s="25" t="s">
        <v>15</v>
      </c>
      <c r="B2144" s="2"/>
      <c r="C2144" s="2"/>
      <c r="D2144" s="2"/>
      <c r="E2144" s="2"/>
      <c r="F2144" s="2"/>
      <c r="G2144" s="3"/>
      <c r="H2144" s="26">
        <f>SUM(G2141:G2143)</f>
        <v>1317050</v>
      </c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>
      <c r="A2145" s="25" t="s">
        <v>16</v>
      </c>
      <c r="B2145" s="2"/>
      <c r="C2145" s="2"/>
      <c r="D2145" s="2"/>
      <c r="E2145" s="2"/>
      <c r="F2145" s="2"/>
      <c r="G2145" s="3"/>
      <c r="H2145" s="26">
        <f>MAX(0,H2144-648000)</f>
        <v>669050</v>
      </c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>
      <c r="A2146" s="27" t="s">
        <v>17</v>
      </c>
      <c r="B2146" s="2"/>
      <c r="C2146" s="2"/>
      <c r="D2146" s="2"/>
      <c r="E2146" s="2"/>
      <c r="F2146" s="2"/>
      <c r="G2146" s="3"/>
      <c r="H2146" s="28">
        <v>649000.0</v>
      </c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>
      <c r="A2147" s="1" t="s">
        <v>18</v>
      </c>
      <c r="B2147" s="2"/>
      <c r="C2147" s="2"/>
      <c r="D2147" s="2"/>
      <c r="E2147" s="2"/>
      <c r="F2147" s="2"/>
      <c r="G2147" s="2"/>
      <c r="H2147" s="3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52">
      <c r="A2152" s="1" t="s">
        <v>0</v>
      </c>
      <c r="B2152" s="2"/>
      <c r="C2152" s="2"/>
      <c r="D2152" s="2"/>
      <c r="E2152" s="2"/>
      <c r="F2152" s="2"/>
      <c r="G2152" s="2"/>
      <c r="H2152" s="3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>
      <c r="A2153" s="6" t="s">
        <v>535</v>
      </c>
      <c r="B2153" s="2"/>
      <c r="C2153" s="2"/>
      <c r="D2153" s="2"/>
      <c r="E2153" s="2"/>
      <c r="F2153" s="2"/>
      <c r="G2153" s="2"/>
      <c r="H2153" s="3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>
      <c r="A2154" s="7" t="s">
        <v>2</v>
      </c>
      <c r="B2154" s="7" t="s">
        <v>3</v>
      </c>
      <c r="C2154" s="7" t="s">
        <v>4</v>
      </c>
      <c r="D2154" s="7" t="s">
        <v>5</v>
      </c>
      <c r="E2154" s="7" t="s">
        <v>6</v>
      </c>
      <c r="F2154" s="8" t="s">
        <v>7</v>
      </c>
      <c r="G2154" s="7" t="s">
        <v>8</v>
      </c>
      <c r="H2154" s="9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>
      <c r="A2155" s="10">
        <v>1.0</v>
      </c>
      <c r="B2155" s="33" t="s">
        <v>34</v>
      </c>
      <c r="C2155" s="34" t="s">
        <v>536</v>
      </c>
      <c r="D2155" s="13" t="s">
        <v>11</v>
      </c>
      <c r="E2155" s="35">
        <v>1.5</v>
      </c>
      <c r="F2155" s="15">
        <v>293000.0</v>
      </c>
      <c r="G2155" s="16">
        <f t="shared" ref="G2155:G2157" si="143">IFERROR(E2155*F2155,0)</f>
        <v>439500</v>
      </c>
      <c r="H2155" s="17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>
      <c r="A2156" s="10">
        <v>2.0</v>
      </c>
      <c r="B2156" s="36" t="s">
        <v>12</v>
      </c>
      <c r="C2156" s="37" t="s">
        <v>537</v>
      </c>
      <c r="D2156" s="20" t="s">
        <v>13</v>
      </c>
      <c r="E2156" s="38">
        <v>1.93</v>
      </c>
      <c r="F2156" s="22">
        <v>435000.0</v>
      </c>
      <c r="G2156" s="16">
        <f t="shared" si="143"/>
        <v>839550</v>
      </c>
      <c r="H2156" s="17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>
      <c r="A2157" s="10">
        <v>3.0</v>
      </c>
      <c r="B2157" s="23" t="s">
        <v>14</v>
      </c>
      <c r="C2157" s="17"/>
      <c r="D2157" s="17"/>
      <c r="E2157" s="17"/>
      <c r="F2157" s="17"/>
      <c r="G2157" s="24">
        <f t="shared" si="143"/>
        <v>0</v>
      </c>
      <c r="H2157" s="17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>
      <c r="A2158" s="25" t="s">
        <v>15</v>
      </c>
      <c r="B2158" s="2"/>
      <c r="C2158" s="2"/>
      <c r="D2158" s="2"/>
      <c r="E2158" s="2"/>
      <c r="F2158" s="2"/>
      <c r="G2158" s="3"/>
      <c r="H2158" s="26">
        <f>SUM(G2155:G2157)</f>
        <v>1279050</v>
      </c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>
      <c r="A2159" s="25" t="s">
        <v>16</v>
      </c>
      <c r="B2159" s="2"/>
      <c r="C2159" s="2"/>
      <c r="D2159" s="2"/>
      <c r="E2159" s="2"/>
      <c r="F2159" s="2"/>
      <c r="G2159" s="3"/>
      <c r="H2159" s="26">
        <f>MAX(0,H2158-648000)</f>
        <v>631050</v>
      </c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>
      <c r="A2160" s="27" t="s">
        <v>17</v>
      </c>
      <c r="B2160" s="2"/>
      <c r="C2160" s="2"/>
      <c r="D2160" s="2"/>
      <c r="E2160" s="2"/>
      <c r="F2160" s="2"/>
      <c r="G2160" s="3"/>
      <c r="H2160" s="28">
        <v>649000.0</v>
      </c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>
      <c r="A2161" s="1" t="s">
        <v>18</v>
      </c>
      <c r="B2161" s="2"/>
      <c r="C2161" s="2"/>
      <c r="D2161" s="2"/>
      <c r="E2161" s="2"/>
      <c r="F2161" s="2"/>
      <c r="G2161" s="2"/>
      <c r="H2161" s="3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7">
      <c r="A2167" s="1" t="s">
        <v>0</v>
      </c>
      <c r="B2167" s="2"/>
      <c r="C2167" s="2"/>
      <c r="D2167" s="2"/>
      <c r="E2167" s="2"/>
      <c r="F2167" s="2"/>
      <c r="G2167" s="2"/>
      <c r="H2167" s="3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>
      <c r="A2168" s="6" t="s">
        <v>538</v>
      </c>
      <c r="B2168" s="2"/>
      <c r="C2168" s="2"/>
      <c r="D2168" s="2"/>
      <c r="E2168" s="2"/>
      <c r="F2168" s="2"/>
      <c r="G2168" s="2"/>
      <c r="H2168" s="3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>
      <c r="A2169" s="7" t="s">
        <v>2</v>
      </c>
      <c r="B2169" s="7" t="s">
        <v>3</v>
      </c>
      <c r="C2169" s="7" t="s">
        <v>4</v>
      </c>
      <c r="D2169" s="7" t="s">
        <v>5</v>
      </c>
      <c r="E2169" s="7" t="s">
        <v>6</v>
      </c>
      <c r="F2169" s="8" t="s">
        <v>7</v>
      </c>
      <c r="G2169" s="7" t="s">
        <v>8</v>
      </c>
      <c r="H2169" s="9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>
      <c r="A2170" s="10">
        <v>1.0</v>
      </c>
      <c r="B2170" s="33" t="s">
        <v>539</v>
      </c>
      <c r="C2170" s="34" t="s">
        <v>540</v>
      </c>
      <c r="D2170" s="13" t="s">
        <v>11</v>
      </c>
      <c r="E2170" s="35">
        <v>2.0</v>
      </c>
      <c r="F2170" s="15">
        <v>293000.0</v>
      </c>
      <c r="G2170" s="16">
        <f t="shared" ref="G2170:G2172" si="144">IFERROR(E2170*F2170,0)</f>
        <v>586000</v>
      </c>
      <c r="H2170" s="17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>
      <c r="A2171" s="10">
        <v>2.0</v>
      </c>
      <c r="B2171" s="36" t="s">
        <v>541</v>
      </c>
      <c r="C2171" s="37" t="s">
        <v>542</v>
      </c>
      <c r="D2171" s="20" t="s">
        <v>13</v>
      </c>
      <c r="E2171" s="38">
        <v>1.5</v>
      </c>
      <c r="F2171" s="22">
        <v>435000.0</v>
      </c>
      <c r="G2171" s="16">
        <f t="shared" si="144"/>
        <v>652500</v>
      </c>
      <c r="H2171" s="17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>
      <c r="A2172" s="10">
        <v>3.0</v>
      </c>
      <c r="B2172" s="23" t="s">
        <v>14</v>
      </c>
      <c r="C2172" s="17"/>
      <c r="D2172" s="17"/>
      <c r="E2172" s="17"/>
      <c r="F2172" s="17"/>
      <c r="G2172" s="24">
        <f t="shared" si="144"/>
        <v>0</v>
      </c>
      <c r="H2172" s="17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>
      <c r="A2173" s="25" t="s">
        <v>15</v>
      </c>
      <c r="B2173" s="2"/>
      <c r="C2173" s="2"/>
      <c r="D2173" s="2"/>
      <c r="E2173" s="2"/>
      <c r="F2173" s="2"/>
      <c r="G2173" s="3"/>
      <c r="H2173" s="26">
        <f>SUM(G2170:G2172)</f>
        <v>1238500</v>
      </c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>
      <c r="A2174" s="25" t="s">
        <v>16</v>
      </c>
      <c r="B2174" s="2"/>
      <c r="C2174" s="2"/>
      <c r="D2174" s="2"/>
      <c r="E2174" s="2"/>
      <c r="F2174" s="2"/>
      <c r="G2174" s="3"/>
      <c r="H2174" s="26">
        <f>MAX(0,H2173-648000)</f>
        <v>590500</v>
      </c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>
      <c r="A2175" s="27" t="s">
        <v>17</v>
      </c>
      <c r="B2175" s="2"/>
      <c r="C2175" s="2"/>
      <c r="D2175" s="2"/>
      <c r="E2175" s="2"/>
      <c r="F2175" s="2"/>
      <c r="G2175" s="3"/>
      <c r="H2175" s="28">
        <v>649000.0</v>
      </c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>
      <c r="A2176" s="1" t="s">
        <v>18</v>
      </c>
      <c r="B2176" s="2"/>
      <c r="C2176" s="2"/>
      <c r="D2176" s="2"/>
      <c r="E2176" s="2"/>
      <c r="F2176" s="2"/>
      <c r="G2176" s="2"/>
      <c r="H2176" s="3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81">
      <c r="A2181" s="1" t="s">
        <v>0</v>
      </c>
      <c r="B2181" s="2"/>
      <c r="C2181" s="2"/>
      <c r="D2181" s="2"/>
      <c r="E2181" s="2"/>
      <c r="F2181" s="2"/>
      <c r="G2181" s="2"/>
      <c r="H2181" s="3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>
      <c r="A2182" s="6" t="s">
        <v>543</v>
      </c>
      <c r="B2182" s="2"/>
      <c r="C2182" s="2"/>
      <c r="D2182" s="2"/>
      <c r="E2182" s="2"/>
      <c r="F2182" s="2"/>
      <c r="G2182" s="2"/>
      <c r="H2182" s="3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>
      <c r="A2183" s="7" t="s">
        <v>2</v>
      </c>
      <c r="B2183" s="7" t="s">
        <v>3</v>
      </c>
      <c r="C2183" s="7" t="s">
        <v>4</v>
      </c>
      <c r="D2183" s="7" t="s">
        <v>5</v>
      </c>
      <c r="E2183" s="7" t="s">
        <v>6</v>
      </c>
      <c r="F2183" s="8" t="s">
        <v>7</v>
      </c>
      <c r="G2183" s="7" t="s">
        <v>8</v>
      </c>
      <c r="H2183" s="9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>
      <c r="A2184" s="10">
        <v>1.0</v>
      </c>
      <c r="B2184" s="33" t="s">
        <v>544</v>
      </c>
      <c r="C2184" s="34" t="s">
        <v>545</v>
      </c>
      <c r="D2184" s="13" t="s">
        <v>11</v>
      </c>
      <c r="E2184" s="35">
        <v>2.5</v>
      </c>
      <c r="F2184" s="15">
        <v>293000.0</v>
      </c>
      <c r="G2184" s="16">
        <f t="shared" ref="G2184:G2186" si="145">IFERROR(E2184*F2184,0)</f>
        <v>732500</v>
      </c>
      <c r="H2184" s="17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>
      <c r="A2185" s="10">
        <v>2.0</v>
      </c>
      <c r="B2185" s="36" t="s">
        <v>22</v>
      </c>
      <c r="C2185" s="37" t="s">
        <v>546</v>
      </c>
      <c r="D2185" s="20" t="s">
        <v>13</v>
      </c>
      <c r="E2185" s="38">
        <v>1.1</v>
      </c>
      <c r="F2185" s="22">
        <v>435000.0</v>
      </c>
      <c r="G2185" s="16">
        <f t="shared" si="145"/>
        <v>478500</v>
      </c>
      <c r="H2185" s="17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>
      <c r="A2186" s="10">
        <v>3.0</v>
      </c>
      <c r="B2186" s="23" t="s">
        <v>14</v>
      </c>
      <c r="C2186" s="17"/>
      <c r="D2186" s="17"/>
      <c r="E2186" s="17"/>
      <c r="F2186" s="17"/>
      <c r="G2186" s="24">
        <f t="shared" si="145"/>
        <v>0</v>
      </c>
      <c r="H2186" s="17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>
      <c r="A2187" s="25" t="s">
        <v>15</v>
      </c>
      <c r="B2187" s="2"/>
      <c r="C2187" s="2"/>
      <c r="D2187" s="2"/>
      <c r="E2187" s="2"/>
      <c r="F2187" s="2"/>
      <c r="G2187" s="3"/>
      <c r="H2187" s="26">
        <f>SUM(G2184:G2186)</f>
        <v>1211000</v>
      </c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>
      <c r="A2188" s="25" t="s">
        <v>16</v>
      </c>
      <c r="B2188" s="2"/>
      <c r="C2188" s="2"/>
      <c r="D2188" s="2"/>
      <c r="E2188" s="2"/>
      <c r="F2188" s="2"/>
      <c r="G2188" s="3"/>
      <c r="H2188" s="26">
        <f>MAX(0,H2187-648000)</f>
        <v>563000</v>
      </c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>
      <c r="A2189" s="27" t="s">
        <v>17</v>
      </c>
      <c r="B2189" s="2"/>
      <c r="C2189" s="2"/>
      <c r="D2189" s="2"/>
      <c r="E2189" s="2"/>
      <c r="F2189" s="2"/>
      <c r="G2189" s="3"/>
      <c r="H2189" s="28">
        <v>649000.0</v>
      </c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>
      <c r="A2190" s="1" t="s">
        <v>18</v>
      </c>
      <c r="B2190" s="2"/>
      <c r="C2190" s="2"/>
      <c r="D2190" s="2"/>
      <c r="E2190" s="2"/>
      <c r="F2190" s="2"/>
      <c r="G2190" s="2"/>
      <c r="H2190" s="3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200">
      <c r="A2200" s="1" t="s">
        <v>0</v>
      </c>
      <c r="B2200" s="2"/>
      <c r="C2200" s="2"/>
      <c r="D2200" s="2"/>
      <c r="E2200" s="2"/>
      <c r="F2200" s="2"/>
      <c r="G2200" s="2"/>
      <c r="H2200" s="3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>
      <c r="A2201" s="6" t="s">
        <v>547</v>
      </c>
      <c r="B2201" s="2"/>
      <c r="C2201" s="2"/>
      <c r="D2201" s="2"/>
      <c r="E2201" s="2"/>
      <c r="F2201" s="2"/>
      <c r="G2201" s="2"/>
      <c r="H2201" s="3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>
      <c r="A2202" s="7" t="s">
        <v>2</v>
      </c>
      <c r="B2202" s="7" t="s">
        <v>3</v>
      </c>
      <c r="C2202" s="7" t="s">
        <v>4</v>
      </c>
      <c r="D2202" s="7" t="s">
        <v>5</v>
      </c>
      <c r="E2202" s="7" t="s">
        <v>6</v>
      </c>
      <c r="F2202" s="8" t="s">
        <v>7</v>
      </c>
      <c r="G2202" s="7" t="s">
        <v>8</v>
      </c>
      <c r="H2202" s="9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>
      <c r="A2203" s="10">
        <v>1.0</v>
      </c>
      <c r="B2203" s="33" t="s">
        <v>175</v>
      </c>
      <c r="C2203" s="34" t="s">
        <v>548</v>
      </c>
      <c r="D2203" s="13" t="s">
        <v>11</v>
      </c>
      <c r="E2203" s="35">
        <v>2.7</v>
      </c>
      <c r="F2203" s="15">
        <v>293000.0</v>
      </c>
      <c r="G2203" s="16">
        <f t="shared" ref="G2203:G2205" si="146">IFERROR(E2203*F2203,0)</f>
        <v>791100</v>
      </c>
      <c r="H2203" s="17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>
      <c r="A2204" s="10">
        <v>2.0</v>
      </c>
      <c r="B2204" s="36" t="s">
        <v>122</v>
      </c>
      <c r="C2204" s="37" t="s">
        <v>549</v>
      </c>
      <c r="D2204" s="20" t="s">
        <v>13</v>
      </c>
      <c r="E2204" s="38">
        <v>1.0</v>
      </c>
      <c r="F2204" s="22">
        <v>435000.0</v>
      </c>
      <c r="G2204" s="16">
        <f t="shared" si="146"/>
        <v>435000</v>
      </c>
      <c r="H2204" s="17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>
      <c r="A2205" s="10">
        <v>3.0</v>
      </c>
      <c r="B2205" s="23" t="s">
        <v>14</v>
      </c>
      <c r="C2205" s="17"/>
      <c r="D2205" s="17"/>
      <c r="E2205" s="17"/>
      <c r="F2205" s="17"/>
      <c r="G2205" s="24">
        <f t="shared" si="146"/>
        <v>0</v>
      </c>
      <c r="H2205" s="17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>
      <c r="A2206" s="25" t="s">
        <v>15</v>
      </c>
      <c r="B2206" s="2"/>
      <c r="C2206" s="2"/>
      <c r="D2206" s="2"/>
      <c r="E2206" s="2"/>
      <c r="F2206" s="2"/>
      <c r="G2206" s="3"/>
      <c r="H2206" s="26">
        <f>SUM(G2203:G2205)</f>
        <v>1226100</v>
      </c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>
      <c r="A2207" s="25" t="s">
        <v>16</v>
      </c>
      <c r="B2207" s="2"/>
      <c r="C2207" s="2"/>
      <c r="D2207" s="2"/>
      <c r="E2207" s="2"/>
      <c r="F2207" s="2"/>
      <c r="G2207" s="3"/>
      <c r="H2207" s="26">
        <f>MAX(0,H2206-648000)</f>
        <v>578100</v>
      </c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>
      <c r="A2208" s="27" t="s">
        <v>17</v>
      </c>
      <c r="B2208" s="2"/>
      <c r="C2208" s="2"/>
      <c r="D2208" s="2"/>
      <c r="E2208" s="2"/>
      <c r="F2208" s="2"/>
      <c r="G2208" s="3"/>
      <c r="H2208" s="28">
        <v>649000.0</v>
      </c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>
      <c r="A2209" s="1" t="s">
        <v>18</v>
      </c>
      <c r="B2209" s="2"/>
      <c r="C2209" s="2"/>
      <c r="D2209" s="2"/>
      <c r="E2209" s="2"/>
      <c r="F2209" s="2"/>
      <c r="G2209" s="2"/>
      <c r="H2209" s="3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5">
      <c r="A2215" s="1" t="s">
        <v>0</v>
      </c>
      <c r="B2215" s="2"/>
      <c r="C2215" s="2"/>
      <c r="D2215" s="2"/>
      <c r="E2215" s="2"/>
      <c r="F2215" s="2"/>
      <c r="G2215" s="2"/>
      <c r="H2215" s="3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>
      <c r="A2216" s="6" t="s">
        <v>550</v>
      </c>
      <c r="B2216" s="2"/>
      <c r="C2216" s="2"/>
      <c r="D2216" s="2"/>
      <c r="E2216" s="2"/>
      <c r="F2216" s="2"/>
      <c r="G2216" s="2"/>
      <c r="H2216" s="3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>
      <c r="A2217" s="7" t="s">
        <v>2</v>
      </c>
      <c r="B2217" s="7" t="s">
        <v>3</v>
      </c>
      <c r="C2217" s="7" t="s">
        <v>4</v>
      </c>
      <c r="D2217" s="7" t="s">
        <v>5</v>
      </c>
      <c r="E2217" s="7" t="s">
        <v>6</v>
      </c>
      <c r="F2217" s="8" t="s">
        <v>7</v>
      </c>
      <c r="G2217" s="7" t="s">
        <v>8</v>
      </c>
      <c r="H2217" s="9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>
      <c r="A2218" s="10">
        <v>1.0</v>
      </c>
      <c r="B2218" s="33" t="s">
        <v>279</v>
      </c>
      <c r="C2218" s="34" t="s">
        <v>551</v>
      </c>
      <c r="D2218" s="13" t="s">
        <v>11</v>
      </c>
      <c r="E2218" s="35">
        <v>2.5</v>
      </c>
      <c r="F2218" s="15">
        <v>293000.0</v>
      </c>
      <c r="G2218" s="16">
        <f t="shared" ref="G2218:G2220" si="147">IFERROR(E2218*F2218,0)</f>
        <v>732500</v>
      </c>
      <c r="H2218" s="17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>
      <c r="A2219" s="10">
        <v>2.0</v>
      </c>
      <c r="B2219" s="36" t="s">
        <v>552</v>
      </c>
      <c r="C2219" s="37" t="s">
        <v>553</v>
      </c>
      <c r="D2219" s="20" t="s">
        <v>13</v>
      </c>
      <c r="E2219" s="38">
        <v>1.1</v>
      </c>
      <c r="F2219" s="22">
        <v>435000.0</v>
      </c>
      <c r="G2219" s="16">
        <f t="shared" si="147"/>
        <v>478500</v>
      </c>
      <c r="H2219" s="17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>
      <c r="A2220" s="10">
        <v>3.0</v>
      </c>
      <c r="B2220" s="23" t="s">
        <v>14</v>
      </c>
      <c r="C2220" s="17"/>
      <c r="D2220" s="17"/>
      <c r="E2220" s="17"/>
      <c r="F2220" s="17"/>
      <c r="G2220" s="24">
        <f t="shared" si="147"/>
        <v>0</v>
      </c>
      <c r="H2220" s="17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>
      <c r="A2221" s="25" t="s">
        <v>15</v>
      </c>
      <c r="B2221" s="2"/>
      <c r="C2221" s="2"/>
      <c r="D2221" s="2"/>
      <c r="E2221" s="2"/>
      <c r="F2221" s="2"/>
      <c r="G2221" s="3"/>
      <c r="H2221" s="26">
        <f>SUM(G2218:G2220)</f>
        <v>1211000</v>
      </c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>
      <c r="A2222" s="25" t="s">
        <v>16</v>
      </c>
      <c r="B2222" s="2"/>
      <c r="C2222" s="2"/>
      <c r="D2222" s="2"/>
      <c r="E2222" s="2"/>
      <c r="F2222" s="2"/>
      <c r="G2222" s="3"/>
      <c r="H2222" s="26">
        <f>MAX(0,H2221-648000)</f>
        <v>563000</v>
      </c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>
      <c r="A2223" s="27" t="s">
        <v>17</v>
      </c>
      <c r="B2223" s="2"/>
      <c r="C2223" s="2"/>
      <c r="D2223" s="2"/>
      <c r="E2223" s="2"/>
      <c r="F2223" s="2"/>
      <c r="G2223" s="3"/>
      <c r="H2223" s="28">
        <v>649000.0</v>
      </c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>
      <c r="A2224" s="1" t="s">
        <v>18</v>
      </c>
      <c r="B2224" s="2"/>
      <c r="C2224" s="2"/>
      <c r="D2224" s="2"/>
      <c r="E2224" s="2"/>
      <c r="F2224" s="2"/>
      <c r="G2224" s="2"/>
      <c r="H2224" s="3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32">
      <c r="A2232" s="1" t="s">
        <v>0</v>
      </c>
      <c r="B2232" s="2"/>
      <c r="C2232" s="2"/>
      <c r="D2232" s="2"/>
      <c r="E2232" s="2"/>
      <c r="F2232" s="2"/>
      <c r="G2232" s="2"/>
      <c r="H2232" s="3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>
      <c r="A2233" s="6" t="s">
        <v>554</v>
      </c>
      <c r="B2233" s="2"/>
      <c r="C2233" s="2"/>
      <c r="D2233" s="2"/>
      <c r="E2233" s="2"/>
      <c r="F2233" s="2"/>
      <c r="G2233" s="2"/>
      <c r="H2233" s="3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>
      <c r="A2234" s="7" t="s">
        <v>2</v>
      </c>
      <c r="B2234" s="7" t="s">
        <v>3</v>
      </c>
      <c r="C2234" s="7" t="s">
        <v>4</v>
      </c>
      <c r="D2234" s="7" t="s">
        <v>5</v>
      </c>
      <c r="E2234" s="7" t="s">
        <v>6</v>
      </c>
      <c r="F2234" s="8" t="s">
        <v>7</v>
      </c>
      <c r="G2234" s="7" t="s">
        <v>8</v>
      </c>
      <c r="H2234" s="9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>
      <c r="A2235" s="10">
        <v>1.0</v>
      </c>
      <c r="B2235" s="33" t="s">
        <v>555</v>
      </c>
      <c r="C2235" s="34" t="s">
        <v>556</v>
      </c>
      <c r="D2235" s="13" t="s">
        <v>11</v>
      </c>
      <c r="E2235" s="35">
        <v>1.94</v>
      </c>
      <c r="F2235" s="15">
        <v>293000.0</v>
      </c>
      <c r="G2235" s="16">
        <f t="shared" ref="G2235:G2237" si="148">IFERROR(E2235*F2235,0)</f>
        <v>568420</v>
      </c>
      <c r="H2235" s="17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>
      <c r="A2236" s="10">
        <v>2.0</v>
      </c>
      <c r="B2236" s="36" t="s">
        <v>148</v>
      </c>
      <c r="C2236" s="37" t="s">
        <v>557</v>
      </c>
      <c r="D2236" s="20" t="s">
        <v>13</v>
      </c>
      <c r="E2236" s="38">
        <v>1.5</v>
      </c>
      <c r="F2236" s="22">
        <v>435000.0</v>
      </c>
      <c r="G2236" s="16">
        <f t="shared" si="148"/>
        <v>652500</v>
      </c>
      <c r="H2236" s="17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>
      <c r="A2237" s="10">
        <v>3.0</v>
      </c>
      <c r="B2237" s="23" t="s">
        <v>14</v>
      </c>
      <c r="C2237" s="17"/>
      <c r="D2237" s="17"/>
      <c r="E2237" s="17"/>
      <c r="F2237" s="17"/>
      <c r="G2237" s="24">
        <f t="shared" si="148"/>
        <v>0</v>
      </c>
      <c r="H2237" s="17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>
      <c r="A2238" s="25" t="s">
        <v>15</v>
      </c>
      <c r="B2238" s="2"/>
      <c r="C2238" s="2"/>
      <c r="D2238" s="2"/>
      <c r="E2238" s="2"/>
      <c r="F2238" s="2"/>
      <c r="G2238" s="3"/>
      <c r="H2238" s="26">
        <f>SUM(G2235:G2237)</f>
        <v>1220920</v>
      </c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>
      <c r="A2239" s="25" t="s">
        <v>16</v>
      </c>
      <c r="B2239" s="2"/>
      <c r="C2239" s="2"/>
      <c r="D2239" s="2"/>
      <c r="E2239" s="2"/>
      <c r="F2239" s="2"/>
      <c r="G2239" s="3"/>
      <c r="H2239" s="26">
        <f>MAX(0,H2238-648000)</f>
        <v>572920</v>
      </c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>
      <c r="A2240" s="27" t="s">
        <v>17</v>
      </c>
      <c r="B2240" s="2"/>
      <c r="C2240" s="2"/>
      <c r="D2240" s="2"/>
      <c r="E2240" s="2"/>
      <c r="F2240" s="2"/>
      <c r="G2240" s="3"/>
      <c r="H2240" s="28">
        <v>649000.0</v>
      </c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>
      <c r="A2241" s="1" t="s">
        <v>18</v>
      </c>
      <c r="B2241" s="2"/>
      <c r="C2241" s="2"/>
      <c r="D2241" s="2"/>
      <c r="E2241" s="2"/>
      <c r="F2241" s="2"/>
      <c r="G2241" s="2"/>
      <c r="H2241" s="3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9">
      <c r="A2249" s="1" t="s">
        <v>0</v>
      </c>
      <c r="B2249" s="2"/>
      <c r="C2249" s="2"/>
      <c r="D2249" s="2"/>
      <c r="E2249" s="2"/>
      <c r="F2249" s="2"/>
      <c r="G2249" s="2"/>
      <c r="H2249" s="3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>
      <c r="A2250" s="6" t="s">
        <v>558</v>
      </c>
      <c r="B2250" s="2"/>
      <c r="C2250" s="2"/>
      <c r="D2250" s="2"/>
      <c r="E2250" s="2"/>
      <c r="F2250" s="2"/>
      <c r="G2250" s="2"/>
      <c r="H2250" s="3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>
      <c r="A2251" s="7" t="s">
        <v>2</v>
      </c>
      <c r="B2251" s="7" t="s">
        <v>3</v>
      </c>
      <c r="C2251" s="7" t="s">
        <v>4</v>
      </c>
      <c r="D2251" s="7" t="s">
        <v>5</v>
      </c>
      <c r="E2251" s="7" t="s">
        <v>6</v>
      </c>
      <c r="F2251" s="8" t="s">
        <v>7</v>
      </c>
      <c r="G2251" s="7" t="s">
        <v>8</v>
      </c>
      <c r="H2251" s="9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>
      <c r="A2252" s="10">
        <v>1.0</v>
      </c>
      <c r="B2252" s="33" t="s">
        <v>301</v>
      </c>
      <c r="C2252" s="34" t="s">
        <v>559</v>
      </c>
      <c r="D2252" s="13" t="s">
        <v>11</v>
      </c>
      <c r="E2252" s="35">
        <v>2.0</v>
      </c>
      <c r="F2252" s="15">
        <v>293000.0</v>
      </c>
      <c r="G2252" s="16">
        <f t="shared" ref="G2252:G2254" si="149">IFERROR(E2252*F2252,0)</f>
        <v>586000</v>
      </c>
      <c r="H2252" s="17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>
      <c r="A2253" s="10">
        <v>2.0</v>
      </c>
      <c r="B2253" s="36" t="s">
        <v>122</v>
      </c>
      <c r="C2253" s="37" t="s">
        <v>560</v>
      </c>
      <c r="D2253" s="20" t="s">
        <v>13</v>
      </c>
      <c r="E2253" s="38">
        <v>1.55</v>
      </c>
      <c r="F2253" s="22">
        <v>435000.0</v>
      </c>
      <c r="G2253" s="16">
        <f t="shared" si="149"/>
        <v>674250</v>
      </c>
      <c r="H2253" s="17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>
      <c r="A2254" s="10">
        <v>3.0</v>
      </c>
      <c r="B2254" s="23" t="s">
        <v>14</v>
      </c>
      <c r="C2254" s="17"/>
      <c r="D2254" s="17"/>
      <c r="E2254" s="17"/>
      <c r="F2254" s="17"/>
      <c r="G2254" s="24">
        <f t="shared" si="149"/>
        <v>0</v>
      </c>
      <c r="H2254" s="17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>
      <c r="A2255" s="25" t="s">
        <v>15</v>
      </c>
      <c r="B2255" s="2"/>
      <c r="C2255" s="2"/>
      <c r="D2255" s="2"/>
      <c r="E2255" s="2"/>
      <c r="F2255" s="2"/>
      <c r="G2255" s="3"/>
      <c r="H2255" s="26">
        <f>SUM(G2252:G2254)</f>
        <v>1260250</v>
      </c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>
      <c r="A2256" s="25" t="s">
        <v>16</v>
      </c>
      <c r="B2256" s="2"/>
      <c r="C2256" s="2"/>
      <c r="D2256" s="2"/>
      <c r="E2256" s="2"/>
      <c r="F2256" s="2"/>
      <c r="G2256" s="3"/>
      <c r="H2256" s="26">
        <f>MAX(0,H2255-648000)</f>
        <v>612250</v>
      </c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>
      <c r="A2257" s="27" t="s">
        <v>17</v>
      </c>
      <c r="B2257" s="2"/>
      <c r="C2257" s="2"/>
      <c r="D2257" s="2"/>
      <c r="E2257" s="2"/>
      <c r="F2257" s="2"/>
      <c r="G2257" s="3"/>
      <c r="H2257" s="28">
        <v>649000.0</v>
      </c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>
      <c r="A2258" s="1" t="s">
        <v>18</v>
      </c>
      <c r="B2258" s="2"/>
      <c r="C2258" s="2"/>
      <c r="D2258" s="2"/>
      <c r="E2258" s="2"/>
      <c r="F2258" s="2"/>
      <c r="G2258" s="2"/>
      <c r="H2258" s="3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65">
      <c r="A2265" s="1" t="s">
        <v>0</v>
      </c>
      <c r="B2265" s="2"/>
      <c r="C2265" s="2"/>
      <c r="D2265" s="2"/>
      <c r="E2265" s="2"/>
      <c r="F2265" s="2"/>
      <c r="G2265" s="2"/>
      <c r="H2265" s="3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>
      <c r="A2266" s="6" t="s">
        <v>561</v>
      </c>
      <c r="B2266" s="2"/>
      <c r="C2266" s="2"/>
      <c r="D2266" s="2"/>
      <c r="E2266" s="2"/>
      <c r="F2266" s="2"/>
      <c r="G2266" s="2"/>
      <c r="H2266" s="3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>
      <c r="A2267" s="7" t="s">
        <v>2</v>
      </c>
      <c r="B2267" s="7" t="s">
        <v>3</v>
      </c>
      <c r="C2267" s="7" t="s">
        <v>4</v>
      </c>
      <c r="D2267" s="7" t="s">
        <v>5</v>
      </c>
      <c r="E2267" s="7" t="s">
        <v>6</v>
      </c>
      <c r="F2267" s="8" t="s">
        <v>7</v>
      </c>
      <c r="G2267" s="7" t="s">
        <v>8</v>
      </c>
      <c r="H2267" s="9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>
      <c r="A2268" s="10">
        <v>1.0</v>
      </c>
      <c r="B2268" s="33" t="s">
        <v>562</v>
      </c>
      <c r="C2268" s="34" t="s">
        <v>563</v>
      </c>
      <c r="D2268" s="13" t="s">
        <v>11</v>
      </c>
      <c r="E2268" s="35">
        <v>1.5</v>
      </c>
      <c r="F2268" s="15">
        <v>293000.0</v>
      </c>
      <c r="G2268" s="16">
        <f t="shared" ref="G2268:G2270" si="150">IFERROR(E2268*F2268,0)</f>
        <v>439500</v>
      </c>
      <c r="H2268" s="17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>
      <c r="A2269" s="10">
        <v>2.0</v>
      </c>
      <c r="B2269" s="36" t="s">
        <v>564</v>
      </c>
      <c r="C2269" s="37" t="s">
        <v>565</v>
      </c>
      <c r="D2269" s="20" t="s">
        <v>13</v>
      </c>
      <c r="E2269" s="38">
        <v>2.0</v>
      </c>
      <c r="F2269" s="22">
        <v>435000.0</v>
      </c>
      <c r="G2269" s="16">
        <f t="shared" si="150"/>
        <v>870000</v>
      </c>
      <c r="H2269" s="17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>
      <c r="A2270" s="10">
        <v>3.0</v>
      </c>
      <c r="B2270" s="23" t="s">
        <v>14</v>
      </c>
      <c r="C2270" s="17"/>
      <c r="D2270" s="17"/>
      <c r="E2270" s="17"/>
      <c r="F2270" s="17"/>
      <c r="G2270" s="24">
        <f t="shared" si="150"/>
        <v>0</v>
      </c>
      <c r="H2270" s="17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>
      <c r="A2271" s="25" t="s">
        <v>15</v>
      </c>
      <c r="B2271" s="2"/>
      <c r="C2271" s="2"/>
      <c r="D2271" s="2"/>
      <c r="E2271" s="2"/>
      <c r="F2271" s="2"/>
      <c r="G2271" s="3"/>
      <c r="H2271" s="26">
        <f>SUM(G2268:G2270)</f>
        <v>1309500</v>
      </c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>
      <c r="A2272" s="25" t="s">
        <v>16</v>
      </c>
      <c r="B2272" s="2"/>
      <c r="C2272" s="2"/>
      <c r="D2272" s="2"/>
      <c r="E2272" s="2"/>
      <c r="F2272" s="2"/>
      <c r="G2272" s="3"/>
      <c r="H2272" s="26">
        <f>MAX(0,H2271-648000)</f>
        <v>661500</v>
      </c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>
      <c r="A2273" s="27" t="s">
        <v>17</v>
      </c>
      <c r="B2273" s="2"/>
      <c r="C2273" s="2"/>
      <c r="D2273" s="2"/>
      <c r="E2273" s="2"/>
      <c r="F2273" s="2"/>
      <c r="G2273" s="3"/>
      <c r="H2273" s="28">
        <v>649000.0</v>
      </c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>
      <c r="A2274" s="1" t="s">
        <v>18</v>
      </c>
      <c r="B2274" s="2"/>
      <c r="C2274" s="2"/>
      <c r="D2274" s="2"/>
      <c r="E2274" s="2"/>
      <c r="F2274" s="2"/>
      <c r="G2274" s="2"/>
      <c r="H2274" s="3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9">
      <c r="A2279" s="1" t="s">
        <v>0</v>
      </c>
      <c r="B2279" s="2"/>
      <c r="C2279" s="2"/>
      <c r="D2279" s="2"/>
      <c r="E2279" s="2"/>
      <c r="F2279" s="2"/>
      <c r="G2279" s="2"/>
      <c r="H2279" s="3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>
      <c r="A2280" s="6" t="s">
        <v>566</v>
      </c>
      <c r="B2280" s="2"/>
      <c r="C2280" s="2"/>
      <c r="D2280" s="2"/>
      <c r="E2280" s="2"/>
      <c r="F2280" s="2"/>
      <c r="G2280" s="2"/>
      <c r="H2280" s="3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>
      <c r="A2281" s="7" t="s">
        <v>2</v>
      </c>
      <c r="B2281" s="7" t="s">
        <v>3</v>
      </c>
      <c r="C2281" s="7" t="s">
        <v>4</v>
      </c>
      <c r="D2281" s="7" t="s">
        <v>5</v>
      </c>
      <c r="E2281" s="7" t="s">
        <v>6</v>
      </c>
      <c r="F2281" s="8" t="s">
        <v>7</v>
      </c>
      <c r="G2281" s="7" t="s">
        <v>8</v>
      </c>
      <c r="H2281" s="9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>
      <c r="A2282" s="10">
        <v>1.0</v>
      </c>
      <c r="B2282" s="33" t="s">
        <v>118</v>
      </c>
      <c r="C2282" s="34" t="s">
        <v>567</v>
      </c>
      <c r="D2282" s="13" t="s">
        <v>11</v>
      </c>
      <c r="E2282" s="35">
        <v>1.4</v>
      </c>
      <c r="F2282" s="15">
        <v>293000.0</v>
      </c>
      <c r="G2282" s="16">
        <f t="shared" ref="G2282:G2284" si="151">IFERROR(E2282*F2282,0)</f>
        <v>410200</v>
      </c>
      <c r="H2282" s="17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>
      <c r="A2283" s="10">
        <v>2.0</v>
      </c>
      <c r="B2283" s="36" t="s">
        <v>190</v>
      </c>
      <c r="C2283" s="37" t="s">
        <v>191</v>
      </c>
      <c r="D2283" s="20" t="s">
        <v>13</v>
      </c>
      <c r="E2283" s="38">
        <v>2.0</v>
      </c>
      <c r="F2283" s="22">
        <v>435000.0</v>
      </c>
      <c r="G2283" s="16">
        <f t="shared" si="151"/>
        <v>870000</v>
      </c>
      <c r="H2283" s="17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>
      <c r="A2284" s="10">
        <v>3.0</v>
      </c>
      <c r="B2284" s="23" t="s">
        <v>14</v>
      </c>
      <c r="C2284" s="17"/>
      <c r="D2284" s="17"/>
      <c r="E2284" s="17"/>
      <c r="F2284" s="17"/>
      <c r="G2284" s="24">
        <f t="shared" si="151"/>
        <v>0</v>
      </c>
      <c r="H2284" s="17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>
      <c r="A2285" s="25" t="s">
        <v>15</v>
      </c>
      <c r="B2285" s="2"/>
      <c r="C2285" s="2"/>
      <c r="D2285" s="2"/>
      <c r="E2285" s="2"/>
      <c r="F2285" s="2"/>
      <c r="G2285" s="3"/>
      <c r="H2285" s="26">
        <f>SUM(G2282:G2284)</f>
        <v>1280200</v>
      </c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>
      <c r="A2286" s="25" t="s">
        <v>16</v>
      </c>
      <c r="B2286" s="2"/>
      <c r="C2286" s="2"/>
      <c r="D2286" s="2"/>
      <c r="E2286" s="2"/>
      <c r="F2286" s="2"/>
      <c r="G2286" s="3"/>
      <c r="H2286" s="26">
        <f>MAX(0,H2285-648000)</f>
        <v>632200</v>
      </c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>
      <c r="A2287" s="27" t="s">
        <v>17</v>
      </c>
      <c r="B2287" s="2"/>
      <c r="C2287" s="2"/>
      <c r="D2287" s="2"/>
      <c r="E2287" s="2"/>
      <c r="F2287" s="2"/>
      <c r="G2287" s="3"/>
      <c r="H2287" s="28">
        <v>649000.0</v>
      </c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>
      <c r="A2288" s="1" t="s">
        <v>18</v>
      </c>
      <c r="B2288" s="2"/>
      <c r="C2288" s="2"/>
      <c r="D2288" s="2"/>
      <c r="E2288" s="2"/>
      <c r="F2288" s="2"/>
      <c r="G2288" s="2"/>
      <c r="H2288" s="3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92">
      <c r="A2292" s="1" t="s">
        <v>0</v>
      </c>
      <c r="B2292" s="2"/>
      <c r="C2292" s="2"/>
      <c r="D2292" s="2"/>
      <c r="E2292" s="2"/>
      <c r="F2292" s="2"/>
      <c r="G2292" s="2"/>
      <c r="H2292" s="3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>
      <c r="A2293" s="6" t="s">
        <v>568</v>
      </c>
      <c r="B2293" s="2"/>
      <c r="C2293" s="2"/>
      <c r="D2293" s="2"/>
      <c r="E2293" s="2"/>
      <c r="F2293" s="2"/>
      <c r="G2293" s="2"/>
      <c r="H2293" s="3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>
      <c r="A2294" s="7" t="s">
        <v>2</v>
      </c>
      <c r="B2294" s="7" t="s">
        <v>3</v>
      </c>
      <c r="C2294" s="7" t="s">
        <v>4</v>
      </c>
      <c r="D2294" s="7" t="s">
        <v>5</v>
      </c>
      <c r="E2294" s="7" t="s">
        <v>6</v>
      </c>
      <c r="F2294" s="8" t="s">
        <v>7</v>
      </c>
      <c r="G2294" s="7" t="s">
        <v>8</v>
      </c>
      <c r="H2294" s="9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>
      <c r="A2295" s="10">
        <v>1.0</v>
      </c>
      <c r="B2295" s="33" t="s">
        <v>12</v>
      </c>
      <c r="C2295" s="34" t="s">
        <v>209</v>
      </c>
      <c r="D2295" s="13" t="s">
        <v>11</v>
      </c>
      <c r="E2295" s="35">
        <v>2.2</v>
      </c>
      <c r="F2295" s="15">
        <v>293000.0</v>
      </c>
      <c r="G2295" s="16">
        <f t="shared" ref="G2295:G2297" si="152">IFERROR(E2295*F2295,0)</f>
        <v>644600</v>
      </c>
      <c r="H2295" s="17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>
      <c r="A2296" s="10">
        <v>2.0</v>
      </c>
      <c r="B2296" s="36" t="s">
        <v>88</v>
      </c>
      <c r="C2296" s="37" t="s">
        <v>569</v>
      </c>
      <c r="D2296" s="20" t="s">
        <v>13</v>
      </c>
      <c r="E2296" s="38">
        <v>1.35</v>
      </c>
      <c r="F2296" s="22">
        <v>435000.0</v>
      </c>
      <c r="G2296" s="16">
        <f t="shared" si="152"/>
        <v>587250</v>
      </c>
      <c r="H2296" s="17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>
      <c r="A2297" s="10">
        <v>3.0</v>
      </c>
      <c r="B2297" s="23" t="s">
        <v>14</v>
      </c>
      <c r="C2297" s="17"/>
      <c r="D2297" s="17"/>
      <c r="E2297" s="17"/>
      <c r="F2297" s="17"/>
      <c r="G2297" s="24">
        <f t="shared" si="152"/>
        <v>0</v>
      </c>
      <c r="H2297" s="17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>
      <c r="A2298" s="25" t="s">
        <v>15</v>
      </c>
      <c r="B2298" s="2"/>
      <c r="C2298" s="2"/>
      <c r="D2298" s="2"/>
      <c r="E2298" s="2"/>
      <c r="F2298" s="2"/>
      <c r="G2298" s="3"/>
      <c r="H2298" s="26">
        <f>SUM(G2295:G2297)</f>
        <v>1231850</v>
      </c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>
      <c r="A2299" s="25" t="s">
        <v>16</v>
      </c>
      <c r="B2299" s="2"/>
      <c r="C2299" s="2"/>
      <c r="D2299" s="2"/>
      <c r="E2299" s="2"/>
      <c r="F2299" s="2"/>
      <c r="G2299" s="3"/>
      <c r="H2299" s="26">
        <f>MAX(0,H2298-648000)</f>
        <v>583850</v>
      </c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>
      <c r="A2300" s="27" t="s">
        <v>17</v>
      </c>
      <c r="B2300" s="2"/>
      <c r="C2300" s="2"/>
      <c r="D2300" s="2"/>
      <c r="E2300" s="2"/>
      <c r="F2300" s="2"/>
      <c r="G2300" s="3"/>
      <c r="H2300" s="28">
        <v>649000.0</v>
      </c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>
      <c r="A2301" s="1" t="s">
        <v>18</v>
      </c>
      <c r="B2301" s="2"/>
      <c r="C2301" s="2"/>
      <c r="D2301" s="2"/>
      <c r="E2301" s="2"/>
      <c r="F2301" s="2"/>
      <c r="G2301" s="2"/>
      <c r="H2301" s="3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6">
      <c r="A2306" s="1" t="s">
        <v>0</v>
      </c>
      <c r="B2306" s="2"/>
      <c r="C2306" s="2"/>
      <c r="D2306" s="2"/>
      <c r="E2306" s="2"/>
      <c r="F2306" s="2"/>
      <c r="G2306" s="2"/>
      <c r="H2306" s="3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>
      <c r="A2307" s="6" t="s">
        <v>570</v>
      </c>
      <c r="B2307" s="2"/>
      <c r="C2307" s="2"/>
      <c r="D2307" s="2"/>
      <c r="E2307" s="2"/>
      <c r="F2307" s="2"/>
      <c r="G2307" s="2"/>
      <c r="H2307" s="3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>
      <c r="A2308" s="7" t="s">
        <v>2</v>
      </c>
      <c r="B2308" s="7" t="s">
        <v>3</v>
      </c>
      <c r="C2308" s="7" t="s">
        <v>4</v>
      </c>
      <c r="D2308" s="7" t="s">
        <v>5</v>
      </c>
      <c r="E2308" s="7" t="s">
        <v>6</v>
      </c>
      <c r="F2308" s="8" t="s">
        <v>7</v>
      </c>
      <c r="G2308" s="7" t="s">
        <v>8</v>
      </c>
      <c r="H2308" s="9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>
      <c r="A2309" s="10">
        <v>1.0</v>
      </c>
      <c r="B2309" s="33" t="s">
        <v>571</v>
      </c>
      <c r="C2309" s="34" t="s">
        <v>572</v>
      </c>
      <c r="D2309" s="13" t="s">
        <v>11</v>
      </c>
      <c r="E2309" s="35">
        <v>2.0</v>
      </c>
      <c r="F2309" s="15">
        <v>293000.0</v>
      </c>
      <c r="G2309" s="16">
        <f t="shared" ref="G2309:G2311" si="153">IFERROR(E2309*F2309,0)</f>
        <v>586000</v>
      </c>
      <c r="H2309" s="17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>
      <c r="A2310" s="10">
        <v>2.0</v>
      </c>
      <c r="B2310" s="36" t="s">
        <v>12</v>
      </c>
      <c r="C2310" s="37" t="s">
        <v>573</v>
      </c>
      <c r="D2310" s="20" t="s">
        <v>13</v>
      </c>
      <c r="E2310" s="38">
        <v>1.5</v>
      </c>
      <c r="F2310" s="22">
        <v>435000.0</v>
      </c>
      <c r="G2310" s="16">
        <f t="shared" si="153"/>
        <v>652500</v>
      </c>
      <c r="H2310" s="17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>
      <c r="A2311" s="10">
        <v>3.0</v>
      </c>
      <c r="B2311" s="23" t="s">
        <v>14</v>
      </c>
      <c r="C2311" s="17"/>
      <c r="D2311" s="17"/>
      <c r="E2311" s="17"/>
      <c r="F2311" s="17"/>
      <c r="G2311" s="24">
        <f t="shared" si="153"/>
        <v>0</v>
      </c>
      <c r="H2311" s="17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>
      <c r="A2312" s="25" t="s">
        <v>15</v>
      </c>
      <c r="B2312" s="2"/>
      <c r="C2312" s="2"/>
      <c r="D2312" s="2"/>
      <c r="E2312" s="2"/>
      <c r="F2312" s="2"/>
      <c r="G2312" s="3"/>
      <c r="H2312" s="26">
        <f>SUM(G2309:G2311)</f>
        <v>1238500</v>
      </c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>
      <c r="A2313" s="25" t="s">
        <v>16</v>
      </c>
      <c r="B2313" s="2"/>
      <c r="C2313" s="2"/>
      <c r="D2313" s="2"/>
      <c r="E2313" s="2"/>
      <c r="F2313" s="2"/>
      <c r="G2313" s="3"/>
      <c r="H2313" s="26">
        <f>MAX(0,H2312-648000)</f>
        <v>590500</v>
      </c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>
      <c r="A2314" s="27" t="s">
        <v>17</v>
      </c>
      <c r="B2314" s="2"/>
      <c r="C2314" s="2"/>
      <c r="D2314" s="2"/>
      <c r="E2314" s="2"/>
      <c r="F2314" s="2"/>
      <c r="G2314" s="3"/>
      <c r="H2314" s="28">
        <v>649000.0</v>
      </c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>
      <c r="A2315" s="1" t="s">
        <v>18</v>
      </c>
      <c r="B2315" s="2"/>
      <c r="C2315" s="2"/>
      <c r="D2315" s="2"/>
      <c r="E2315" s="2"/>
      <c r="F2315" s="2"/>
      <c r="G2315" s="2"/>
      <c r="H2315" s="3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21">
      <c r="A2321" s="1" t="s">
        <v>0</v>
      </c>
      <c r="B2321" s="2"/>
      <c r="C2321" s="2"/>
      <c r="D2321" s="2"/>
      <c r="E2321" s="2"/>
      <c r="F2321" s="2"/>
      <c r="G2321" s="2"/>
      <c r="H2321" s="3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>
      <c r="A2322" s="6" t="s">
        <v>574</v>
      </c>
      <c r="B2322" s="2"/>
      <c r="C2322" s="2"/>
      <c r="D2322" s="2"/>
      <c r="E2322" s="2"/>
      <c r="F2322" s="2"/>
      <c r="G2322" s="2"/>
      <c r="H2322" s="3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>
      <c r="A2323" s="7" t="s">
        <v>2</v>
      </c>
      <c r="B2323" s="7" t="s">
        <v>3</v>
      </c>
      <c r="C2323" s="7" t="s">
        <v>4</v>
      </c>
      <c r="D2323" s="7" t="s">
        <v>5</v>
      </c>
      <c r="E2323" s="7" t="s">
        <v>6</v>
      </c>
      <c r="F2323" s="8" t="s">
        <v>7</v>
      </c>
      <c r="G2323" s="7" t="s">
        <v>8</v>
      </c>
      <c r="H2323" s="9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>
      <c r="A2324" s="10">
        <v>1.0</v>
      </c>
      <c r="B2324" s="33" t="s">
        <v>30</v>
      </c>
      <c r="C2324" s="34" t="s">
        <v>575</v>
      </c>
      <c r="D2324" s="13" t="s">
        <v>11</v>
      </c>
      <c r="E2324" s="35">
        <v>2.0</v>
      </c>
      <c r="F2324" s="15">
        <v>293000.0</v>
      </c>
      <c r="G2324" s="16">
        <f t="shared" ref="G2324:G2326" si="154">IFERROR(E2324*F2324,0)</f>
        <v>586000</v>
      </c>
      <c r="H2324" s="17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>
      <c r="A2325" s="10">
        <v>2.0</v>
      </c>
      <c r="B2325" s="36" t="s">
        <v>576</v>
      </c>
      <c r="C2325" s="37" t="s">
        <v>577</v>
      </c>
      <c r="D2325" s="20" t="s">
        <v>13</v>
      </c>
      <c r="E2325" s="38">
        <v>1.47</v>
      </c>
      <c r="F2325" s="22">
        <v>435000.0</v>
      </c>
      <c r="G2325" s="16">
        <f t="shared" si="154"/>
        <v>639450</v>
      </c>
      <c r="H2325" s="17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>
      <c r="A2326" s="10">
        <v>3.0</v>
      </c>
      <c r="B2326" s="23" t="s">
        <v>14</v>
      </c>
      <c r="C2326" s="17"/>
      <c r="D2326" s="17"/>
      <c r="E2326" s="17"/>
      <c r="F2326" s="17"/>
      <c r="G2326" s="24">
        <f t="shared" si="154"/>
        <v>0</v>
      </c>
      <c r="H2326" s="17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>
      <c r="A2327" s="25" t="s">
        <v>15</v>
      </c>
      <c r="B2327" s="2"/>
      <c r="C2327" s="2"/>
      <c r="D2327" s="2"/>
      <c r="E2327" s="2"/>
      <c r="F2327" s="2"/>
      <c r="G2327" s="3"/>
      <c r="H2327" s="26">
        <f>SUM(G2324:G2326)</f>
        <v>1225450</v>
      </c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>
      <c r="A2328" s="25" t="s">
        <v>16</v>
      </c>
      <c r="B2328" s="2"/>
      <c r="C2328" s="2"/>
      <c r="D2328" s="2"/>
      <c r="E2328" s="2"/>
      <c r="F2328" s="2"/>
      <c r="G2328" s="3"/>
      <c r="H2328" s="26">
        <f>MAX(0,H2327-648000)</f>
        <v>577450</v>
      </c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>
      <c r="A2329" s="27" t="s">
        <v>17</v>
      </c>
      <c r="B2329" s="2"/>
      <c r="C2329" s="2"/>
      <c r="D2329" s="2"/>
      <c r="E2329" s="2"/>
      <c r="F2329" s="2"/>
      <c r="G2329" s="3"/>
      <c r="H2329" s="28">
        <v>649000.0</v>
      </c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>
      <c r="A2330" s="1" t="s">
        <v>18</v>
      </c>
      <c r="B2330" s="2"/>
      <c r="C2330" s="2"/>
      <c r="D2330" s="2"/>
      <c r="E2330" s="2"/>
      <c r="F2330" s="2"/>
      <c r="G2330" s="2"/>
      <c r="H2330" s="3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5">
      <c r="A2335" s="1" t="s">
        <v>0</v>
      </c>
      <c r="B2335" s="2"/>
      <c r="C2335" s="2"/>
      <c r="D2335" s="2"/>
      <c r="E2335" s="2"/>
      <c r="F2335" s="2"/>
      <c r="G2335" s="2"/>
      <c r="H2335" s="3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>
      <c r="A2336" s="6" t="s">
        <v>578</v>
      </c>
      <c r="B2336" s="2"/>
      <c r="C2336" s="2"/>
      <c r="D2336" s="2"/>
      <c r="E2336" s="2"/>
      <c r="F2336" s="2"/>
      <c r="G2336" s="2"/>
      <c r="H2336" s="3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>
      <c r="A2337" s="7" t="s">
        <v>2</v>
      </c>
      <c r="B2337" s="7" t="s">
        <v>3</v>
      </c>
      <c r="C2337" s="7" t="s">
        <v>4</v>
      </c>
      <c r="D2337" s="7" t="s">
        <v>5</v>
      </c>
      <c r="E2337" s="7" t="s">
        <v>6</v>
      </c>
      <c r="F2337" s="8" t="s">
        <v>7</v>
      </c>
      <c r="G2337" s="7" t="s">
        <v>8</v>
      </c>
      <c r="H2337" s="9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>
      <c r="A2338" s="10">
        <v>1.0</v>
      </c>
      <c r="B2338" s="33" t="s">
        <v>327</v>
      </c>
      <c r="C2338" s="34" t="s">
        <v>579</v>
      </c>
      <c r="D2338" s="13" t="s">
        <v>11</v>
      </c>
      <c r="E2338" s="35">
        <v>2.0</v>
      </c>
      <c r="F2338" s="15">
        <v>293000.0</v>
      </c>
      <c r="G2338" s="16">
        <f t="shared" ref="G2338:G2340" si="155">IFERROR(E2338*F2338,0)</f>
        <v>586000</v>
      </c>
      <c r="H2338" s="17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>
      <c r="A2339" s="10">
        <v>2.0</v>
      </c>
      <c r="B2339" s="36" t="s">
        <v>298</v>
      </c>
      <c r="C2339" s="37" t="s">
        <v>580</v>
      </c>
      <c r="D2339" s="20" t="s">
        <v>13</v>
      </c>
      <c r="E2339" s="38">
        <v>1.5</v>
      </c>
      <c r="F2339" s="22">
        <v>435000.0</v>
      </c>
      <c r="G2339" s="16">
        <f t="shared" si="155"/>
        <v>652500</v>
      </c>
      <c r="H2339" s="17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>
      <c r="A2340" s="10">
        <v>3.0</v>
      </c>
      <c r="B2340" s="23" t="s">
        <v>14</v>
      </c>
      <c r="C2340" s="17"/>
      <c r="D2340" s="17"/>
      <c r="E2340" s="17"/>
      <c r="F2340" s="17"/>
      <c r="G2340" s="24">
        <f t="shared" si="155"/>
        <v>0</v>
      </c>
      <c r="H2340" s="17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>
      <c r="A2341" s="25" t="s">
        <v>15</v>
      </c>
      <c r="B2341" s="2"/>
      <c r="C2341" s="2"/>
      <c r="D2341" s="2"/>
      <c r="E2341" s="2"/>
      <c r="F2341" s="2"/>
      <c r="G2341" s="3"/>
      <c r="H2341" s="26">
        <f>SUM(G2338:G2340)</f>
        <v>1238500</v>
      </c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>
      <c r="A2342" s="25" t="s">
        <v>16</v>
      </c>
      <c r="B2342" s="2"/>
      <c r="C2342" s="2"/>
      <c r="D2342" s="2"/>
      <c r="E2342" s="2"/>
      <c r="F2342" s="2"/>
      <c r="G2342" s="3"/>
      <c r="H2342" s="26">
        <f>MAX(0,H2341-648000)</f>
        <v>590500</v>
      </c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>
      <c r="A2343" s="27" t="s">
        <v>17</v>
      </c>
      <c r="B2343" s="2"/>
      <c r="C2343" s="2"/>
      <c r="D2343" s="2"/>
      <c r="E2343" s="2"/>
      <c r="F2343" s="2"/>
      <c r="G2343" s="3"/>
      <c r="H2343" s="28">
        <v>649000.0</v>
      </c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>
      <c r="A2344" s="1" t="s">
        <v>18</v>
      </c>
      <c r="B2344" s="2"/>
      <c r="C2344" s="2"/>
      <c r="D2344" s="2"/>
      <c r="E2344" s="2"/>
      <c r="F2344" s="2"/>
      <c r="G2344" s="2"/>
      <c r="H2344" s="3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9">
      <c r="A2349" s="1" t="s">
        <v>0</v>
      </c>
      <c r="B2349" s="2"/>
      <c r="C2349" s="2"/>
      <c r="D2349" s="2"/>
      <c r="E2349" s="2"/>
      <c r="F2349" s="2"/>
      <c r="G2349" s="2"/>
      <c r="H2349" s="3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>
      <c r="A2350" s="6" t="s">
        <v>581</v>
      </c>
      <c r="B2350" s="2"/>
      <c r="C2350" s="2"/>
      <c r="D2350" s="2"/>
      <c r="E2350" s="2"/>
      <c r="F2350" s="2"/>
      <c r="G2350" s="2"/>
      <c r="H2350" s="3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>
      <c r="A2351" s="7" t="s">
        <v>2</v>
      </c>
      <c r="B2351" s="7" t="s">
        <v>3</v>
      </c>
      <c r="C2351" s="7" t="s">
        <v>4</v>
      </c>
      <c r="D2351" s="7" t="s">
        <v>5</v>
      </c>
      <c r="E2351" s="7" t="s">
        <v>6</v>
      </c>
      <c r="F2351" s="8" t="s">
        <v>7</v>
      </c>
      <c r="G2351" s="7" t="s">
        <v>8</v>
      </c>
      <c r="H2351" s="9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>
      <c r="A2352" s="10">
        <v>1.0</v>
      </c>
      <c r="B2352" s="33" t="s">
        <v>94</v>
      </c>
      <c r="C2352" s="34" t="s">
        <v>582</v>
      </c>
      <c r="D2352" s="13" t="s">
        <v>11</v>
      </c>
      <c r="E2352" s="35">
        <v>1.8</v>
      </c>
      <c r="F2352" s="15">
        <v>293000.0</v>
      </c>
      <c r="G2352" s="16">
        <f t="shared" ref="G2352:G2354" si="156">IFERROR(E2352*F2352,0)</f>
        <v>527400</v>
      </c>
      <c r="H2352" s="17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>
      <c r="A2353" s="10">
        <v>2.0</v>
      </c>
      <c r="B2353" s="36" t="s">
        <v>583</v>
      </c>
      <c r="C2353" s="37" t="s">
        <v>584</v>
      </c>
      <c r="D2353" s="20" t="s">
        <v>13</v>
      </c>
      <c r="E2353" s="38">
        <v>1.65</v>
      </c>
      <c r="F2353" s="22">
        <v>435000.0</v>
      </c>
      <c r="G2353" s="16">
        <f t="shared" si="156"/>
        <v>717750</v>
      </c>
      <c r="H2353" s="17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>
      <c r="A2354" s="10">
        <v>3.0</v>
      </c>
      <c r="B2354" s="23" t="s">
        <v>14</v>
      </c>
      <c r="C2354" s="17"/>
      <c r="D2354" s="17"/>
      <c r="E2354" s="17"/>
      <c r="F2354" s="17"/>
      <c r="G2354" s="24">
        <f t="shared" si="156"/>
        <v>0</v>
      </c>
      <c r="H2354" s="17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>
      <c r="A2355" s="25" t="s">
        <v>15</v>
      </c>
      <c r="B2355" s="2"/>
      <c r="C2355" s="2"/>
      <c r="D2355" s="2"/>
      <c r="E2355" s="2"/>
      <c r="F2355" s="2"/>
      <c r="G2355" s="3"/>
      <c r="H2355" s="26">
        <f>SUM(G2352:G2354)</f>
        <v>1245150</v>
      </c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>
      <c r="A2356" s="25" t="s">
        <v>16</v>
      </c>
      <c r="B2356" s="2"/>
      <c r="C2356" s="2"/>
      <c r="D2356" s="2"/>
      <c r="E2356" s="2"/>
      <c r="F2356" s="2"/>
      <c r="G2356" s="3"/>
      <c r="H2356" s="26">
        <f>MAX(0,H2355-648000)</f>
        <v>597150</v>
      </c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>
      <c r="A2357" s="27" t="s">
        <v>17</v>
      </c>
      <c r="B2357" s="2"/>
      <c r="C2357" s="2"/>
      <c r="D2357" s="2"/>
      <c r="E2357" s="2"/>
      <c r="F2357" s="2"/>
      <c r="G2357" s="3"/>
      <c r="H2357" s="28">
        <v>649000.0</v>
      </c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>
      <c r="A2358" s="1" t="s">
        <v>18</v>
      </c>
      <c r="B2358" s="2"/>
      <c r="C2358" s="2"/>
      <c r="D2358" s="2"/>
      <c r="E2358" s="2"/>
      <c r="F2358" s="2"/>
      <c r="G2358" s="2"/>
      <c r="H2358" s="3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64">
      <c r="A2364" s="1" t="s">
        <v>0</v>
      </c>
      <c r="B2364" s="2"/>
      <c r="C2364" s="2"/>
      <c r="D2364" s="2"/>
      <c r="E2364" s="2"/>
      <c r="F2364" s="2"/>
      <c r="G2364" s="2"/>
      <c r="H2364" s="3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>
      <c r="A2365" s="6" t="s">
        <v>585</v>
      </c>
      <c r="B2365" s="2"/>
      <c r="C2365" s="2"/>
      <c r="D2365" s="2"/>
      <c r="E2365" s="2"/>
      <c r="F2365" s="2"/>
      <c r="G2365" s="2"/>
      <c r="H2365" s="3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>
      <c r="A2366" s="7" t="s">
        <v>2</v>
      </c>
      <c r="B2366" s="7" t="s">
        <v>3</v>
      </c>
      <c r="C2366" s="7" t="s">
        <v>4</v>
      </c>
      <c r="D2366" s="7" t="s">
        <v>5</v>
      </c>
      <c r="E2366" s="7" t="s">
        <v>6</v>
      </c>
      <c r="F2366" s="8" t="s">
        <v>7</v>
      </c>
      <c r="G2366" s="7" t="s">
        <v>8</v>
      </c>
      <c r="H2366" s="9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>
      <c r="A2367" s="10">
        <v>1.0</v>
      </c>
      <c r="B2367" s="33" t="s">
        <v>151</v>
      </c>
      <c r="C2367" s="34" t="s">
        <v>586</v>
      </c>
      <c r="D2367" s="13" t="s">
        <v>11</v>
      </c>
      <c r="E2367" s="35">
        <v>1.95</v>
      </c>
      <c r="F2367" s="15">
        <v>293000.0</v>
      </c>
      <c r="G2367" s="16">
        <f t="shared" ref="G2367:G2369" si="157">IFERROR(E2367*F2367,0)</f>
        <v>571350</v>
      </c>
      <c r="H2367" s="17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>
      <c r="A2368" s="10">
        <v>2.0</v>
      </c>
      <c r="B2368" s="36" t="s">
        <v>157</v>
      </c>
      <c r="C2368" s="37" t="s">
        <v>587</v>
      </c>
      <c r="D2368" s="20" t="s">
        <v>13</v>
      </c>
      <c r="E2368" s="38">
        <v>1.45</v>
      </c>
      <c r="F2368" s="22">
        <v>435000.0</v>
      </c>
      <c r="G2368" s="16">
        <f t="shared" si="157"/>
        <v>630750</v>
      </c>
      <c r="H2368" s="17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>
      <c r="A2369" s="10">
        <v>3.0</v>
      </c>
      <c r="B2369" s="23" t="s">
        <v>14</v>
      </c>
      <c r="C2369" s="17"/>
      <c r="D2369" s="17"/>
      <c r="E2369" s="17"/>
      <c r="F2369" s="17"/>
      <c r="G2369" s="24">
        <f t="shared" si="157"/>
        <v>0</v>
      </c>
      <c r="H2369" s="17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>
      <c r="A2370" s="25" t="s">
        <v>15</v>
      </c>
      <c r="B2370" s="2"/>
      <c r="C2370" s="2"/>
      <c r="D2370" s="2"/>
      <c r="E2370" s="2"/>
      <c r="F2370" s="2"/>
      <c r="G2370" s="3"/>
      <c r="H2370" s="26">
        <f>SUM(G2367:G2369)</f>
        <v>1202100</v>
      </c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>
      <c r="A2371" s="25" t="s">
        <v>16</v>
      </c>
      <c r="B2371" s="2"/>
      <c r="C2371" s="2"/>
      <c r="D2371" s="2"/>
      <c r="E2371" s="2"/>
      <c r="F2371" s="2"/>
      <c r="G2371" s="3"/>
      <c r="H2371" s="26">
        <f>MAX(0,H2370-648000)</f>
        <v>554100</v>
      </c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>
      <c r="A2372" s="27" t="s">
        <v>17</v>
      </c>
      <c r="B2372" s="2"/>
      <c r="C2372" s="2"/>
      <c r="D2372" s="2"/>
      <c r="E2372" s="2"/>
      <c r="F2372" s="2"/>
      <c r="G2372" s="3"/>
      <c r="H2372" s="28">
        <v>649000.0</v>
      </c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>
      <c r="A2373" s="1" t="s">
        <v>18</v>
      </c>
      <c r="B2373" s="2"/>
      <c r="C2373" s="2"/>
      <c r="D2373" s="2"/>
      <c r="E2373" s="2"/>
      <c r="F2373" s="2"/>
      <c r="G2373" s="2"/>
      <c r="H2373" s="3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9">
      <c r="A2379" s="1" t="s">
        <v>0</v>
      </c>
      <c r="B2379" s="2"/>
      <c r="C2379" s="2"/>
      <c r="D2379" s="2"/>
      <c r="E2379" s="2"/>
      <c r="F2379" s="2"/>
      <c r="G2379" s="2"/>
      <c r="H2379" s="3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>
      <c r="A2380" s="6" t="s">
        <v>588</v>
      </c>
      <c r="B2380" s="2"/>
      <c r="C2380" s="2"/>
      <c r="D2380" s="2"/>
      <c r="E2380" s="2"/>
      <c r="F2380" s="2"/>
      <c r="G2380" s="2"/>
      <c r="H2380" s="3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>
      <c r="A2381" s="7" t="s">
        <v>2</v>
      </c>
      <c r="B2381" s="7" t="s">
        <v>3</v>
      </c>
      <c r="C2381" s="7" t="s">
        <v>4</v>
      </c>
      <c r="D2381" s="7" t="s">
        <v>5</v>
      </c>
      <c r="E2381" s="7" t="s">
        <v>6</v>
      </c>
      <c r="F2381" s="8" t="s">
        <v>7</v>
      </c>
      <c r="G2381" s="7" t="s">
        <v>8</v>
      </c>
      <c r="H2381" s="9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>
      <c r="A2382" s="10">
        <v>1.0</v>
      </c>
      <c r="B2382" s="33" t="s">
        <v>308</v>
      </c>
      <c r="C2382" s="34" t="s">
        <v>589</v>
      </c>
      <c r="D2382" s="13" t="s">
        <v>11</v>
      </c>
      <c r="E2382" s="35">
        <v>1.43</v>
      </c>
      <c r="F2382" s="15">
        <v>293000.0</v>
      </c>
      <c r="G2382" s="16">
        <f t="shared" ref="G2382:G2384" si="158">IFERROR(E2382*F2382,0)</f>
        <v>418990</v>
      </c>
      <c r="H2382" s="17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>
      <c r="A2383" s="10">
        <v>2.0</v>
      </c>
      <c r="B2383" s="36" t="s">
        <v>234</v>
      </c>
      <c r="C2383" s="37" t="s">
        <v>590</v>
      </c>
      <c r="D2383" s="20" t="s">
        <v>13</v>
      </c>
      <c r="E2383" s="38">
        <v>2.0</v>
      </c>
      <c r="F2383" s="22">
        <v>435000.0</v>
      </c>
      <c r="G2383" s="16">
        <f t="shared" si="158"/>
        <v>870000</v>
      </c>
      <c r="H2383" s="17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>
      <c r="A2384" s="10">
        <v>3.0</v>
      </c>
      <c r="B2384" s="23" t="s">
        <v>14</v>
      </c>
      <c r="C2384" s="17"/>
      <c r="D2384" s="17"/>
      <c r="E2384" s="17"/>
      <c r="F2384" s="17"/>
      <c r="G2384" s="24">
        <f t="shared" si="158"/>
        <v>0</v>
      </c>
      <c r="H2384" s="17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>
      <c r="A2385" s="25" t="s">
        <v>15</v>
      </c>
      <c r="B2385" s="2"/>
      <c r="C2385" s="2"/>
      <c r="D2385" s="2"/>
      <c r="E2385" s="2"/>
      <c r="F2385" s="2"/>
      <c r="G2385" s="3"/>
      <c r="H2385" s="26">
        <f>SUM(G2382:G2384)</f>
        <v>1288990</v>
      </c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>
      <c r="A2386" s="25" t="s">
        <v>16</v>
      </c>
      <c r="B2386" s="2"/>
      <c r="C2386" s="2"/>
      <c r="D2386" s="2"/>
      <c r="E2386" s="2"/>
      <c r="F2386" s="2"/>
      <c r="G2386" s="3"/>
      <c r="H2386" s="26">
        <f>MAX(0,H2385-648000)</f>
        <v>640990</v>
      </c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>
      <c r="A2387" s="27" t="s">
        <v>17</v>
      </c>
      <c r="B2387" s="2"/>
      <c r="C2387" s="2"/>
      <c r="D2387" s="2"/>
      <c r="E2387" s="2"/>
      <c r="F2387" s="2"/>
      <c r="G2387" s="3"/>
      <c r="H2387" s="28">
        <v>649000.0</v>
      </c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>
      <c r="A2388" s="1" t="s">
        <v>18</v>
      </c>
      <c r="B2388" s="2"/>
      <c r="C2388" s="2"/>
      <c r="D2388" s="2"/>
      <c r="E2388" s="2"/>
      <c r="F2388" s="2"/>
      <c r="G2388" s="2"/>
      <c r="H2388" s="3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94">
      <c r="A2394" s="1" t="s">
        <v>0</v>
      </c>
      <c r="B2394" s="2"/>
      <c r="C2394" s="2"/>
      <c r="D2394" s="2"/>
      <c r="E2394" s="2"/>
      <c r="F2394" s="2"/>
      <c r="G2394" s="2"/>
      <c r="H2394" s="3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>
      <c r="A2395" s="6" t="s">
        <v>591</v>
      </c>
      <c r="B2395" s="2"/>
      <c r="C2395" s="2"/>
      <c r="D2395" s="2"/>
      <c r="E2395" s="2"/>
      <c r="F2395" s="2"/>
      <c r="G2395" s="2"/>
      <c r="H2395" s="3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>
      <c r="A2396" s="7" t="s">
        <v>2</v>
      </c>
      <c r="B2396" s="7" t="s">
        <v>3</v>
      </c>
      <c r="C2396" s="7" t="s">
        <v>4</v>
      </c>
      <c r="D2396" s="7" t="s">
        <v>5</v>
      </c>
      <c r="E2396" s="7" t="s">
        <v>6</v>
      </c>
      <c r="F2396" s="8" t="s">
        <v>7</v>
      </c>
      <c r="G2396" s="7" t="s">
        <v>8</v>
      </c>
      <c r="H2396" s="9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>
      <c r="A2397" s="10">
        <v>1.0</v>
      </c>
      <c r="B2397" s="33" t="s">
        <v>12</v>
      </c>
      <c r="C2397" s="34" t="s">
        <v>592</v>
      </c>
      <c r="D2397" s="13" t="s">
        <v>11</v>
      </c>
      <c r="E2397" s="35">
        <v>1.4</v>
      </c>
      <c r="F2397" s="15">
        <v>293000.0</v>
      </c>
      <c r="G2397" s="16">
        <f t="shared" ref="G2397:G2399" si="159">IFERROR(E2397*F2397,0)</f>
        <v>410200</v>
      </c>
      <c r="H2397" s="17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>
      <c r="A2398" s="10">
        <v>2.0</v>
      </c>
      <c r="B2398" s="36" t="s">
        <v>533</v>
      </c>
      <c r="C2398" s="37" t="s">
        <v>593</v>
      </c>
      <c r="D2398" s="20" t="s">
        <v>13</v>
      </c>
      <c r="E2398" s="38">
        <v>1.93</v>
      </c>
      <c r="F2398" s="22">
        <v>435000.0</v>
      </c>
      <c r="G2398" s="16">
        <f t="shared" si="159"/>
        <v>839550</v>
      </c>
      <c r="H2398" s="17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>
      <c r="A2399" s="10">
        <v>3.0</v>
      </c>
      <c r="B2399" s="23" t="s">
        <v>14</v>
      </c>
      <c r="C2399" s="17"/>
      <c r="D2399" s="17"/>
      <c r="E2399" s="17"/>
      <c r="F2399" s="17"/>
      <c r="G2399" s="24">
        <f t="shared" si="159"/>
        <v>0</v>
      </c>
      <c r="H2399" s="17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>
      <c r="A2400" s="25" t="s">
        <v>15</v>
      </c>
      <c r="B2400" s="2"/>
      <c r="C2400" s="2"/>
      <c r="D2400" s="2"/>
      <c r="E2400" s="2"/>
      <c r="F2400" s="2"/>
      <c r="G2400" s="3"/>
      <c r="H2400" s="26">
        <f>SUM(G2397:G2399)</f>
        <v>1249750</v>
      </c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>
      <c r="A2401" s="25" t="s">
        <v>16</v>
      </c>
      <c r="B2401" s="2"/>
      <c r="C2401" s="2"/>
      <c r="D2401" s="2"/>
      <c r="E2401" s="2"/>
      <c r="F2401" s="2"/>
      <c r="G2401" s="3"/>
      <c r="H2401" s="26">
        <f>MAX(0,H2400-648000)</f>
        <v>601750</v>
      </c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>
      <c r="A2402" s="27" t="s">
        <v>17</v>
      </c>
      <c r="B2402" s="2"/>
      <c r="C2402" s="2"/>
      <c r="D2402" s="2"/>
      <c r="E2402" s="2"/>
      <c r="F2402" s="2"/>
      <c r="G2402" s="3"/>
      <c r="H2402" s="28">
        <v>649000.0</v>
      </c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>
      <c r="A2403" s="1" t="s">
        <v>18</v>
      </c>
      <c r="B2403" s="2"/>
      <c r="C2403" s="2"/>
      <c r="D2403" s="2"/>
      <c r="E2403" s="2"/>
      <c r="F2403" s="2"/>
      <c r="G2403" s="2"/>
      <c r="H2403" s="3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9">
      <c r="A2409" s="1" t="s">
        <v>0</v>
      </c>
      <c r="B2409" s="2"/>
      <c r="C2409" s="2"/>
      <c r="D2409" s="2"/>
      <c r="E2409" s="2"/>
      <c r="F2409" s="2"/>
      <c r="G2409" s="2"/>
      <c r="H2409" s="3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>
      <c r="A2410" s="6" t="s">
        <v>594</v>
      </c>
      <c r="B2410" s="2"/>
      <c r="C2410" s="2"/>
      <c r="D2410" s="2"/>
      <c r="E2410" s="2"/>
      <c r="F2410" s="2"/>
      <c r="G2410" s="2"/>
      <c r="H2410" s="3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>
      <c r="A2411" s="7" t="s">
        <v>2</v>
      </c>
      <c r="B2411" s="7" t="s">
        <v>3</v>
      </c>
      <c r="C2411" s="7" t="s">
        <v>4</v>
      </c>
      <c r="D2411" s="7" t="s">
        <v>5</v>
      </c>
      <c r="E2411" s="7" t="s">
        <v>6</v>
      </c>
      <c r="F2411" s="8" t="s">
        <v>7</v>
      </c>
      <c r="G2411" s="7" t="s">
        <v>8</v>
      </c>
      <c r="H2411" s="9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>
      <c r="A2412" s="10">
        <v>1.0</v>
      </c>
      <c r="B2412" s="33" t="s">
        <v>595</v>
      </c>
      <c r="C2412" s="34" t="s">
        <v>596</v>
      </c>
      <c r="D2412" s="13" t="s">
        <v>11</v>
      </c>
      <c r="E2412" s="35">
        <v>1.0</v>
      </c>
      <c r="F2412" s="15">
        <v>293000.0</v>
      </c>
      <c r="G2412" s="16">
        <f t="shared" ref="G2412:G2414" si="160">IFERROR(E2412*F2412,0)</f>
        <v>293000</v>
      </c>
      <c r="H2412" s="17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>
      <c r="A2413" s="10">
        <v>2.0</v>
      </c>
      <c r="B2413" s="36" t="s">
        <v>597</v>
      </c>
      <c r="C2413" s="37" t="s">
        <v>598</v>
      </c>
      <c r="D2413" s="20" t="s">
        <v>13</v>
      </c>
      <c r="E2413" s="38">
        <v>2.48</v>
      </c>
      <c r="F2413" s="22">
        <v>435000.0</v>
      </c>
      <c r="G2413" s="16">
        <f t="shared" si="160"/>
        <v>1078800</v>
      </c>
      <c r="H2413" s="17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>
      <c r="A2414" s="10">
        <v>3.0</v>
      </c>
      <c r="B2414" s="23" t="s">
        <v>14</v>
      </c>
      <c r="C2414" s="17"/>
      <c r="D2414" s="17"/>
      <c r="E2414" s="17"/>
      <c r="F2414" s="17"/>
      <c r="G2414" s="24">
        <f t="shared" si="160"/>
        <v>0</v>
      </c>
      <c r="H2414" s="17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>
      <c r="A2415" s="25" t="s">
        <v>15</v>
      </c>
      <c r="B2415" s="2"/>
      <c r="C2415" s="2"/>
      <c r="D2415" s="2"/>
      <c r="E2415" s="2"/>
      <c r="F2415" s="2"/>
      <c r="G2415" s="3"/>
      <c r="H2415" s="26">
        <f>SUM(G2412:G2414)</f>
        <v>1371800</v>
      </c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>
      <c r="A2416" s="25" t="s">
        <v>16</v>
      </c>
      <c r="B2416" s="2"/>
      <c r="C2416" s="2"/>
      <c r="D2416" s="2"/>
      <c r="E2416" s="2"/>
      <c r="F2416" s="2"/>
      <c r="G2416" s="3"/>
      <c r="H2416" s="26">
        <f>MAX(0,H2415-648000)</f>
        <v>723800</v>
      </c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>
      <c r="A2417" s="27" t="s">
        <v>17</v>
      </c>
      <c r="B2417" s="2"/>
      <c r="C2417" s="2"/>
      <c r="D2417" s="2"/>
      <c r="E2417" s="2"/>
      <c r="F2417" s="2"/>
      <c r="G2417" s="3"/>
      <c r="H2417" s="28">
        <v>649000.0</v>
      </c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>
      <c r="A2418" s="1" t="s">
        <v>18</v>
      </c>
      <c r="B2418" s="2"/>
      <c r="C2418" s="2"/>
      <c r="D2418" s="2"/>
      <c r="E2418" s="2"/>
      <c r="F2418" s="2"/>
      <c r="G2418" s="2"/>
      <c r="H2418" s="3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24">
      <c r="A2424" s="1" t="s">
        <v>0</v>
      </c>
      <c r="B2424" s="2"/>
      <c r="C2424" s="2"/>
      <c r="D2424" s="2"/>
      <c r="E2424" s="2"/>
      <c r="F2424" s="2"/>
      <c r="G2424" s="2"/>
      <c r="H2424" s="3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>
      <c r="A2425" s="6" t="s">
        <v>599</v>
      </c>
      <c r="B2425" s="2"/>
      <c r="C2425" s="2"/>
      <c r="D2425" s="2"/>
      <c r="E2425" s="2"/>
      <c r="F2425" s="2"/>
      <c r="G2425" s="2"/>
      <c r="H2425" s="3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>
      <c r="A2426" s="7" t="s">
        <v>2</v>
      </c>
      <c r="B2426" s="7" t="s">
        <v>3</v>
      </c>
      <c r="C2426" s="7" t="s">
        <v>4</v>
      </c>
      <c r="D2426" s="7" t="s">
        <v>5</v>
      </c>
      <c r="E2426" s="7" t="s">
        <v>6</v>
      </c>
      <c r="F2426" s="8" t="s">
        <v>7</v>
      </c>
      <c r="G2426" s="7" t="s">
        <v>8</v>
      </c>
      <c r="H2426" s="9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>
      <c r="A2427" s="10">
        <v>1.0</v>
      </c>
      <c r="B2427" s="33" t="s">
        <v>12</v>
      </c>
      <c r="C2427" s="34" t="s">
        <v>600</v>
      </c>
      <c r="D2427" s="13" t="s">
        <v>11</v>
      </c>
      <c r="E2427" s="35">
        <v>1.3</v>
      </c>
      <c r="F2427" s="15">
        <v>293000.0</v>
      </c>
      <c r="G2427" s="16">
        <f t="shared" ref="G2427:G2429" si="161">IFERROR(E2427*F2427,0)</f>
        <v>380900</v>
      </c>
      <c r="H2427" s="17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>
      <c r="A2428" s="10">
        <v>2.0</v>
      </c>
      <c r="B2428" s="36" t="s">
        <v>383</v>
      </c>
      <c r="C2428" s="37" t="s">
        <v>601</v>
      </c>
      <c r="D2428" s="20" t="s">
        <v>13</v>
      </c>
      <c r="E2428" s="38">
        <v>2.24</v>
      </c>
      <c r="F2428" s="22">
        <v>435000.0</v>
      </c>
      <c r="G2428" s="16">
        <f t="shared" si="161"/>
        <v>974400</v>
      </c>
      <c r="H2428" s="17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>
      <c r="A2429" s="10">
        <v>3.0</v>
      </c>
      <c r="B2429" s="23" t="s">
        <v>14</v>
      </c>
      <c r="C2429" s="17"/>
      <c r="D2429" s="17"/>
      <c r="E2429" s="17"/>
      <c r="F2429" s="17"/>
      <c r="G2429" s="24">
        <f t="shared" si="161"/>
        <v>0</v>
      </c>
      <c r="H2429" s="17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>
      <c r="A2430" s="25" t="s">
        <v>15</v>
      </c>
      <c r="B2430" s="2"/>
      <c r="C2430" s="2"/>
      <c r="D2430" s="2"/>
      <c r="E2430" s="2"/>
      <c r="F2430" s="2"/>
      <c r="G2430" s="3"/>
      <c r="H2430" s="26">
        <f>SUM(G2427:G2429)</f>
        <v>1355300</v>
      </c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>
      <c r="A2431" s="25" t="s">
        <v>16</v>
      </c>
      <c r="B2431" s="2"/>
      <c r="C2431" s="2"/>
      <c r="D2431" s="2"/>
      <c r="E2431" s="2"/>
      <c r="F2431" s="2"/>
      <c r="G2431" s="3"/>
      <c r="H2431" s="26">
        <f>MAX(0,H2430-648000)</f>
        <v>707300</v>
      </c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>
      <c r="A2432" s="27" t="s">
        <v>17</v>
      </c>
      <c r="B2432" s="2"/>
      <c r="C2432" s="2"/>
      <c r="D2432" s="2"/>
      <c r="E2432" s="2"/>
      <c r="F2432" s="2"/>
      <c r="G2432" s="3"/>
      <c r="H2432" s="28">
        <v>649000.0</v>
      </c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>
      <c r="A2433" s="1" t="s">
        <v>18</v>
      </c>
      <c r="B2433" s="2"/>
      <c r="C2433" s="2"/>
      <c r="D2433" s="2"/>
      <c r="E2433" s="2"/>
      <c r="F2433" s="2"/>
      <c r="G2433" s="2"/>
      <c r="H2433" s="3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8">
      <c r="A2438" s="1" t="s">
        <v>0</v>
      </c>
      <c r="B2438" s="2"/>
      <c r="C2438" s="2"/>
      <c r="D2438" s="2"/>
      <c r="E2438" s="2"/>
      <c r="F2438" s="2"/>
      <c r="G2438" s="2"/>
      <c r="H2438" s="3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>
      <c r="A2439" s="6" t="s">
        <v>602</v>
      </c>
      <c r="B2439" s="2"/>
      <c r="C2439" s="2"/>
      <c r="D2439" s="2"/>
      <c r="E2439" s="2"/>
      <c r="F2439" s="2"/>
      <c r="G2439" s="2"/>
      <c r="H2439" s="3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>
      <c r="A2440" s="7" t="s">
        <v>2</v>
      </c>
      <c r="B2440" s="7" t="s">
        <v>3</v>
      </c>
      <c r="C2440" s="7" t="s">
        <v>4</v>
      </c>
      <c r="D2440" s="7" t="s">
        <v>5</v>
      </c>
      <c r="E2440" s="7" t="s">
        <v>6</v>
      </c>
      <c r="F2440" s="8" t="s">
        <v>7</v>
      </c>
      <c r="G2440" s="7" t="s">
        <v>8</v>
      </c>
      <c r="H2440" s="9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>
      <c r="A2441" s="10">
        <v>1.0</v>
      </c>
      <c r="B2441" s="33" t="s">
        <v>137</v>
      </c>
      <c r="C2441" s="34" t="s">
        <v>603</v>
      </c>
      <c r="D2441" s="13" t="s">
        <v>11</v>
      </c>
      <c r="E2441" s="35">
        <v>2.0</v>
      </c>
      <c r="F2441" s="15">
        <v>293000.0</v>
      </c>
      <c r="G2441" s="16">
        <f t="shared" ref="G2441:G2443" si="162">IFERROR(E2441*F2441,0)</f>
        <v>586000</v>
      </c>
      <c r="H2441" s="17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>
      <c r="A2442" s="10">
        <v>2.0</v>
      </c>
      <c r="B2442" s="36" t="s">
        <v>25</v>
      </c>
      <c r="C2442" s="37" t="s">
        <v>604</v>
      </c>
      <c r="D2442" s="20" t="s">
        <v>13</v>
      </c>
      <c r="E2442" s="38">
        <v>1.46</v>
      </c>
      <c r="F2442" s="22">
        <v>435000.0</v>
      </c>
      <c r="G2442" s="16">
        <f t="shared" si="162"/>
        <v>635100</v>
      </c>
      <c r="H2442" s="17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>
      <c r="A2443" s="10">
        <v>3.0</v>
      </c>
      <c r="B2443" s="23" t="s">
        <v>14</v>
      </c>
      <c r="C2443" s="17"/>
      <c r="D2443" s="17"/>
      <c r="E2443" s="17"/>
      <c r="F2443" s="17"/>
      <c r="G2443" s="24">
        <f t="shared" si="162"/>
        <v>0</v>
      </c>
      <c r="H2443" s="17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>
      <c r="A2444" s="25" t="s">
        <v>15</v>
      </c>
      <c r="B2444" s="2"/>
      <c r="C2444" s="2"/>
      <c r="D2444" s="2"/>
      <c r="E2444" s="2"/>
      <c r="F2444" s="2"/>
      <c r="G2444" s="3"/>
      <c r="H2444" s="26">
        <f>SUM(G2441:G2443)</f>
        <v>1221100</v>
      </c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>
      <c r="A2445" s="25" t="s">
        <v>16</v>
      </c>
      <c r="B2445" s="2"/>
      <c r="C2445" s="2"/>
      <c r="D2445" s="2"/>
      <c r="E2445" s="2"/>
      <c r="F2445" s="2"/>
      <c r="G2445" s="3"/>
      <c r="H2445" s="26">
        <f>MAX(0,H2444-648000)</f>
        <v>573100</v>
      </c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>
      <c r="A2446" s="27" t="s">
        <v>17</v>
      </c>
      <c r="B2446" s="2"/>
      <c r="C2446" s="2"/>
      <c r="D2446" s="2"/>
      <c r="E2446" s="2"/>
      <c r="F2446" s="2"/>
      <c r="G2446" s="3"/>
      <c r="H2446" s="28">
        <v>649000.0</v>
      </c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>
      <c r="A2447" s="1" t="s">
        <v>18</v>
      </c>
      <c r="B2447" s="2"/>
      <c r="C2447" s="2"/>
      <c r="D2447" s="2"/>
      <c r="E2447" s="2"/>
      <c r="F2447" s="2"/>
      <c r="G2447" s="2"/>
      <c r="H2447" s="3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54">
      <c r="A2454" s="1" t="s">
        <v>0</v>
      </c>
      <c r="B2454" s="2"/>
      <c r="C2454" s="2"/>
      <c r="D2454" s="2"/>
      <c r="E2454" s="2"/>
      <c r="F2454" s="2"/>
      <c r="G2454" s="2"/>
      <c r="H2454" s="3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>
      <c r="A2455" s="6" t="s">
        <v>605</v>
      </c>
      <c r="B2455" s="2"/>
      <c r="C2455" s="2"/>
      <c r="D2455" s="2"/>
      <c r="E2455" s="2"/>
      <c r="F2455" s="2"/>
      <c r="G2455" s="2"/>
      <c r="H2455" s="3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>
      <c r="A2456" s="7" t="s">
        <v>2</v>
      </c>
      <c r="B2456" s="7" t="s">
        <v>3</v>
      </c>
      <c r="C2456" s="7" t="s">
        <v>4</v>
      </c>
      <c r="D2456" s="7" t="s">
        <v>5</v>
      </c>
      <c r="E2456" s="7" t="s">
        <v>6</v>
      </c>
      <c r="F2456" s="8" t="s">
        <v>7</v>
      </c>
      <c r="G2456" s="7" t="s">
        <v>8</v>
      </c>
      <c r="H2456" s="9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>
      <c r="A2457" s="10">
        <v>1.0</v>
      </c>
      <c r="B2457" s="33" t="s">
        <v>606</v>
      </c>
      <c r="C2457" s="34" t="s">
        <v>607</v>
      </c>
      <c r="D2457" s="13" t="s">
        <v>11</v>
      </c>
      <c r="E2457" s="35">
        <v>1.45</v>
      </c>
      <c r="F2457" s="15">
        <v>293000.0</v>
      </c>
      <c r="G2457" s="16">
        <f t="shared" ref="G2457:G2459" si="163">IFERROR(E2457*F2457,0)</f>
        <v>424850</v>
      </c>
      <c r="H2457" s="17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>
      <c r="A2458" s="10">
        <v>2.0</v>
      </c>
      <c r="B2458" s="36" t="s">
        <v>608</v>
      </c>
      <c r="C2458" s="37" t="s">
        <v>609</v>
      </c>
      <c r="D2458" s="20" t="s">
        <v>13</v>
      </c>
      <c r="E2458" s="38">
        <v>1.96</v>
      </c>
      <c r="F2458" s="22">
        <v>435000.0</v>
      </c>
      <c r="G2458" s="16">
        <f t="shared" si="163"/>
        <v>852600</v>
      </c>
      <c r="H2458" s="17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>
      <c r="A2459" s="10">
        <v>3.0</v>
      </c>
      <c r="B2459" s="23" t="s">
        <v>14</v>
      </c>
      <c r="C2459" s="17"/>
      <c r="D2459" s="17"/>
      <c r="E2459" s="17"/>
      <c r="F2459" s="17"/>
      <c r="G2459" s="24">
        <f t="shared" si="163"/>
        <v>0</v>
      </c>
      <c r="H2459" s="17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>
      <c r="A2460" s="25" t="s">
        <v>15</v>
      </c>
      <c r="B2460" s="2"/>
      <c r="C2460" s="2"/>
      <c r="D2460" s="2"/>
      <c r="E2460" s="2"/>
      <c r="F2460" s="2"/>
      <c r="G2460" s="3"/>
      <c r="H2460" s="26">
        <f>SUM(G2457:G2459)</f>
        <v>1277450</v>
      </c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>
      <c r="A2461" s="25" t="s">
        <v>16</v>
      </c>
      <c r="B2461" s="2"/>
      <c r="C2461" s="2"/>
      <c r="D2461" s="2"/>
      <c r="E2461" s="2"/>
      <c r="F2461" s="2"/>
      <c r="G2461" s="3"/>
      <c r="H2461" s="26">
        <f>MAX(0,H2460-648000)</f>
        <v>629450</v>
      </c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>
      <c r="A2462" s="27" t="s">
        <v>17</v>
      </c>
      <c r="B2462" s="2"/>
      <c r="C2462" s="2"/>
      <c r="D2462" s="2"/>
      <c r="E2462" s="2"/>
      <c r="F2462" s="2"/>
      <c r="G2462" s="3"/>
      <c r="H2462" s="28">
        <v>649000.0</v>
      </c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>
      <c r="A2463" s="1" t="s">
        <v>18</v>
      </c>
      <c r="B2463" s="2"/>
      <c r="C2463" s="2"/>
      <c r="D2463" s="2"/>
      <c r="E2463" s="2"/>
      <c r="F2463" s="2"/>
      <c r="G2463" s="2"/>
      <c r="H2463" s="3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8">
      <c r="A2468" s="1" t="s">
        <v>0</v>
      </c>
      <c r="B2468" s="2"/>
      <c r="C2468" s="2"/>
      <c r="D2468" s="2"/>
      <c r="E2468" s="2"/>
      <c r="F2468" s="2"/>
      <c r="G2468" s="2"/>
      <c r="H2468" s="3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>
      <c r="A2469" s="6" t="s">
        <v>610</v>
      </c>
      <c r="B2469" s="2"/>
      <c r="C2469" s="2"/>
      <c r="D2469" s="2"/>
      <c r="E2469" s="2"/>
      <c r="F2469" s="2"/>
      <c r="G2469" s="2"/>
      <c r="H2469" s="3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>
      <c r="A2470" s="7" t="s">
        <v>2</v>
      </c>
      <c r="B2470" s="7" t="s">
        <v>3</v>
      </c>
      <c r="C2470" s="7" t="s">
        <v>4</v>
      </c>
      <c r="D2470" s="7" t="s">
        <v>5</v>
      </c>
      <c r="E2470" s="7" t="s">
        <v>6</v>
      </c>
      <c r="F2470" s="8" t="s">
        <v>7</v>
      </c>
      <c r="G2470" s="7" t="s">
        <v>8</v>
      </c>
      <c r="H2470" s="9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>
      <c r="A2471" s="10">
        <v>1.0</v>
      </c>
      <c r="B2471" s="33" t="s">
        <v>611</v>
      </c>
      <c r="C2471" s="34" t="s">
        <v>612</v>
      </c>
      <c r="D2471" s="13" t="s">
        <v>11</v>
      </c>
      <c r="E2471" s="35">
        <v>1.4</v>
      </c>
      <c r="F2471" s="15">
        <v>293000.0</v>
      </c>
      <c r="G2471" s="16">
        <f t="shared" ref="G2471:G2473" si="164">IFERROR(E2471*F2471,0)</f>
        <v>410200</v>
      </c>
      <c r="H2471" s="17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>
      <c r="A2472" s="10">
        <v>2.0</v>
      </c>
      <c r="B2472" s="36" t="s">
        <v>613</v>
      </c>
      <c r="C2472" s="37" t="s">
        <v>614</v>
      </c>
      <c r="D2472" s="20" t="s">
        <v>13</v>
      </c>
      <c r="E2472" s="38">
        <v>1.64</v>
      </c>
      <c r="F2472" s="22">
        <v>435000.0</v>
      </c>
      <c r="G2472" s="16">
        <f t="shared" si="164"/>
        <v>713400</v>
      </c>
      <c r="H2472" s="17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>
      <c r="A2473" s="10">
        <v>3.0</v>
      </c>
      <c r="B2473" s="23" t="s">
        <v>14</v>
      </c>
      <c r="C2473" s="17"/>
      <c r="D2473" s="17"/>
      <c r="E2473" s="17"/>
      <c r="F2473" s="17"/>
      <c r="G2473" s="24">
        <f t="shared" si="164"/>
        <v>0</v>
      </c>
      <c r="H2473" s="17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>
      <c r="A2474" s="25" t="s">
        <v>15</v>
      </c>
      <c r="B2474" s="2"/>
      <c r="C2474" s="2"/>
      <c r="D2474" s="2"/>
      <c r="E2474" s="2"/>
      <c r="F2474" s="2"/>
      <c r="G2474" s="3"/>
      <c r="H2474" s="26">
        <f>SUM(G2471:G2473)</f>
        <v>1123600</v>
      </c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>
      <c r="A2475" s="25" t="s">
        <v>16</v>
      </c>
      <c r="B2475" s="2"/>
      <c r="C2475" s="2"/>
      <c r="D2475" s="2"/>
      <c r="E2475" s="2"/>
      <c r="F2475" s="2"/>
      <c r="G2475" s="3"/>
      <c r="H2475" s="26">
        <f>MAX(0,H2474-648000)</f>
        <v>475600</v>
      </c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>
      <c r="A2476" s="27" t="s">
        <v>17</v>
      </c>
      <c r="B2476" s="2"/>
      <c r="C2476" s="2"/>
      <c r="D2476" s="2"/>
      <c r="E2476" s="2"/>
      <c r="F2476" s="2"/>
      <c r="G2476" s="3"/>
      <c r="H2476" s="28">
        <v>649000.0</v>
      </c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>
      <c r="A2477" s="1" t="s">
        <v>18</v>
      </c>
      <c r="B2477" s="2"/>
      <c r="C2477" s="2"/>
      <c r="D2477" s="2"/>
      <c r="E2477" s="2"/>
      <c r="F2477" s="2"/>
      <c r="G2477" s="2"/>
      <c r="H2477" s="3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83">
      <c r="A2483" s="1" t="s">
        <v>0</v>
      </c>
      <c r="B2483" s="2"/>
      <c r="C2483" s="2"/>
      <c r="D2483" s="2"/>
      <c r="E2483" s="2"/>
      <c r="F2483" s="2"/>
      <c r="G2483" s="2"/>
      <c r="H2483" s="3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>
      <c r="A2484" s="6" t="s">
        <v>615</v>
      </c>
      <c r="B2484" s="2"/>
      <c r="C2484" s="2"/>
      <c r="D2484" s="2"/>
      <c r="E2484" s="2"/>
      <c r="F2484" s="2"/>
      <c r="G2484" s="2"/>
      <c r="H2484" s="3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>
      <c r="A2485" s="7" t="s">
        <v>2</v>
      </c>
      <c r="B2485" s="7" t="s">
        <v>3</v>
      </c>
      <c r="C2485" s="7" t="s">
        <v>4</v>
      </c>
      <c r="D2485" s="7" t="s">
        <v>5</v>
      </c>
      <c r="E2485" s="7" t="s">
        <v>6</v>
      </c>
      <c r="F2485" s="8" t="s">
        <v>7</v>
      </c>
      <c r="G2485" s="7" t="s">
        <v>8</v>
      </c>
      <c r="H2485" s="9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>
      <c r="A2486" s="10">
        <v>1.0</v>
      </c>
      <c r="B2486" s="33" t="s">
        <v>39</v>
      </c>
      <c r="C2486" s="34" t="s">
        <v>616</v>
      </c>
      <c r="D2486" s="13" t="s">
        <v>11</v>
      </c>
      <c r="E2486" s="35">
        <v>1.5</v>
      </c>
      <c r="F2486" s="15">
        <v>293000.0</v>
      </c>
      <c r="G2486" s="16">
        <f t="shared" ref="G2486:G2488" si="165">IFERROR(E2486*F2486,0)</f>
        <v>439500</v>
      </c>
      <c r="H2486" s="17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>
      <c r="A2487" s="10">
        <v>2.0</v>
      </c>
      <c r="B2487" s="36" t="s">
        <v>617</v>
      </c>
      <c r="C2487" s="37" t="s">
        <v>618</v>
      </c>
      <c r="D2487" s="20" t="s">
        <v>13</v>
      </c>
      <c r="E2487" s="38">
        <v>2.0</v>
      </c>
      <c r="F2487" s="22">
        <v>435000.0</v>
      </c>
      <c r="G2487" s="16">
        <f t="shared" si="165"/>
        <v>870000</v>
      </c>
      <c r="H2487" s="17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>
      <c r="A2488" s="10">
        <v>3.0</v>
      </c>
      <c r="B2488" s="23" t="s">
        <v>14</v>
      </c>
      <c r="C2488" s="17"/>
      <c r="D2488" s="17"/>
      <c r="E2488" s="17"/>
      <c r="F2488" s="17"/>
      <c r="G2488" s="24">
        <f t="shared" si="165"/>
        <v>0</v>
      </c>
      <c r="H2488" s="17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>
      <c r="A2489" s="25" t="s">
        <v>15</v>
      </c>
      <c r="B2489" s="2"/>
      <c r="C2489" s="2"/>
      <c r="D2489" s="2"/>
      <c r="E2489" s="2"/>
      <c r="F2489" s="2"/>
      <c r="G2489" s="3"/>
      <c r="H2489" s="26">
        <f>SUM(G2486:G2488)</f>
        <v>1309500</v>
      </c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>
      <c r="A2490" s="25" t="s">
        <v>16</v>
      </c>
      <c r="B2490" s="2"/>
      <c r="C2490" s="2"/>
      <c r="D2490" s="2"/>
      <c r="E2490" s="2"/>
      <c r="F2490" s="2"/>
      <c r="G2490" s="3"/>
      <c r="H2490" s="26">
        <f>MAX(0,H2489-648000)</f>
        <v>661500</v>
      </c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>
      <c r="A2491" s="27" t="s">
        <v>17</v>
      </c>
      <c r="B2491" s="2"/>
      <c r="C2491" s="2"/>
      <c r="D2491" s="2"/>
      <c r="E2491" s="2"/>
      <c r="F2491" s="2"/>
      <c r="G2491" s="3"/>
      <c r="H2491" s="28">
        <v>649000.0</v>
      </c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>
      <c r="A2492" s="1" t="s">
        <v>18</v>
      </c>
      <c r="B2492" s="2"/>
      <c r="C2492" s="2"/>
      <c r="D2492" s="2"/>
      <c r="E2492" s="2"/>
      <c r="F2492" s="2"/>
      <c r="G2492" s="2"/>
      <c r="H2492" s="3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8">
      <c r="A2498" s="1" t="s">
        <v>0</v>
      </c>
      <c r="B2498" s="2"/>
      <c r="C2498" s="2"/>
      <c r="D2498" s="2"/>
      <c r="E2498" s="2"/>
      <c r="F2498" s="2"/>
      <c r="G2498" s="2"/>
      <c r="H2498" s="3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>
      <c r="A2499" s="6" t="s">
        <v>619</v>
      </c>
      <c r="B2499" s="2"/>
      <c r="C2499" s="2"/>
      <c r="D2499" s="2"/>
      <c r="E2499" s="2"/>
      <c r="F2499" s="2"/>
      <c r="G2499" s="2"/>
      <c r="H2499" s="3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>
      <c r="A2500" s="7" t="s">
        <v>2</v>
      </c>
      <c r="B2500" s="7" t="s">
        <v>3</v>
      </c>
      <c r="C2500" s="7" t="s">
        <v>4</v>
      </c>
      <c r="D2500" s="7" t="s">
        <v>5</v>
      </c>
      <c r="E2500" s="7" t="s">
        <v>6</v>
      </c>
      <c r="F2500" s="8" t="s">
        <v>7</v>
      </c>
      <c r="G2500" s="7" t="s">
        <v>8</v>
      </c>
      <c r="H2500" s="9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>
      <c r="A2501" s="10">
        <v>1.0</v>
      </c>
      <c r="B2501" s="33" t="s">
        <v>58</v>
      </c>
      <c r="C2501" s="34" t="s">
        <v>620</v>
      </c>
      <c r="D2501" s="13" t="s">
        <v>11</v>
      </c>
      <c r="E2501" s="35">
        <v>1.3</v>
      </c>
      <c r="F2501" s="15">
        <v>293000.0</v>
      </c>
      <c r="G2501" s="16">
        <f t="shared" ref="G2501:G2503" si="166">IFERROR(E2501*F2501,0)</f>
        <v>380900</v>
      </c>
      <c r="H2501" s="17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>
      <c r="A2502" s="10">
        <v>2.0</v>
      </c>
      <c r="B2502" s="36" t="s">
        <v>621</v>
      </c>
      <c r="C2502" s="37" t="s">
        <v>622</v>
      </c>
      <c r="D2502" s="20" t="s">
        <v>13</v>
      </c>
      <c r="E2502" s="38">
        <v>2.3</v>
      </c>
      <c r="F2502" s="22">
        <v>435000.0</v>
      </c>
      <c r="G2502" s="16">
        <f t="shared" si="166"/>
        <v>1000500</v>
      </c>
      <c r="H2502" s="17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>
      <c r="A2503" s="10">
        <v>3.0</v>
      </c>
      <c r="B2503" s="23" t="s">
        <v>14</v>
      </c>
      <c r="C2503" s="17"/>
      <c r="D2503" s="17"/>
      <c r="E2503" s="17"/>
      <c r="F2503" s="17"/>
      <c r="G2503" s="24">
        <f t="shared" si="166"/>
        <v>0</v>
      </c>
      <c r="H2503" s="17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>
      <c r="A2504" s="25" t="s">
        <v>15</v>
      </c>
      <c r="B2504" s="2"/>
      <c r="C2504" s="2"/>
      <c r="D2504" s="2"/>
      <c r="E2504" s="2"/>
      <c r="F2504" s="2"/>
      <c r="G2504" s="3"/>
      <c r="H2504" s="26">
        <f>SUM(G2501:G2503)</f>
        <v>1381400</v>
      </c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>
      <c r="A2505" s="25" t="s">
        <v>16</v>
      </c>
      <c r="B2505" s="2"/>
      <c r="C2505" s="2"/>
      <c r="D2505" s="2"/>
      <c r="E2505" s="2"/>
      <c r="F2505" s="2"/>
      <c r="G2505" s="3"/>
      <c r="H2505" s="26">
        <f>MAX(0,H2504-648000)</f>
        <v>733400</v>
      </c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>
      <c r="A2506" s="27" t="s">
        <v>17</v>
      </c>
      <c r="B2506" s="2"/>
      <c r="C2506" s="2"/>
      <c r="D2506" s="2"/>
      <c r="E2506" s="2"/>
      <c r="F2506" s="2"/>
      <c r="G2506" s="3"/>
      <c r="H2506" s="28">
        <v>649000.0</v>
      </c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>
      <c r="A2507" s="1" t="s">
        <v>18</v>
      </c>
      <c r="B2507" s="2"/>
      <c r="C2507" s="2"/>
      <c r="D2507" s="2"/>
      <c r="E2507" s="2"/>
      <c r="F2507" s="2"/>
      <c r="G2507" s="2"/>
      <c r="H2507" s="3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12">
      <c r="A2512" s="1" t="s">
        <v>0</v>
      </c>
      <c r="B2512" s="2"/>
      <c r="C2512" s="2"/>
      <c r="D2512" s="2"/>
      <c r="E2512" s="2"/>
      <c r="F2512" s="2"/>
      <c r="G2512" s="2"/>
      <c r="H2512" s="3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>
      <c r="A2513" s="6" t="s">
        <v>623</v>
      </c>
      <c r="B2513" s="2"/>
      <c r="C2513" s="2"/>
      <c r="D2513" s="2"/>
      <c r="E2513" s="2"/>
      <c r="F2513" s="2"/>
      <c r="G2513" s="2"/>
      <c r="H2513" s="3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>
      <c r="A2514" s="7" t="s">
        <v>2</v>
      </c>
      <c r="B2514" s="7" t="s">
        <v>3</v>
      </c>
      <c r="C2514" s="7" t="s">
        <v>4</v>
      </c>
      <c r="D2514" s="7" t="s">
        <v>5</v>
      </c>
      <c r="E2514" s="7" t="s">
        <v>6</v>
      </c>
      <c r="F2514" s="8" t="s">
        <v>7</v>
      </c>
      <c r="G2514" s="7" t="s">
        <v>8</v>
      </c>
      <c r="H2514" s="9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>
      <c r="A2515" s="10">
        <v>1.0</v>
      </c>
      <c r="B2515" s="33" t="s">
        <v>611</v>
      </c>
      <c r="C2515" s="34" t="s">
        <v>612</v>
      </c>
      <c r="D2515" s="13" t="s">
        <v>11</v>
      </c>
      <c r="E2515" s="35">
        <v>1.76</v>
      </c>
      <c r="F2515" s="15">
        <v>293000.0</v>
      </c>
      <c r="G2515" s="16">
        <f t="shared" ref="G2515:G2517" si="167">IFERROR(E2515*F2515,0)</f>
        <v>515680</v>
      </c>
      <c r="H2515" s="17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>
      <c r="A2516" s="10">
        <v>2.0</v>
      </c>
      <c r="B2516" s="36" t="s">
        <v>301</v>
      </c>
      <c r="C2516" s="37" t="s">
        <v>624</v>
      </c>
      <c r="D2516" s="20" t="s">
        <v>13</v>
      </c>
      <c r="E2516" s="38">
        <v>1.6</v>
      </c>
      <c r="F2516" s="22">
        <v>435000.0</v>
      </c>
      <c r="G2516" s="16">
        <f t="shared" si="167"/>
        <v>696000</v>
      </c>
      <c r="H2516" s="17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>
      <c r="A2517" s="10">
        <v>3.0</v>
      </c>
      <c r="B2517" s="23" t="s">
        <v>14</v>
      </c>
      <c r="C2517" s="17"/>
      <c r="D2517" s="17"/>
      <c r="E2517" s="17"/>
      <c r="F2517" s="17"/>
      <c r="G2517" s="24">
        <f t="shared" si="167"/>
        <v>0</v>
      </c>
      <c r="H2517" s="17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>
      <c r="A2518" s="25" t="s">
        <v>15</v>
      </c>
      <c r="B2518" s="2"/>
      <c r="C2518" s="2"/>
      <c r="D2518" s="2"/>
      <c r="E2518" s="2"/>
      <c r="F2518" s="2"/>
      <c r="G2518" s="3"/>
      <c r="H2518" s="26">
        <f>SUM(G2515:G2517)</f>
        <v>1211680</v>
      </c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>
      <c r="A2519" s="25" t="s">
        <v>16</v>
      </c>
      <c r="B2519" s="2"/>
      <c r="C2519" s="2"/>
      <c r="D2519" s="2"/>
      <c r="E2519" s="2"/>
      <c r="F2519" s="2"/>
      <c r="G2519" s="3"/>
      <c r="H2519" s="26">
        <f>MAX(0,H2518-648000)</f>
        <v>563680</v>
      </c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>
      <c r="A2520" s="27" t="s">
        <v>17</v>
      </c>
      <c r="B2520" s="2"/>
      <c r="C2520" s="2"/>
      <c r="D2520" s="2"/>
      <c r="E2520" s="2"/>
      <c r="F2520" s="2"/>
      <c r="G2520" s="3"/>
      <c r="H2520" s="28">
        <v>649000.0</v>
      </c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>
      <c r="A2521" s="1" t="s">
        <v>18</v>
      </c>
      <c r="B2521" s="2"/>
      <c r="C2521" s="2"/>
      <c r="D2521" s="2"/>
      <c r="E2521" s="2"/>
      <c r="F2521" s="2"/>
      <c r="G2521" s="2"/>
      <c r="H2521" s="3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7">
      <c r="A2527" s="1" t="s">
        <v>0</v>
      </c>
      <c r="B2527" s="2"/>
      <c r="C2527" s="2"/>
      <c r="D2527" s="2"/>
      <c r="E2527" s="2"/>
      <c r="F2527" s="2"/>
      <c r="G2527" s="2"/>
      <c r="H2527" s="3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>
      <c r="A2528" s="6" t="s">
        <v>625</v>
      </c>
      <c r="B2528" s="2"/>
      <c r="C2528" s="2"/>
      <c r="D2528" s="2"/>
      <c r="E2528" s="2"/>
      <c r="F2528" s="2"/>
      <c r="G2528" s="2"/>
      <c r="H2528" s="3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>
      <c r="A2529" s="7" t="s">
        <v>2</v>
      </c>
      <c r="B2529" s="7" t="s">
        <v>3</v>
      </c>
      <c r="C2529" s="7" t="s">
        <v>4</v>
      </c>
      <c r="D2529" s="7" t="s">
        <v>5</v>
      </c>
      <c r="E2529" s="7" t="s">
        <v>6</v>
      </c>
      <c r="F2529" s="8" t="s">
        <v>7</v>
      </c>
      <c r="G2529" s="7" t="s">
        <v>8</v>
      </c>
      <c r="H2529" s="9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>
      <c r="A2530" s="10">
        <v>1.0</v>
      </c>
      <c r="B2530" s="33" t="s">
        <v>529</v>
      </c>
      <c r="C2530" s="34" t="s">
        <v>626</v>
      </c>
      <c r="D2530" s="13" t="s">
        <v>11</v>
      </c>
      <c r="E2530" s="35">
        <v>1.3</v>
      </c>
      <c r="F2530" s="15">
        <v>293000.0</v>
      </c>
      <c r="G2530" s="16">
        <f t="shared" ref="G2530:G2532" si="168">IFERROR(E2530*F2530,0)</f>
        <v>380900</v>
      </c>
      <c r="H2530" s="17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>
      <c r="A2531" s="10">
        <v>2.0</v>
      </c>
      <c r="B2531" s="36" t="s">
        <v>12</v>
      </c>
      <c r="C2531" s="37" t="s">
        <v>627</v>
      </c>
      <c r="D2531" s="20" t="s">
        <v>13</v>
      </c>
      <c r="E2531" s="38">
        <v>2.1</v>
      </c>
      <c r="F2531" s="22">
        <v>435000.0</v>
      </c>
      <c r="G2531" s="16">
        <f t="shared" si="168"/>
        <v>913500</v>
      </c>
      <c r="H2531" s="17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>
      <c r="A2532" s="10">
        <v>3.0</v>
      </c>
      <c r="B2532" s="23" t="s">
        <v>14</v>
      </c>
      <c r="C2532" s="17"/>
      <c r="D2532" s="17"/>
      <c r="E2532" s="17"/>
      <c r="F2532" s="17"/>
      <c r="G2532" s="24">
        <f t="shared" si="168"/>
        <v>0</v>
      </c>
      <c r="H2532" s="17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>
      <c r="A2533" s="25" t="s">
        <v>15</v>
      </c>
      <c r="B2533" s="2"/>
      <c r="C2533" s="2"/>
      <c r="D2533" s="2"/>
      <c r="E2533" s="2"/>
      <c r="F2533" s="2"/>
      <c r="G2533" s="3"/>
      <c r="H2533" s="26">
        <f>SUM(G2530:G2532)</f>
        <v>1294400</v>
      </c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>
      <c r="A2534" s="25" t="s">
        <v>16</v>
      </c>
      <c r="B2534" s="2"/>
      <c r="C2534" s="2"/>
      <c r="D2534" s="2"/>
      <c r="E2534" s="2"/>
      <c r="F2534" s="2"/>
      <c r="G2534" s="3"/>
      <c r="H2534" s="26">
        <f>MAX(0,H2533-648000)</f>
        <v>646400</v>
      </c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>
      <c r="A2535" s="27" t="s">
        <v>17</v>
      </c>
      <c r="B2535" s="2"/>
      <c r="C2535" s="2"/>
      <c r="D2535" s="2"/>
      <c r="E2535" s="2"/>
      <c r="F2535" s="2"/>
      <c r="G2535" s="3"/>
      <c r="H2535" s="28">
        <v>649000.0</v>
      </c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>
      <c r="A2536" s="1" t="s">
        <v>18</v>
      </c>
      <c r="B2536" s="2"/>
      <c r="C2536" s="2"/>
      <c r="D2536" s="2"/>
      <c r="E2536" s="2"/>
      <c r="F2536" s="2"/>
      <c r="G2536" s="2"/>
      <c r="H2536" s="3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43">
      <c r="A2543" s="1" t="s">
        <v>0</v>
      </c>
      <c r="B2543" s="2"/>
      <c r="C2543" s="2"/>
      <c r="D2543" s="2"/>
      <c r="E2543" s="2"/>
      <c r="F2543" s="2"/>
      <c r="G2543" s="2"/>
      <c r="H2543" s="3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>
      <c r="A2544" s="6" t="s">
        <v>628</v>
      </c>
      <c r="B2544" s="2"/>
      <c r="C2544" s="2"/>
      <c r="D2544" s="2"/>
      <c r="E2544" s="2"/>
      <c r="F2544" s="2"/>
      <c r="G2544" s="2"/>
      <c r="H2544" s="3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>
      <c r="A2545" s="7" t="s">
        <v>2</v>
      </c>
      <c r="B2545" s="7" t="s">
        <v>3</v>
      </c>
      <c r="C2545" s="7" t="s">
        <v>4</v>
      </c>
      <c r="D2545" s="7" t="s">
        <v>5</v>
      </c>
      <c r="E2545" s="7" t="s">
        <v>6</v>
      </c>
      <c r="F2545" s="8" t="s">
        <v>7</v>
      </c>
      <c r="G2545" s="7" t="s">
        <v>8</v>
      </c>
      <c r="H2545" s="9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>
      <c r="A2546" s="10">
        <v>1.0</v>
      </c>
      <c r="B2546" s="33" t="s">
        <v>327</v>
      </c>
      <c r="C2546" s="34" t="s">
        <v>629</v>
      </c>
      <c r="D2546" s="13" t="s">
        <v>11</v>
      </c>
      <c r="E2546" s="35">
        <v>2.5</v>
      </c>
      <c r="F2546" s="15">
        <v>293000.0</v>
      </c>
      <c r="G2546" s="16">
        <f t="shared" ref="G2546:G2548" si="169">IFERROR(E2546*F2546,0)</f>
        <v>732500</v>
      </c>
      <c r="H2546" s="17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>
      <c r="A2547" s="10">
        <v>2.0</v>
      </c>
      <c r="B2547" s="36" t="s">
        <v>240</v>
      </c>
      <c r="C2547" s="37" t="s">
        <v>630</v>
      </c>
      <c r="D2547" s="20" t="s">
        <v>13</v>
      </c>
      <c r="E2547" s="38">
        <v>1.0</v>
      </c>
      <c r="F2547" s="22">
        <v>435000.0</v>
      </c>
      <c r="G2547" s="16">
        <f t="shared" si="169"/>
        <v>435000</v>
      </c>
      <c r="H2547" s="17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>
      <c r="A2548" s="10">
        <v>3.0</v>
      </c>
      <c r="B2548" s="23" t="s">
        <v>14</v>
      </c>
      <c r="C2548" s="17"/>
      <c r="D2548" s="17"/>
      <c r="E2548" s="17"/>
      <c r="F2548" s="17"/>
      <c r="G2548" s="24">
        <f t="shared" si="169"/>
        <v>0</v>
      </c>
      <c r="H2548" s="17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>
      <c r="A2549" s="25" t="s">
        <v>15</v>
      </c>
      <c r="B2549" s="2"/>
      <c r="C2549" s="2"/>
      <c r="D2549" s="2"/>
      <c r="E2549" s="2"/>
      <c r="F2549" s="2"/>
      <c r="G2549" s="3"/>
      <c r="H2549" s="26">
        <f>SUM(G2546:G2548)</f>
        <v>1167500</v>
      </c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>
      <c r="A2550" s="25" t="s">
        <v>16</v>
      </c>
      <c r="B2550" s="2"/>
      <c r="C2550" s="2"/>
      <c r="D2550" s="2"/>
      <c r="E2550" s="2"/>
      <c r="F2550" s="2"/>
      <c r="G2550" s="3"/>
      <c r="H2550" s="26">
        <f>MAX(0,H2549-648000)</f>
        <v>519500</v>
      </c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>
      <c r="A2551" s="27" t="s">
        <v>17</v>
      </c>
      <c r="B2551" s="2"/>
      <c r="C2551" s="2"/>
      <c r="D2551" s="2"/>
      <c r="E2551" s="2"/>
      <c r="F2551" s="2"/>
      <c r="G2551" s="3"/>
      <c r="H2551" s="28">
        <v>649000.0</v>
      </c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>
      <c r="A2552" s="1" t="s">
        <v>18</v>
      </c>
      <c r="B2552" s="2"/>
      <c r="C2552" s="2"/>
      <c r="D2552" s="2"/>
      <c r="E2552" s="2"/>
      <c r="F2552" s="2"/>
      <c r="G2552" s="2"/>
      <c r="H2552" s="3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7">
      <c r="A2557" s="1" t="s">
        <v>0</v>
      </c>
      <c r="B2557" s="2"/>
      <c r="C2557" s="2"/>
      <c r="D2557" s="2"/>
      <c r="E2557" s="2"/>
      <c r="F2557" s="2"/>
      <c r="G2557" s="2"/>
      <c r="H2557" s="3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>
      <c r="A2558" s="6" t="s">
        <v>631</v>
      </c>
      <c r="B2558" s="2"/>
      <c r="C2558" s="2"/>
      <c r="D2558" s="2"/>
      <c r="E2558" s="2"/>
      <c r="F2558" s="2"/>
      <c r="G2558" s="2"/>
      <c r="H2558" s="3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>
      <c r="A2559" s="7" t="s">
        <v>2</v>
      </c>
      <c r="B2559" s="7" t="s">
        <v>3</v>
      </c>
      <c r="C2559" s="7" t="s">
        <v>4</v>
      </c>
      <c r="D2559" s="7" t="s">
        <v>5</v>
      </c>
      <c r="E2559" s="7" t="s">
        <v>6</v>
      </c>
      <c r="F2559" s="8" t="s">
        <v>7</v>
      </c>
      <c r="G2559" s="7" t="s">
        <v>8</v>
      </c>
      <c r="H2559" s="9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>
      <c r="A2560" s="10">
        <v>1.0</v>
      </c>
      <c r="B2560" s="33" t="s">
        <v>34</v>
      </c>
      <c r="C2560" s="34" t="s">
        <v>632</v>
      </c>
      <c r="D2560" s="13" t="s">
        <v>11</v>
      </c>
      <c r="E2560" s="35">
        <v>1.5</v>
      </c>
      <c r="F2560" s="15">
        <v>293000.0</v>
      </c>
      <c r="G2560" s="16">
        <f t="shared" ref="G2560:G2562" si="170">IFERROR(E2560*F2560,0)</f>
        <v>439500</v>
      </c>
      <c r="H2560" s="17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>
      <c r="A2561" s="10">
        <v>2.0</v>
      </c>
      <c r="B2561" s="36" t="s">
        <v>190</v>
      </c>
      <c r="C2561" s="37" t="s">
        <v>191</v>
      </c>
      <c r="D2561" s="20" t="s">
        <v>13</v>
      </c>
      <c r="E2561" s="38">
        <v>2.0</v>
      </c>
      <c r="F2561" s="22">
        <v>435000.0</v>
      </c>
      <c r="G2561" s="16">
        <f t="shared" si="170"/>
        <v>870000</v>
      </c>
      <c r="H2561" s="17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>
      <c r="A2562" s="10">
        <v>3.0</v>
      </c>
      <c r="B2562" s="23" t="s">
        <v>14</v>
      </c>
      <c r="C2562" s="17"/>
      <c r="D2562" s="17"/>
      <c r="E2562" s="17"/>
      <c r="F2562" s="17"/>
      <c r="G2562" s="24">
        <f t="shared" si="170"/>
        <v>0</v>
      </c>
      <c r="H2562" s="17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>
      <c r="A2563" s="25" t="s">
        <v>15</v>
      </c>
      <c r="B2563" s="2"/>
      <c r="C2563" s="2"/>
      <c r="D2563" s="2"/>
      <c r="E2563" s="2"/>
      <c r="F2563" s="2"/>
      <c r="G2563" s="3"/>
      <c r="H2563" s="26">
        <f>SUM(G2560:G2562)</f>
        <v>1309500</v>
      </c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>
      <c r="A2564" s="25" t="s">
        <v>16</v>
      </c>
      <c r="B2564" s="2"/>
      <c r="C2564" s="2"/>
      <c r="D2564" s="2"/>
      <c r="E2564" s="2"/>
      <c r="F2564" s="2"/>
      <c r="G2564" s="3"/>
      <c r="H2564" s="26">
        <f>MAX(0,H2563-648000)</f>
        <v>661500</v>
      </c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>
      <c r="A2565" s="27" t="s">
        <v>17</v>
      </c>
      <c r="B2565" s="2"/>
      <c r="C2565" s="2"/>
      <c r="D2565" s="2"/>
      <c r="E2565" s="2"/>
      <c r="F2565" s="2"/>
      <c r="G2565" s="3"/>
      <c r="H2565" s="28">
        <v>649000.0</v>
      </c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>
      <c r="A2566" s="1" t="s">
        <v>18</v>
      </c>
      <c r="B2566" s="2"/>
      <c r="C2566" s="2"/>
      <c r="D2566" s="2"/>
      <c r="E2566" s="2"/>
      <c r="F2566" s="2"/>
      <c r="G2566" s="2"/>
      <c r="H2566" s="3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72">
      <c r="A2572" s="1" t="s">
        <v>0</v>
      </c>
      <c r="B2572" s="2"/>
      <c r="C2572" s="2"/>
      <c r="D2572" s="2"/>
      <c r="E2572" s="2"/>
      <c r="F2572" s="2"/>
      <c r="G2572" s="2"/>
      <c r="H2572" s="3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>
      <c r="A2573" s="6" t="s">
        <v>633</v>
      </c>
      <c r="B2573" s="2"/>
      <c r="C2573" s="2"/>
      <c r="D2573" s="2"/>
      <c r="E2573" s="2"/>
      <c r="F2573" s="2"/>
      <c r="G2573" s="2"/>
      <c r="H2573" s="3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>
      <c r="A2574" s="7" t="s">
        <v>2</v>
      </c>
      <c r="B2574" s="7" t="s">
        <v>3</v>
      </c>
      <c r="C2574" s="7" t="s">
        <v>4</v>
      </c>
      <c r="D2574" s="7" t="s">
        <v>5</v>
      </c>
      <c r="E2574" s="7" t="s">
        <v>6</v>
      </c>
      <c r="F2574" s="8" t="s">
        <v>7</v>
      </c>
      <c r="G2574" s="7" t="s">
        <v>8</v>
      </c>
      <c r="H2574" s="9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>
      <c r="A2575" s="10">
        <v>1.0</v>
      </c>
      <c r="B2575" s="33" t="s">
        <v>48</v>
      </c>
      <c r="C2575" s="34" t="s">
        <v>634</v>
      </c>
      <c r="D2575" s="13" t="s">
        <v>11</v>
      </c>
      <c r="E2575" s="35">
        <v>1.75</v>
      </c>
      <c r="F2575" s="15">
        <v>293000.0</v>
      </c>
      <c r="G2575" s="16">
        <f t="shared" ref="G2575:G2577" si="171">IFERROR(E2575*F2575,0)</f>
        <v>512750</v>
      </c>
      <c r="H2575" s="17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>
      <c r="A2576" s="10">
        <v>2.0</v>
      </c>
      <c r="B2576" s="36" t="s">
        <v>218</v>
      </c>
      <c r="C2576" s="37" t="s">
        <v>635</v>
      </c>
      <c r="D2576" s="20" t="s">
        <v>13</v>
      </c>
      <c r="E2576" s="38">
        <v>1.83</v>
      </c>
      <c r="F2576" s="22">
        <v>435000.0</v>
      </c>
      <c r="G2576" s="16">
        <f t="shared" si="171"/>
        <v>796050</v>
      </c>
      <c r="H2576" s="17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>
      <c r="A2577" s="10">
        <v>3.0</v>
      </c>
      <c r="B2577" s="23" t="s">
        <v>14</v>
      </c>
      <c r="C2577" s="17"/>
      <c r="D2577" s="17"/>
      <c r="E2577" s="17"/>
      <c r="F2577" s="17"/>
      <c r="G2577" s="24">
        <f t="shared" si="171"/>
        <v>0</v>
      </c>
      <c r="H2577" s="17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>
      <c r="A2578" s="25" t="s">
        <v>15</v>
      </c>
      <c r="B2578" s="2"/>
      <c r="C2578" s="2"/>
      <c r="D2578" s="2"/>
      <c r="E2578" s="2"/>
      <c r="F2578" s="2"/>
      <c r="G2578" s="3"/>
      <c r="H2578" s="26">
        <f>SUM(G2575:G2577)</f>
        <v>1308800</v>
      </c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>
      <c r="A2579" s="25" t="s">
        <v>16</v>
      </c>
      <c r="B2579" s="2"/>
      <c r="C2579" s="2"/>
      <c r="D2579" s="2"/>
      <c r="E2579" s="2"/>
      <c r="F2579" s="2"/>
      <c r="G2579" s="3"/>
      <c r="H2579" s="26">
        <f>MAX(0,H2578-648000)</f>
        <v>660800</v>
      </c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>
      <c r="A2580" s="27" t="s">
        <v>17</v>
      </c>
      <c r="B2580" s="2"/>
      <c r="C2580" s="2"/>
      <c r="D2580" s="2"/>
      <c r="E2580" s="2"/>
      <c r="F2580" s="2"/>
      <c r="G2580" s="3"/>
      <c r="H2580" s="28">
        <v>649000.0</v>
      </c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>
      <c r="A2581" s="1" t="s">
        <v>18</v>
      </c>
      <c r="B2581" s="2"/>
      <c r="C2581" s="2"/>
      <c r="D2581" s="2"/>
      <c r="E2581" s="2"/>
      <c r="F2581" s="2"/>
      <c r="G2581" s="2"/>
      <c r="H2581" s="3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7">
      <c r="A2587" s="1" t="s">
        <v>0</v>
      </c>
      <c r="B2587" s="2"/>
      <c r="C2587" s="2"/>
      <c r="D2587" s="2"/>
      <c r="E2587" s="2"/>
      <c r="F2587" s="2"/>
      <c r="G2587" s="2"/>
      <c r="H2587" s="3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>
      <c r="A2588" s="6" t="s">
        <v>636</v>
      </c>
      <c r="B2588" s="2"/>
      <c r="C2588" s="2"/>
      <c r="D2588" s="2"/>
      <c r="E2588" s="2"/>
      <c r="F2588" s="2"/>
      <c r="G2588" s="2"/>
      <c r="H2588" s="3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>
      <c r="A2589" s="7" t="s">
        <v>2</v>
      </c>
      <c r="B2589" s="7" t="s">
        <v>3</v>
      </c>
      <c r="C2589" s="7" t="s">
        <v>4</v>
      </c>
      <c r="D2589" s="7" t="s">
        <v>5</v>
      </c>
      <c r="E2589" s="7" t="s">
        <v>6</v>
      </c>
      <c r="F2589" s="8" t="s">
        <v>7</v>
      </c>
      <c r="G2589" s="7" t="s">
        <v>8</v>
      </c>
      <c r="H2589" s="9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>
      <c r="A2590" s="10">
        <v>1.0</v>
      </c>
      <c r="B2590" s="33" t="s">
        <v>94</v>
      </c>
      <c r="C2590" s="34" t="s">
        <v>637</v>
      </c>
      <c r="D2590" s="13" t="s">
        <v>11</v>
      </c>
      <c r="E2590" s="35">
        <v>1.43</v>
      </c>
      <c r="F2590" s="15">
        <v>293000.0</v>
      </c>
      <c r="G2590" s="16">
        <f t="shared" ref="G2590:G2592" si="172">IFERROR(E2590*F2590,0)</f>
        <v>418990</v>
      </c>
      <c r="H2590" s="17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>
      <c r="A2591" s="10">
        <v>2.0</v>
      </c>
      <c r="B2591" s="36" t="s">
        <v>25</v>
      </c>
      <c r="C2591" s="37" t="s">
        <v>638</v>
      </c>
      <c r="D2591" s="20" t="s">
        <v>13</v>
      </c>
      <c r="E2591" s="38">
        <v>2.0</v>
      </c>
      <c r="F2591" s="22">
        <v>435000.0</v>
      </c>
      <c r="G2591" s="16">
        <f t="shared" si="172"/>
        <v>870000</v>
      </c>
      <c r="H2591" s="17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>
      <c r="A2592" s="10">
        <v>3.0</v>
      </c>
      <c r="B2592" s="23" t="s">
        <v>14</v>
      </c>
      <c r="C2592" s="17"/>
      <c r="D2592" s="17"/>
      <c r="E2592" s="17"/>
      <c r="F2592" s="17"/>
      <c r="G2592" s="24">
        <f t="shared" si="172"/>
        <v>0</v>
      </c>
      <c r="H2592" s="17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>
      <c r="A2593" s="25" t="s">
        <v>15</v>
      </c>
      <c r="B2593" s="2"/>
      <c r="C2593" s="2"/>
      <c r="D2593" s="2"/>
      <c r="E2593" s="2"/>
      <c r="F2593" s="2"/>
      <c r="G2593" s="3"/>
      <c r="H2593" s="26">
        <f>SUM(G2590:G2592)</f>
        <v>1288990</v>
      </c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>
      <c r="A2594" s="25" t="s">
        <v>16</v>
      </c>
      <c r="B2594" s="2"/>
      <c r="C2594" s="2"/>
      <c r="D2594" s="2"/>
      <c r="E2594" s="2"/>
      <c r="F2594" s="2"/>
      <c r="G2594" s="3"/>
      <c r="H2594" s="26">
        <f>MAX(0,H2593-648000)</f>
        <v>640990</v>
      </c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>
      <c r="A2595" s="27" t="s">
        <v>17</v>
      </c>
      <c r="B2595" s="2"/>
      <c r="C2595" s="2"/>
      <c r="D2595" s="2"/>
      <c r="E2595" s="2"/>
      <c r="F2595" s="2"/>
      <c r="G2595" s="3"/>
      <c r="H2595" s="28">
        <v>649000.0</v>
      </c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>
      <c r="A2596" s="1" t="s">
        <v>18</v>
      </c>
      <c r="B2596" s="2"/>
      <c r="C2596" s="2"/>
      <c r="D2596" s="2"/>
      <c r="E2596" s="2"/>
      <c r="F2596" s="2"/>
      <c r="G2596" s="2"/>
      <c r="H2596" s="3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602">
      <c r="A2602" s="1" t="s">
        <v>0</v>
      </c>
      <c r="B2602" s="2"/>
      <c r="C2602" s="2"/>
      <c r="D2602" s="2"/>
      <c r="E2602" s="2"/>
      <c r="F2602" s="2"/>
      <c r="G2602" s="2"/>
      <c r="H2602" s="3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>
      <c r="A2603" s="6" t="s">
        <v>639</v>
      </c>
      <c r="B2603" s="2"/>
      <c r="C2603" s="2"/>
      <c r="D2603" s="2"/>
      <c r="E2603" s="2"/>
      <c r="F2603" s="2"/>
      <c r="G2603" s="2"/>
      <c r="H2603" s="3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>
      <c r="A2604" s="7" t="s">
        <v>2</v>
      </c>
      <c r="B2604" s="7" t="s">
        <v>3</v>
      </c>
      <c r="C2604" s="7" t="s">
        <v>4</v>
      </c>
      <c r="D2604" s="7" t="s">
        <v>5</v>
      </c>
      <c r="E2604" s="7" t="s">
        <v>6</v>
      </c>
      <c r="F2604" s="8" t="s">
        <v>7</v>
      </c>
      <c r="G2604" s="7" t="s">
        <v>8</v>
      </c>
      <c r="H2604" s="9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>
      <c r="A2605" s="10">
        <v>1.0</v>
      </c>
      <c r="B2605" s="33" t="s">
        <v>640</v>
      </c>
      <c r="C2605" s="34" t="s">
        <v>641</v>
      </c>
      <c r="D2605" s="13" t="s">
        <v>11</v>
      </c>
      <c r="E2605" s="35">
        <v>1.67</v>
      </c>
      <c r="F2605" s="15">
        <v>293000.0</v>
      </c>
      <c r="G2605" s="16">
        <f t="shared" ref="G2605:G2607" si="173">IFERROR(E2605*F2605,0)</f>
        <v>489310</v>
      </c>
      <c r="H2605" s="17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>
      <c r="A2606" s="10">
        <v>2.0</v>
      </c>
      <c r="B2606" s="36" t="s">
        <v>642</v>
      </c>
      <c r="C2606" s="37" t="s">
        <v>643</v>
      </c>
      <c r="D2606" s="20" t="s">
        <v>13</v>
      </c>
      <c r="E2606" s="38">
        <v>1.6</v>
      </c>
      <c r="F2606" s="22">
        <v>435000.0</v>
      </c>
      <c r="G2606" s="16">
        <f t="shared" si="173"/>
        <v>696000</v>
      </c>
      <c r="H2606" s="17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>
      <c r="A2607" s="10">
        <v>3.0</v>
      </c>
      <c r="B2607" s="23" t="s">
        <v>14</v>
      </c>
      <c r="C2607" s="17"/>
      <c r="D2607" s="17"/>
      <c r="E2607" s="17"/>
      <c r="F2607" s="17"/>
      <c r="G2607" s="24">
        <f t="shared" si="173"/>
        <v>0</v>
      </c>
      <c r="H2607" s="17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>
      <c r="A2608" s="25" t="s">
        <v>15</v>
      </c>
      <c r="B2608" s="2"/>
      <c r="C2608" s="2"/>
      <c r="D2608" s="2"/>
      <c r="E2608" s="2"/>
      <c r="F2608" s="2"/>
      <c r="G2608" s="3"/>
      <c r="H2608" s="26">
        <f>SUM(G2605:G2607)</f>
        <v>1185310</v>
      </c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>
      <c r="A2609" s="25" t="s">
        <v>16</v>
      </c>
      <c r="B2609" s="2"/>
      <c r="C2609" s="2"/>
      <c r="D2609" s="2"/>
      <c r="E2609" s="2"/>
      <c r="F2609" s="2"/>
      <c r="G2609" s="3"/>
      <c r="H2609" s="26">
        <f>MAX(0,H2608-648000)</f>
        <v>537310</v>
      </c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>
      <c r="A2610" s="27" t="s">
        <v>17</v>
      </c>
      <c r="B2610" s="2"/>
      <c r="C2610" s="2"/>
      <c r="D2610" s="2"/>
      <c r="E2610" s="2"/>
      <c r="F2610" s="2"/>
      <c r="G2610" s="3"/>
      <c r="H2610" s="28">
        <v>649000.0</v>
      </c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>
      <c r="A2611" s="1" t="s">
        <v>18</v>
      </c>
      <c r="B2611" s="2"/>
      <c r="C2611" s="2"/>
      <c r="D2611" s="2"/>
      <c r="E2611" s="2"/>
      <c r="F2611" s="2"/>
      <c r="G2611" s="2"/>
      <c r="H2611" s="3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7">
      <c r="A2617" s="1" t="s">
        <v>0</v>
      </c>
      <c r="B2617" s="2"/>
      <c r="C2617" s="2"/>
      <c r="D2617" s="2"/>
      <c r="E2617" s="2"/>
      <c r="F2617" s="2"/>
      <c r="G2617" s="2"/>
      <c r="H2617" s="3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>
      <c r="A2618" s="6" t="s">
        <v>644</v>
      </c>
      <c r="B2618" s="2"/>
      <c r="C2618" s="2"/>
      <c r="D2618" s="2"/>
      <c r="E2618" s="2"/>
      <c r="F2618" s="2"/>
      <c r="G2618" s="2"/>
      <c r="H2618" s="3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>
      <c r="A2619" s="7" t="s">
        <v>2</v>
      </c>
      <c r="B2619" s="7" t="s">
        <v>3</v>
      </c>
      <c r="C2619" s="7" t="s">
        <v>4</v>
      </c>
      <c r="D2619" s="7" t="s">
        <v>5</v>
      </c>
      <c r="E2619" s="7" t="s">
        <v>6</v>
      </c>
      <c r="F2619" s="8" t="s">
        <v>7</v>
      </c>
      <c r="G2619" s="7" t="s">
        <v>8</v>
      </c>
      <c r="H2619" s="9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>
      <c r="A2620" s="10">
        <v>1.0</v>
      </c>
      <c r="B2620" s="33" t="s">
        <v>9</v>
      </c>
      <c r="C2620" s="34" t="s">
        <v>645</v>
      </c>
      <c r="D2620" s="13" t="s">
        <v>11</v>
      </c>
      <c r="E2620" s="35">
        <v>1.2</v>
      </c>
      <c r="F2620" s="15">
        <v>293000.0</v>
      </c>
      <c r="G2620" s="16">
        <f t="shared" ref="G2620:G2622" si="174">IFERROR(E2620*F2620,0)</f>
        <v>351600</v>
      </c>
      <c r="H2620" s="17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>
      <c r="A2621" s="10">
        <v>2.0</v>
      </c>
      <c r="B2621" s="36" t="s">
        <v>12</v>
      </c>
      <c r="C2621" s="37" t="s">
        <v>646</v>
      </c>
      <c r="D2621" s="20" t="s">
        <v>13</v>
      </c>
      <c r="E2621" s="38">
        <v>2.0</v>
      </c>
      <c r="F2621" s="22">
        <v>435000.0</v>
      </c>
      <c r="G2621" s="16">
        <f t="shared" si="174"/>
        <v>870000</v>
      </c>
      <c r="H2621" s="17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>
      <c r="A2622" s="10">
        <v>3.0</v>
      </c>
      <c r="B2622" s="23" t="s">
        <v>14</v>
      </c>
      <c r="C2622" s="17"/>
      <c r="D2622" s="17"/>
      <c r="E2622" s="17"/>
      <c r="F2622" s="17"/>
      <c r="G2622" s="24">
        <f t="shared" si="174"/>
        <v>0</v>
      </c>
      <c r="H2622" s="17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>
      <c r="A2623" s="25" t="s">
        <v>15</v>
      </c>
      <c r="B2623" s="2"/>
      <c r="C2623" s="2"/>
      <c r="D2623" s="2"/>
      <c r="E2623" s="2"/>
      <c r="F2623" s="2"/>
      <c r="G2623" s="3"/>
      <c r="H2623" s="26">
        <f>SUM(G2620:G2622)</f>
        <v>1221600</v>
      </c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>
      <c r="A2624" s="25" t="s">
        <v>16</v>
      </c>
      <c r="B2624" s="2"/>
      <c r="C2624" s="2"/>
      <c r="D2624" s="2"/>
      <c r="E2624" s="2"/>
      <c r="F2624" s="2"/>
      <c r="G2624" s="3"/>
      <c r="H2624" s="26">
        <f>MAX(0,H2623-648000)</f>
        <v>573600</v>
      </c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>
      <c r="A2625" s="27" t="s">
        <v>17</v>
      </c>
      <c r="B2625" s="2"/>
      <c r="C2625" s="2"/>
      <c r="D2625" s="2"/>
      <c r="E2625" s="2"/>
      <c r="F2625" s="2"/>
      <c r="G2625" s="3"/>
      <c r="H2625" s="28">
        <v>649000.0</v>
      </c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>
      <c r="A2626" s="1" t="s">
        <v>18</v>
      </c>
      <c r="B2626" s="2"/>
      <c r="C2626" s="2"/>
      <c r="D2626" s="2"/>
      <c r="E2626" s="2"/>
      <c r="F2626" s="2"/>
      <c r="G2626" s="2"/>
      <c r="H2626" s="3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32">
      <c r="A2632" s="1" t="s">
        <v>0</v>
      </c>
      <c r="B2632" s="2"/>
      <c r="C2632" s="2"/>
      <c r="D2632" s="2"/>
      <c r="E2632" s="2"/>
      <c r="F2632" s="2"/>
      <c r="G2632" s="2"/>
      <c r="H2632" s="3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>
      <c r="A2633" s="6" t="s">
        <v>647</v>
      </c>
      <c r="B2633" s="2"/>
      <c r="C2633" s="2"/>
      <c r="D2633" s="2"/>
      <c r="E2633" s="2"/>
      <c r="F2633" s="2"/>
      <c r="G2633" s="2"/>
      <c r="H2633" s="3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>
      <c r="A2634" s="7" t="s">
        <v>2</v>
      </c>
      <c r="B2634" s="7" t="s">
        <v>3</v>
      </c>
      <c r="C2634" s="7" t="s">
        <v>4</v>
      </c>
      <c r="D2634" s="7" t="s">
        <v>5</v>
      </c>
      <c r="E2634" s="7" t="s">
        <v>6</v>
      </c>
      <c r="F2634" s="8" t="s">
        <v>7</v>
      </c>
      <c r="G2634" s="7" t="s">
        <v>8</v>
      </c>
      <c r="H2634" s="9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>
      <c r="A2635" s="10">
        <v>1.0</v>
      </c>
      <c r="B2635" s="33" t="s">
        <v>44</v>
      </c>
      <c r="C2635" s="34" t="s">
        <v>648</v>
      </c>
      <c r="D2635" s="13" t="s">
        <v>11</v>
      </c>
      <c r="E2635" s="35">
        <v>2.47</v>
      </c>
      <c r="F2635" s="15">
        <v>293000.0</v>
      </c>
      <c r="G2635" s="16">
        <f t="shared" ref="G2635:G2637" si="175">IFERROR(E2635*F2635,0)</f>
        <v>723710</v>
      </c>
      <c r="H2635" s="17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>
      <c r="A2636" s="10">
        <v>2.0</v>
      </c>
      <c r="B2636" s="36" t="s">
        <v>649</v>
      </c>
      <c r="C2636" s="37" t="s">
        <v>650</v>
      </c>
      <c r="D2636" s="20" t="s">
        <v>13</v>
      </c>
      <c r="E2636" s="38">
        <v>1.0</v>
      </c>
      <c r="F2636" s="22">
        <v>435000.0</v>
      </c>
      <c r="G2636" s="16">
        <f t="shared" si="175"/>
        <v>435000</v>
      </c>
      <c r="H2636" s="17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>
      <c r="A2637" s="10">
        <v>3.0</v>
      </c>
      <c r="B2637" s="23" t="s">
        <v>14</v>
      </c>
      <c r="C2637" s="17"/>
      <c r="D2637" s="17"/>
      <c r="E2637" s="17"/>
      <c r="F2637" s="17"/>
      <c r="G2637" s="24">
        <f t="shared" si="175"/>
        <v>0</v>
      </c>
      <c r="H2637" s="17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>
      <c r="A2638" s="25" t="s">
        <v>15</v>
      </c>
      <c r="B2638" s="2"/>
      <c r="C2638" s="2"/>
      <c r="D2638" s="2"/>
      <c r="E2638" s="2"/>
      <c r="F2638" s="2"/>
      <c r="G2638" s="3"/>
      <c r="H2638" s="26">
        <f>SUM(G2635:G2637)</f>
        <v>1158710</v>
      </c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>
      <c r="A2639" s="25" t="s">
        <v>16</v>
      </c>
      <c r="B2639" s="2"/>
      <c r="C2639" s="2"/>
      <c r="D2639" s="2"/>
      <c r="E2639" s="2"/>
      <c r="F2639" s="2"/>
      <c r="G2639" s="3"/>
      <c r="H2639" s="26">
        <f>MAX(0,H2638-648000)</f>
        <v>510710</v>
      </c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>
      <c r="A2640" s="27" t="s">
        <v>17</v>
      </c>
      <c r="B2640" s="2"/>
      <c r="C2640" s="2"/>
      <c r="D2640" s="2"/>
      <c r="E2640" s="2"/>
      <c r="F2640" s="2"/>
      <c r="G2640" s="3"/>
      <c r="H2640" s="28">
        <v>649000.0</v>
      </c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>
      <c r="A2641" s="1" t="s">
        <v>18</v>
      </c>
      <c r="B2641" s="2"/>
      <c r="C2641" s="2"/>
      <c r="D2641" s="2"/>
      <c r="E2641" s="2"/>
      <c r="F2641" s="2"/>
      <c r="G2641" s="2"/>
      <c r="H2641" s="3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6">
      <c r="A2646" s="1" t="s">
        <v>0</v>
      </c>
      <c r="B2646" s="2"/>
      <c r="C2646" s="2"/>
      <c r="D2646" s="2"/>
      <c r="E2646" s="2"/>
      <c r="F2646" s="2"/>
      <c r="G2646" s="2"/>
      <c r="H2646" s="3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>
      <c r="A2647" s="6" t="s">
        <v>651</v>
      </c>
      <c r="B2647" s="2"/>
      <c r="C2647" s="2"/>
      <c r="D2647" s="2"/>
      <c r="E2647" s="2"/>
      <c r="F2647" s="2"/>
      <c r="G2647" s="2"/>
      <c r="H2647" s="3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>
      <c r="A2648" s="7" t="s">
        <v>2</v>
      </c>
      <c r="B2648" s="7" t="s">
        <v>3</v>
      </c>
      <c r="C2648" s="7" t="s">
        <v>4</v>
      </c>
      <c r="D2648" s="7" t="s">
        <v>5</v>
      </c>
      <c r="E2648" s="7" t="s">
        <v>6</v>
      </c>
      <c r="F2648" s="8" t="s">
        <v>7</v>
      </c>
      <c r="G2648" s="7" t="s">
        <v>8</v>
      </c>
      <c r="H2648" s="9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>
      <c r="A2649" s="10">
        <v>1.0</v>
      </c>
      <c r="B2649" s="33" t="s">
        <v>652</v>
      </c>
      <c r="C2649" s="34" t="s">
        <v>653</v>
      </c>
      <c r="D2649" s="13" t="s">
        <v>11</v>
      </c>
      <c r="E2649" s="35">
        <v>2.8</v>
      </c>
      <c r="F2649" s="15">
        <v>293000.0</v>
      </c>
      <c r="G2649" s="16">
        <f t="shared" ref="G2649:G2651" si="176">IFERROR(E2649*F2649,0)</f>
        <v>820400</v>
      </c>
      <c r="H2649" s="17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>
      <c r="A2650" s="10">
        <v>2.0</v>
      </c>
      <c r="B2650" s="36" t="s">
        <v>25</v>
      </c>
      <c r="C2650" s="37" t="s">
        <v>654</v>
      </c>
      <c r="D2650" s="20" t="s">
        <v>13</v>
      </c>
      <c r="E2650" s="38">
        <v>0.8</v>
      </c>
      <c r="F2650" s="22">
        <v>435000.0</v>
      </c>
      <c r="G2650" s="16">
        <f t="shared" si="176"/>
        <v>348000</v>
      </c>
      <c r="H2650" s="17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>
      <c r="A2651" s="10">
        <v>3.0</v>
      </c>
      <c r="B2651" s="23" t="s">
        <v>14</v>
      </c>
      <c r="C2651" s="17"/>
      <c r="D2651" s="17"/>
      <c r="E2651" s="17"/>
      <c r="F2651" s="17"/>
      <c r="G2651" s="24">
        <f t="shared" si="176"/>
        <v>0</v>
      </c>
      <c r="H2651" s="17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>
      <c r="A2652" s="25" t="s">
        <v>15</v>
      </c>
      <c r="B2652" s="2"/>
      <c r="C2652" s="2"/>
      <c r="D2652" s="2"/>
      <c r="E2652" s="2"/>
      <c r="F2652" s="2"/>
      <c r="G2652" s="3"/>
      <c r="H2652" s="26">
        <f>SUM(G2649:G2651)</f>
        <v>1168400</v>
      </c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>
      <c r="A2653" s="25" t="s">
        <v>16</v>
      </c>
      <c r="B2653" s="2"/>
      <c r="C2653" s="2"/>
      <c r="D2653" s="2"/>
      <c r="E2653" s="2"/>
      <c r="F2653" s="2"/>
      <c r="G2653" s="3"/>
      <c r="H2653" s="26">
        <f>MAX(0,H2652-648000)</f>
        <v>520400</v>
      </c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>
      <c r="A2654" s="27" t="s">
        <v>17</v>
      </c>
      <c r="B2654" s="2"/>
      <c r="C2654" s="2"/>
      <c r="D2654" s="2"/>
      <c r="E2654" s="2"/>
      <c r="F2654" s="2"/>
      <c r="G2654" s="3"/>
      <c r="H2654" s="28">
        <v>649000.0</v>
      </c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>
      <c r="A2655" s="1" t="s">
        <v>18</v>
      </c>
      <c r="B2655" s="2"/>
      <c r="C2655" s="2"/>
      <c r="D2655" s="2"/>
      <c r="E2655" s="2"/>
      <c r="F2655" s="2"/>
      <c r="G2655" s="2"/>
      <c r="H2655" s="3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60">
      <c r="A2660" s="1" t="s">
        <v>0</v>
      </c>
      <c r="B2660" s="2"/>
      <c r="C2660" s="2"/>
      <c r="D2660" s="2"/>
      <c r="E2660" s="2"/>
      <c r="F2660" s="2"/>
      <c r="G2660" s="2"/>
      <c r="H2660" s="3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>
      <c r="A2661" s="6" t="s">
        <v>655</v>
      </c>
      <c r="B2661" s="2"/>
      <c r="C2661" s="2"/>
      <c r="D2661" s="2"/>
      <c r="E2661" s="2"/>
      <c r="F2661" s="2"/>
      <c r="G2661" s="2"/>
      <c r="H2661" s="3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>
      <c r="A2662" s="7" t="s">
        <v>2</v>
      </c>
      <c r="B2662" s="7" t="s">
        <v>3</v>
      </c>
      <c r="C2662" s="7" t="s">
        <v>4</v>
      </c>
      <c r="D2662" s="7" t="s">
        <v>5</v>
      </c>
      <c r="E2662" s="7" t="s">
        <v>6</v>
      </c>
      <c r="F2662" s="8" t="s">
        <v>7</v>
      </c>
      <c r="G2662" s="7" t="s">
        <v>8</v>
      </c>
      <c r="H2662" s="9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>
      <c r="A2663" s="10">
        <v>1.0</v>
      </c>
      <c r="B2663" s="33" t="s">
        <v>48</v>
      </c>
      <c r="C2663" s="34" t="s">
        <v>99</v>
      </c>
      <c r="D2663" s="13" t="s">
        <v>11</v>
      </c>
      <c r="E2663" s="35">
        <v>2.92</v>
      </c>
      <c r="F2663" s="15">
        <v>293000.0</v>
      </c>
      <c r="G2663" s="16">
        <f t="shared" ref="G2663:G2665" si="177">IFERROR(E2663*F2663,0)</f>
        <v>855560</v>
      </c>
      <c r="H2663" s="17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>
      <c r="A2664" s="10">
        <v>2.0</v>
      </c>
      <c r="B2664" s="36" t="s">
        <v>25</v>
      </c>
      <c r="C2664" s="37" t="s">
        <v>656</v>
      </c>
      <c r="D2664" s="20" t="s">
        <v>13</v>
      </c>
      <c r="E2664" s="38">
        <v>0.76</v>
      </c>
      <c r="F2664" s="22">
        <v>435000.0</v>
      </c>
      <c r="G2664" s="16">
        <f t="shared" si="177"/>
        <v>330600</v>
      </c>
      <c r="H2664" s="17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>
      <c r="A2665" s="10">
        <v>3.0</v>
      </c>
      <c r="B2665" s="23" t="s">
        <v>14</v>
      </c>
      <c r="C2665" s="17"/>
      <c r="D2665" s="17"/>
      <c r="E2665" s="17"/>
      <c r="F2665" s="17"/>
      <c r="G2665" s="24">
        <f t="shared" si="177"/>
        <v>0</v>
      </c>
      <c r="H2665" s="17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>
      <c r="A2666" s="25" t="s">
        <v>15</v>
      </c>
      <c r="B2666" s="2"/>
      <c r="C2666" s="2"/>
      <c r="D2666" s="2"/>
      <c r="E2666" s="2"/>
      <c r="F2666" s="2"/>
      <c r="G2666" s="3"/>
      <c r="H2666" s="26">
        <f>SUM(G2663:G2665)</f>
        <v>1186160</v>
      </c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>
      <c r="A2667" s="25" t="s">
        <v>16</v>
      </c>
      <c r="B2667" s="2"/>
      <c r="C2667" s="2"/>
      <c r="D2667" s="2"/>
      <c r="E2667" s="2"/>
      <c r="F2667" s="2"/>
      <c r="G2667" s="3"/>
      <c r="H2667" s="26">
        <f>MAX(0,H2666-648000)</f>
        <v>538160</v>
      </c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>
      <c r="A2668" s="27" t="s">
        <v>17</v>
      </c>
      <c r="B2668" s="2"/>
      <c r="C2668" s="2"/>
      <c r="D2668" s="2"/>
      <c r="E2668" s="2"/>
      <c r="F2668" s="2"/>
      <c r="G2668" s="3"/>
      <c r="H2668" s="28">
        <v>649000.0</v>
      </c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>
      <c r="A2669" s="1" t="s">
        <v>18</v>
      </c>
      <c r="B2669" s="2"/>
      <c r="C2669" s="2"/>
      <c r="D2669" s="2"/>
      <c r="E2669" s="2"/>
      <c r="F2669" s="2"/>
      <c r="G2669" s="2"/>
      <c r="H2669" s="3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5">
      <c r="A2675" s="1" t="s">
        <v>0</v>
      </c>
      <c r="B2675" s="2"/>
      <c r="C2675" s="2"/>
      <c r="D2675" s="2"/>
      <c r="E2675" s="2"/>
      <c r="F2675" s="2"/>
      <c r="G2675" s="2"/>
      <c r="H2675" s="3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>
      <c r="A2676" s="6" t="s">
        <v>657</v>
      </c>
      <c r="B2676" s="2"/>
      <c r="C2676" s="2"/>
      <c r="D2676" s="2"/>
      <c r="E2676" s="2"/>
      <c r="F2676" s="2"/>
      <c r="G2676" s="2"/>
      <c r="H2676" s="3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>
      <c r="A2677" s="7" t="s">
        <v>2</v>
      </c>
      <c r="B2677" s="7" t="s">
        <v>3</v>
      </c>
      <c r="C2677" s="7" t="s">
        <v>4</v>
      </c>
      <c r="D2677" s="7" t="s">
        <v>5</v>
      </c>
      <c r="E2677" s="7" t="s">
        <v>6</v>
      </c>
      <c r="F2677" s="8" t="s">
        <v>7</v>
      </c>
      <c r="G2677" s="7" t="s">
        <v>8</v>
      </c>
      <c r="H2677" s="9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>
      <c r="A2678" s="10">
        <v>1.0</v>
      </c>
      <c r="B2678" s="33" t="s">
        <v>234</v>
      </c>
      <c r="C2678" s="34" t="s">
        <v>658</v>
      </c>
      <c r="D2678" s="13" t="s">
        <v>11</v>
      </c>
      <c r="E2678" s="35">
        <v>3.0</v>
      </c>
      <c r="F2678" s="15">
        <v>293000.0</v>
      </c>
      <c r="G2678" s="16">
        <f t="shared" ref="G2678:G2680" si="178">IFERROR(E2678*F2678,0)</f>
        <v>879000</v>
      </c>
      <c r="H2678" s="17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>
      <c r="A2679" s="10">
        <v>2.0</v>
      </c>
      <c r="B2679" s="36" t="s">
        <v>22</v>
      </c>
      <c r="C2679" s="37" t="s">
        <v>659</v>
      </c>
      <c r="D2679" s="20" t="s">
        <v>13</v>
      </c>
      <c r="E2679" s="38">
        <v>0.51</v>
      </c>
      <c r="F2679" s="22">
        <v>435000.0</v>
      </c>
      <c r="G2679" s="16">
        <f t="shared" si="178"/>
        <v>221850</v>
      </c>
      <c r="H2679" s="17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>
      <c r="A2680" s="10">
        <v>3.0</v>
      </c>
      <c r="B2680" s="23" t="s">
        <v>14</v>
      </c>
      <c r="C2680" s="17"/>
      <c r="D2680" s="17"/>
      <c r="E2680" s="17"/>
      <c r="F2680" s="17"/>
      <c r="G2680" s="24">
        <f t="shared" si="178"/>
        <v>0</v>
      </c>
      <c r="H2680" s="17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>
      <c r="A2681" s="25" t="s">
        <v>15</v>
      </c>
      <c r="B2681" s="2"/>
      <c r="C2681" s="2"/>
      <c r="D2681" s="2"/>
      <c r="E2681" s="2"/>
      <c r="F2681" s="2"/>
      <c r="G2681" s="3"/>
      <c r="H2681" s="26">
        <f>SUM(G2678:G2680)</f>
        <v>1100850</v>
      </c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>
      <c r="A2682" s="25" t="s">
        <v>16</v>
      </c>
      <c r="B2682" s="2"/>
      <c r="C2682" s="2"/>
      <c r="D2682" s="2"/>
      <c r="E2682" s="2"/>
      <c r="F2682" s="2"/>
      <c r="G2682" s="3"/>
      <c r="H2682" s="26">
        <f>MAX(0,H2681-648000)</f>
        <v>452850</v>
      </c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>
      <c r="A2683" s="27" t="s">
        <v>17</v>
      </c>
      <c r="B2683" s="2"/>
      <c r="C2683" s="2"/>
      <c r="D2683" s="2"/>
      <c r="E2683" s="2"/>
      <c r="F2683" s="2"/>
      <c r="G2683" s="3"/>
      <c r="H2683" s="28">
        <v>649000.0</v>
      </c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>
      <c r="A2684" s="1" t="s">
        <v>18</v>
      </c>
      <c r="B2684" s="2"/>
      <c r="C2684" s="2"/>
      <c r="D2684" s="2"/>
      <c r="E2684" s="2"/>
      <c r="F2684" s="2"/>
      <c r="G2684" s="2"/>
      <c r="H2684" s="3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91">
      <c r="A2691" s="1" t="s">
        <v>0</v>
      </c>
      <c r="B2691" s="2"/>
      <c r="C2691" s="2"/>
      <c r="D2691" s="2"/>
      <c r="E2691" s="2"/>
      <c r="F2691" s="2"/>
      <c r="G2691" s="2"/>
      <c r="H2691" s="3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>
      <c r="A2692" s="6" t="s">
        <v>660</v>
      </c>
      <c r="B2692" s="2"/>
      <c r="C2692" s="2"/>
      <c r="D2692" s="2"/>
      <c r="E2692" s="2"/>
      <c r="F2692" s="2"/>
      <c r="G2692" s="2"/>
      <c r="H2692" s="3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>
      <c r="A2693" s="7" t="s">
        <v>2</v>
      </c>
      <c r="B2693" s="7" t="s">
        <v>3</v>
      </c>
      <c r="C2693" s="7" t="s">
        <v>4</v>
      </c>
      <c r="D2693" s="7" t="s">
        <v>5</v>
      </c>
      <c r="E2693" s="7" t="s">
        <v>6</v>
      </c>
      <c r="F2693" s="8" t="s">
        <v>7</v>
      </c>
      <c r="G2693" s="7" t="s">
        <v>8</v>
      </c>
      <c r="H2693" s="9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>
      <c r="A2694" s="10">
        <v>1.0</v>
      </c>
      <c r="B2694" s="33" t="s">
        <v>88</v>
      </c>
      <c r="C2694" s="34" t="s">
        <v>661</v>
      </c>
      <c r="D2694" s="13" t="s">
        <v>11</v>
      </c>
      <c r="E2694" s="35">
        <v>1.5</v>
      </c>
      <c r="F2694" s="15">
        <v>293000.0</v>
      </c>
      <c r="G2694" s="16">
        <f t="shared" ref="G2694:G2696" si="179">IFERROR(E2694*F2694,0)</f>
        <v>439500</v>
      </c>
      <c r="H2694" s="17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>
      <c r="A2695" s="10">
        <v>2.0</v>
      </c>
      <c r="B2695" s="36" t="s">
        <v>662</v>
      </c>
      <c r="C2695" s="37" t="s">
        <v>663</v>
      </c>
      <c r="D2695" s="20" t="s">
        <v>13</v>
      </c>
      <c r="E2695" s="38">
        <v>1.97</v>
      </c>
      <c r="F2695" s="22">
        <v>435000.0</v>
      </c>
      <c r="G2695" s="16">
        <f t="shared" si="179"/>
        <v>856950</v>
      </c>
      <c r="H2695" s="17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>
      <c r="A2696" s="10">
        <v>3.0</v>
      </c>
      <c r="B2696" s="23" t="s">
        <v>14</v>
      </c>
      <c r="C2696" s="17"/>
      <c r="D2696" s="17"/>
      <c r="E2696" s="17"/>
      <c r="F2696" s="17"/>
      <c r="G2696" s="24">
        <f t="shared" si="179"/>
        <v>0</v>
      </c>
      <c r="H2696" s="17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>
      <c r="A2697" s="25" t="s">
        <v>15</v>
      </c>
      <c r="B2697" s="2"/>
      <c r="C2697" s="2"/>
      <c r="D2697" s="2"/>
      <c r="E2697" s="2"/>
      <c r="F2697" s="2"/>
      <c r="G2697" s="3"/>
      <c r="H2697" s="26">
        <f>SUM(G2694:G2696)</f>
        <v>1296450</v>
      </c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>
      <c r="A2698" s="25" t="s">
        <v>16</v>
      </c>
      <c r="B2698" s="2"/>
      <c r="C2698" s="2"/>
      <c r="D2698" s="2"/>
      <c r="E2698" s="2"/>
      <c r="F2698" s="2"/>
      <c r="G2698" s="3"/>
      <c r="H2698" s="26">
        <f>MAX(0,H2697-648000)</f>
        <v>648450</v>
      </c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>
      <c r="A2699" s="27" t="s">
        <v>17</v>
      </c>
      <c r="B2699" s="2"/>
      <c r="C2699" s="2"/>
      <c r="D2699" s="2"/>
      <c r="E2699" s="2"/>
      <c r="F2699" s="2"/>
      <c r="G2699" s="3"/>
      <c r="H2699" s="28">
        <v>649000.0</v>
      </c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>
      <c r="A2700" s="1" t="s">
        <v>18</v>
      </c>
      <c r="B2700" s="2"/>
      <c r="C2700" s="2"/>
      <c r="D2700" s="2"/>
      <c r="E2700" s="2"/>
      <c r="F2700" s="2"/>
      <c r="G2700" s="2"/>
      <c r="H2700" s="3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7">
      <c r="A2707" s="1" t="s">
        <v>0</v>
      </c>
      <c r="B2707" s="2"/>
      <c r="C2707" s="2"/>
      <c r="D2707" s="2"/>
      <c r="E2707" s="2"/>
      <c r="F2707" s="2"/>
      <c r="G2707" s="2"/>
      <c r="H2707" s="3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>
      <c r="A2708" s="6" t="s">
        <v>664</v>
      </c>
      <c r="B2708" s="2"/>
      <c r="C2708" s="2"/>
      <c r="D2708" s="2"/>
      <c r="E2708" s="2"/>
      <c r="F2708" s="2"/>
      <c r="G2708" s="2"/>
      <c r="H2708" s="3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>
      <c r="A2709" s="7" t="s">
        <v>2</v>
      </c>
      <c r="B2709" s="7" t="s">
        <v>3</v>
      </c>
      <c r="C2709" s="7" t="s">
        <v>4</v>
      </c>
      <c r="D2709" s="7" t="s">
        <v>5</v>
      </c>
      <c r="E2709" s="7" t="s">
        <v>6</v>
      </c>
      <c r="F2709" s="8" t="s">
        <v>7</v>
      </c>
      <c r="G2709" s="7" t="s">
        <v>8</v>
      </c>
      <c r="H2709" s="9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>
      <c r="A2710" s="10">
        <v>1.0</v>
      </c>
      <c r="B2710" s="33" t="s">
        <v>468</v>
      </c>
      <c r="C2710" s="34" t="s">
        <v>469</v>
      </c>
      <c r="D2710" s="13" t="s">
        <v>11</v>
      </c>
      <c r="E2710" s="35">
        <v>1.76</v>
      </c>
      <c r="F2710" s="15">
        <v>293000.0</v>
      </c>
      <c r="G2710" s="16">
        <f t="shared" ref="G2710:G2712" si="180">IFERROR(E2710*F2710,0)</f>
        <v>515680</v>
      </c>
      <c r="H2710" s="17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>
      <c r="A2711" s="10">
        <v>2.0</v>
      </c>
      <c r="B2711" s="36" t="s">
        <v>665</v>
      </c>
      <c r="C2711" s="37" t="s">
        <v>666</v>
      </c>
      <c r="D2711" s="20" t="s">
        <v>13</v>
      </c>
      <c r="E2711" s="38">
        <v>1.57</v>
      </c>
      <c r="F2711" s="22">
        <v>435000.0</v>
      </c>
      <c r="G2711" s="16">
        <f t="shared" si="180"/>
        <v>682950</v>
      </c>
      <c r="H2711" s="17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>
      <c r="A2712" s="10">
        <v>3.0</v>
      </c>
      <c r="B2712" s="23" t="s">
        <v>14</v>
      </c>
      <c r="C2712" s="17"/>
      <c r="D2712" s="17"/>
      <c r="E2712" s="17"/>
      <c r="F2712" s="17"/>
      <c r="G2712" s="24">
        <f t="shared" si="180"/>
        <v>0</v>
      </c>
      <c r="H2712" s="17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>
      <c r="A2713" s="25" t="s">
        <v>15</v>
      </c>
      <c r="B2713" s="2"/>
      <c r="C2713" s="2"/>
      <c r="D2713" s="2"/>
      <c r="E2713" s="2"/>
      <c r="F2713" s="2"/>
      <c r="G2713" s="3"/>
      <c r="H2713" s="26">
        <f>SUM(G2710:G2712)</f>
        <v>1198630</v>
      </c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>
      <c r="A2714" s="25" t="s">
        <v>16</v>
      </c>
      <c r="B2714" s="2"/>
      <c r="C2714" s="2"/>
      <c r="D2714" s="2"/>
      <c r="E2714" s="2"/>
      <c r="F2714" s="2"/>
      <c r="G2714" s="3"/>
      <c r="H2714" s="26">
        <f>MAX(0,H2713-648000)</f>
        <v>550630</v>
      </c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</row>
    <row r="2715">
      <c r="A2715" s="27" t="s">
        <v>17</v>
      </c>
      <c r="B2715" s="2"/>
      <c r="C2715" s="2"/>
      <c r="D2715" s="2"/>
      <c r="E2715" s="2"/>
      <c r="F2715" s="2"/>
      <c r="G2715" s="3"/>
      <c r="H2715" s="28">
        <v>649000.0</v>
      </c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</row>
    <row r="2716">
      <c r="A2716" s="1" t="s">
        <v>18</v>
      </c>
      <c r="B2716" s="2"/>
      <c r="C2716" s="2"/>
      <c r="D2716" s="2"/>
      <c r="E2716" s="2"/>
      <c r="F2716" s="2"/>
      <c r="G2716" s="2"/>
      <c r="H2716" s="3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</row>
    <row r="2722">
      <c r="A2722" s="1" t="s">
        <v>0</v>
      </c>
      <c r="B2722" s="2"/>
      <c r="C2722" s="2"/>
      <c r="D2722" s="2"/>
      <c r="E2722" s="2"/>
      <c r="F2722" s="2"/>
      <c r="G2722" s="2"/>
      <c r="H2722" s="3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</row>
    <row r="2723">
      <c r="A2723" s="6" t="s">
        <v>667</v>
      </c>
      <c r="B2723" s="2"/>
      <c r="C2723" s="2"/>
      <c r="D2723" s="2"/>
      <c r="E2723" s="2"/>
      <c r="F2723" s="2"/>
      <c r="G2723" s="2"/>
      <c r="H2723" s="3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</row>
    <row r="2724">
      <c r="A2724" s="7" t="s">
        <v>2</v>
      </c>
      <c r="B2724" s="7" t="s">
        <v>3</v>
      </c>
      <c r="C2724" s="7" t="s">
        <v>4</v>
      </c>
      <c r="D2724" s="7" t="s">
        <v>5</v>
      </c>
      <c r="E2724" s="7" t="s">
        <v>6</v>
      </c>
      <c r="F2724" s="8" t="s">
        <v>7</v>
      </c>
      <c r="G2724" s="7" t="s">
        <v>8</v>
      </c>
      <c r="H2724" s="9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</row>
    <row r="2725">
      <c r="A2725" s="10">
        <v>1.0</v>
      </c>
      <c r="B2725" s="33" t="s">
        <v>34</v>
      </c>
      <c r="C2725" s="34" t="s">
        <v>668</v>
      </c>
      <c r="D2725" s="13" t="s">
        <v>11</v>
      </c>
      <c r="E2725" s="35">
        <v>1.35</v>
      </c>
      <c r="F2725" s="15">
        <v>293000.0</v>
      </c>
      <c r="G2725" s="16">
        <f t="shared" ref="G2725:G2727" si="181">IFERROR(E2725*F2725,0)</f>
        <v>395550</v>
      </c>
      <c r="H2725" s="17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</row>
    <row r="2726">
      <c r="A2726" s="10">
        <v>2.0</v>
      </c>
      <c r="B2726" s="36" t="s">
        <v>669</v>
      </c>
      <c r="C2726" s="37" t="s">
        <v>670</v>
      </c>
      <c r="D2726" s="20" t="s">
        <v>13</v>
      </c>
      <c r="E2726" s="38">
        <v>2.18</v>
      </c>
      <c r="F2726" s="22">
        <v>435000.0</v>
      </c>
      <c r="G2726" s="16">
        <f t="shared" si="181"/>
        <v>948300</v>
      </c>
      <c r="H2726" s="17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</row>
    <row r="2727">
      <c r="A2727" s="10">
        <v>3.0</v>
      </c>
      <c r="B2727" s="23" t="s">
        <v>14</v>
      </c>
      <c r="C2727" s="17"/>
      <c r="D2727" s="17"/>
      <c r="E2727" s="17"/>
      <c r="F2727" s="17"/>
      <c r="G2727" s="24">
        <f t="shared" si="181"/>
        <v>0</v>
      </c>
      <c r="H2727" s="17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</row>
    <row r="2728">
      <c r="A2728" s="25" t="s">
        <v>15</v>
      </c>
      <c r="B2728" s="2"/>
      <c r="C2728" s="2"/>
      <c r="D2728" s="2"/>
      <c r="E2728" s="2"/>
      <c r="F2728" s="2"/>
      <c r="G2728" s="3"/>
      <c r="H2728" s="26">
        <f>SUM(G2725:G2727)</f>
        <v>1343850</v>
      </c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</row>
    <row r="2729">
      <c r="A2729" s="25" t="s">
        <v>16</v>
      </c>
      <c r="B2729" s="2"/>
      <c r="C2729" s="2"/>
      <c r="D2729" s="2"/>
      <c r="E2729" s="2"/>
      <c r="F2729" s="2"/>
      <c r="G2729" s="3"/>
      <c r="H2729" s="26">
        <f>MAX(0,H2728-648000)</f>
        <v>695850</v>
      </c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</row>
    <row r="2730">
      <c r="A2730" s="27" t="s">
        <v>17</v>
      </c>
      <c r="B2730" s="2"/>
      <c r="C2730" s="2"/>
      <c r="D2730" s="2"/>
      <c r="E2730" s="2"/>
      <c r="F2730" s="2"/>
      <c r="G2730" s="3"/>
      <c r="H2730" s="28">
        <v>649000.0</v>
      </c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</row>
    <row r="2731">
      <c r="A2731" s="1" t="s">
        <v>18</v>
      </c>
      <c r="B2731" s="2"/>
      <c r="C2731" s="2"/>
      <c r="D2731" s="2"/>
      <c r="E2731" s="2"/>
      <c r="F2731" s="2"/>
      <c r="G2731" s="2"/>
      <c r="H2731" s="3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</row>
    <row r="2738">
      <c r="A2738" s="1" t="s">
        <v>0</v>
      </c>
      <c r="B2738" s="2"/>
      <c r="C2738" s="2"/>
      <c r="D2738" s="2"/>
      <c r="E2738" s="2"/>
      <c r="F2738" s="2"/>
      <c r="G2738" s="2"/>
      <c r="H2738" s="3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</row>
    <row r="2739">
      <c r="A2739" s="6" t="s">
        <v>671</v>
      </c>
      <c r="B2739" s="2"/>
      <c r="C2739" s="2"/>
      <c r="D2739" s="2"/>
      <c r="E2739" s="2"/>
      <c r="F2739" s="2"/>
      <c r="G2739" s="2"/>
      <c r="H2739" s="3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</row>
    <row r="2740">
      <c r="A2740" s="7" t="s">
        <v>2</v>
      </c>
      <c r="B2740" s="7" t="s">
        <v>3</v>
      </c>
      <c r="C2740" s="7" t="s">
        <v>4</v>
      </c>
      <c r="D2740" s="7" t="s">
        <v>5</v>
      </c>
      <c r="E2740" s="7" t="s">
        <v>6</v>
      </c>
      <c r="F2740" s="8" t="s">
        <v>7</v>
      </c>
      <c r="G2740" s="7" t="s">
        <v>8</v>
      </c>
      <c r="H2740" s="9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</row>
    <row r="2741">
      <c r="A2741" s="10">
        <v>1.0</v>
      </c>
      <c r="B2741" s="33" t="s">
        <v>157</v>
      </c>
      <c r="C2741" s="34" t="s">
        <v>672</v>
      </c>
      <c r="D2741" s="13" t="s">
        <v>11</v>
      </c>
      <c r="E2741" s="35">
        <v>1.8</v>
      </c>
      <c r="F2741" s="15">
        <v>293000.0</v>
      </c>
      <c r="G2741" s="16">
        <f t="shared" ref="G2741:G2743" si="182">IFERROR(E2741*F2741,0)</f>
        <v>527400</v>
      </c>
      <c r="H2741" s="17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</row>
    <row r="2742">
      <c r="A2742" s="10">
        <v>2.0</v>
      </c>
      <c r="B2742" s="36" t="s">
        <v>427</v>
      </c>
      <c r="C2742" s="37" t="s">
        <v>673</v>
      </c>
      <c r="D2742" s="20" t="s">
        <v>13</v>
      </c>
      <c r="E2742" s="38">
        <v>1.8</v>
      </c>
      <c r="F2742" s="22">
        <v>435000.0</v>
      </c>
      <c r="G2742" s="16">
        <f t="shared" si="182"/>
        <v>783000</v>
      </c>
      <c r="H2742" s="17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</row>
    <row r="2743">
      <c r="A2743" s="10">
        <v>3.0</v>
      </c>
      <c r="B2743" s="23" t="s">
        <v>14</v>
      </c>
      <c r="C2743" s="17"/>
      <c r="D2743" s="17"/>
      <c r="E2743" s="17"/>
      <c r="F2743" s="17"/>
      <c r="G2743" s="24">
        <f t="shared" si="182"/>
        <v>0</v>
      </c>
      <c r="H2743" s="17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</row>
    <row r="2744">
      <c r="A2744" s="25" t="s">
        <v>15</v>
      </c>
      <c r="B2744" s="2"/>
      <c r="C2744" s="2"/>
      <c r="D2744" s="2"/>
      <c r="E2744" s="2"/>
      <c r="F2744" s="2"/>
      <c r="G2744" s="3"/>
      <c r="H2744" s="26">
        <f>SUM(G2741:G2743)</f>
        <v>1310400</v>
      </c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</row>
    <row r="2745">
      <c r="A2745" s="25" t="s">
        <v>16</v>
      </c>
      <c r="B2745" s="2"/>
      <c r="C2745" s="2"/>
      <c r="D2745" s="2"/>
      <c r="E2745" s="2"/>
      <c r="F2745" s="2"/>
      <c r="G2745" s="3"/>
      <c r="H2745" s="26">
        <f>MAX(0,H2744-648000)</f>
        <v>662400</v>
      </c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</row>
    <row r="2746">
      <c r="A2746" s="27" t="s">
        <v>17</v>
      </c>
      <c r="B2746" s="2"/>
      <c r="C2746" s="2"/>
      <c r="D2746" s="2"/>
      <c r="E2746" s="2"/>
      <c r="F2746" s="2"/>
      <c r="G2746" s="3"/>
      <c r="H2746" s="28">
        <v>649000.0</v>
      </c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</row>
    <row r="2747">
      <c r="A2747" s="1" t="s">
        <v>18</v>
      </c>
      <c r="B2747" s="2"/>
      <c r="C2747" s="2"/>
      <c r="D2747" s="2"/>
      <c r="E2747" s="2"/>
      <c r="F2747" s="2"/>
      <c r="G2747" s="2"/>
      <c r="H2747" s="3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</row>
    <row r="2753">
      <c r="A2753" s="1" t="s">
        <v>0</v>
      </c>
      <c r="B2753" s="2"/>
      <c r="C2753" s="2"/>
      <c r="D2753" s="2"/>
      <c r="E2753" s="2"/>
      <c r="F2753" s="2"/>
      <c r="G2753" s="2"/>
      <c r="H2753" s="3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>
      <c r="A2754" s="6" t="s">
        <v>674</v>
      </c>
      <c r="B2754" s="2"/>
      <c r="C2754" s="2"/>
      <c r="D2754" s="2"/>
      <c r="E2754" s="2"/>
      <c r="F2754" s="2"/>
      <c r="G2754" s="2"/>
      <c r="H2754" s="3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>
      <c r="A2755" s="7" t="s">
        <v>2</v>
      </c>
      <c r="B2755" s="7" t="s">
        <v>3</v>
      </c>
      <c r="C2755" s="7" t="s">
        <v>4</v>
      </c>
      <c r="D2755" s="7" t="s">
        <v>5</v>
      </c>
      <c r="E2755" s="7" t="s">
        <v>6</v>
      </c>
      <c r="F2755" s="8" t="s">
        <v>7</v>
      </c>
      <c r="G2755" s="7" t="s">
        <v>8</v>
      </c>
      <c r="H2755" s="9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>
      <c r="A2756" s="10">
        <v>1.0</v>
      </c>
      <c r="B2756" s="33" t="s">
        <v>101</v>
      </c>
      <c r="C2756" s="34" t="s">
        <v>675</v>
      </c>
      <c r="D2756" s="13" t="s">
        <v>11</v>
      </c>
      <c r="E2756" s="35">
        <v>2.5</v>
      </c>
      <c r="F2756" s="15">
        <v>293000.0</v>
      </c>
      <c r="G2756" s="16">
        <f t="shared" ref="G2756:G2758" si="183">IFERROR(E2756*F2756,0)</f>
        <v>732500</v>
      </c>
      <c r="H2756" s="17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>
      <c r="A2757" s="10">
        <v>2.0</v>
      </c>
      <c r="B2757" s="36" t="s">
        <v>12</v>
      </c>
      <c r="C2757" s="37" t="s">
        <v>676</v>
      </c>
      <c r="D2757" s="20" t="s">
        <v>13</v>
      </c>
      <c r="E2757" s="38">
        <v>0.9</v>
      </c>
      <c r="F2757" s="22">
        <v>435000.0</v>
      </c>
      <c r="G2757" s="16">
        <f t="shared" si="183"/>
        <v>391500</v>
      </c>
      <c r="H2757" s="17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>
      <c r="A2758" s="10">
        <v>3.0</v>
      </c>
      <c r="B2758" s="23" t="s">
        <v>14</v>
      </c>
      <c r="C2758" s="17"/>
      <c r="D2758" s="17"/>
      <c r="E2758" s="17"/>
      <c r="F2758" s="17"/>
      <c r="G2758" s="24">
        <f t="shared" si="183"/>
        <v>0</v>
      </c>
      <c r="H2758" s="17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>
      <c r="A2759" s="25" t="s">
        <v>15</v>
      </c>
      <c r="B2759" s="2"/>
      <c r="C2759" s="2"/>
      <c r="D2759" s="2"/>
      <c r="E2759" s="2"/>
      <c r="F2759" s="2"/>
      <c r="G2759" s="3"/>
      <c r="H2759" s="26">
        <f>SUM(G2756:G2758)</f>
        <v>1124000</v>
      </c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>
      <c r="A2760" s="25" t="s">
        <v>16</v>
      </c>
      <c r="B2760" s="2"/>
      <c r="C2760" s="2"/>
      <c r="D2760" s="2"/>
      <c r="E2760" s="2"/>
      <c r="F2760" s="2"/>
      <c r="G2760" s="3"/>
      <c r="H2760" s="26">
        <f>MAX(0,H2759-648000)</f>
        <v>476000</v>
      </c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>
      <c r="A2761" s="27" t="s">
        <v>17</v>
      </c>
      <c r="B2761" s="2"/>
      <c r="C2761" s="2"/>
      <c r="D2761" s="2"/>
      <c r="E2761" s="2"/>
      <c r="F2761" s="2"/>
      <c r="G2761" s="3"/>
      <c r="H2761" s="28">
        <v>649000.0</v>
      </c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>
      <c r="A2762" s="1" t="s">
        <v>18</v>
      </c>
      <c r="B2762" s="2"/>
      <c r="C2762" s="2"/>
      <c r="D2762" s="2"/>
      <c r="E2762" s="2"/>
      <c r="F2762" s="2"/>
      <c r="G2762" s="2"/>
      <c r="H2762" s="3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7">
      <c r="A2767" s="1" t="s">
        <v>0</v>
      </c>
      <c r="B2767" s="2"/>
      <c r="C2767" s="2"/>
      <c r="D2767" s="2"/>
      <c r="E2767" s="2"/>
      <c r="F2767" s="2"/>
      <c r="G2767" s="2"/>
      <c r="H2767" s="3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>
      <c r="A2768" s="6" t="s">
        <v>677</v>
      </c>
      <c r="B2768" s="2"/>
      <c r="C2768" s="2"/>
      <c r="D2768" s="2"/>
      <c r="E2768" s="2"/>
      <c r="F2768" s="2"/>
      <c r="G2768" s="2"/>
      <c r="H2768" s="3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>
      <c r="A2769" s="7" t="s">
        <v>2</v>
      </c>
      <c r="B2769" s="7" t="s">
        <v>3</v>
      </c>
      <c r="C2769" s="7" t="s">
        <v>4</v>
      </c>
      <c r="D2769" s="7" t="s">
        <v>5</v>
      </c>
      <c r="E2769" s="7" t="s">
        <v>6</v>
      </c>
      <c r="F2769" s="8" t="s">
        <v>7</v>
      </c>
      <c r="G2769" s="7" t="s">
        <v>8</v>
      </c>
      <c r="H2769" s="9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>
      <c r="A2770" s="10">
        <v>1.0</v>
      </c>
      <c r="B2770" s="33" t="s">
        <v>678</v>
      </c>
      <c r="C2770" s="34" t="s">
        <v>679</v>
      </c>
      <c r="D2770" s="13" t="s">
        <v>11</v>
      </c>
      <c r="E2770" s="35">
        <v>2.5</v>
      </c>
      <c r="F2770" s="15">
        <v>293000.0</v>
      </c>
      <c r="G2770" s="16">
        <f t="shared" ref="G2770:G2772" si="184">IFERROR(E2770*F2770,0)</f>
        <v>732500</v>
      </c>
      <c r="H2770" s="17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>
      <c r="A2771" s="10">
        <v>2.0</v>
      </c>
      <c r="B2771" s="36" t="s">
        <v>12</v>
      </c>
      <c r="C2771" s="37" t="s">
        <v>680</v>
      </c>
      <c r="D2771" s="20" t="s">
        <v>13</v>
      </c>
      <c r="E2771" s="38">
        <v>0.98</v>
      </c>
      <c r="F2771" s="22">
        <v>435000.0</v>
      </c>
      <c r="G2771" s="16">
        <f t="shared" si="184"/>
        <v>426300</v>
      </c>
      <c r="H2771" s="17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>
      <c r="A2772" s="10">
        <v>3.0</v>
      </c>
      <c r="B2772" s="23" t="s">
        <v>14</v>
      </c>
      <c r="C2772" s="17"/>
      <c r="D2772" s="17"/>
      <c r="E2772" s="17"/>
      <c r="F2772" s="17"/>
      <c r="G2772" s="24">
        <f t="shared" si="184"/>
        <v>0</v>
      </c>
      <c r="H2772" s="17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>
      <c r="A2773" s="25" t="s">
        <v>15</v>
      </c>
      <c r="B2773" s="2"/>
      <c r="C2773" s="2"/>
      <c r="D2773" s="2"/>
      <c r="E2773" s="2"/>
      <c r="F2773" s="2"/>
      <c r="G2773" s="3"/>
      <c r="H2773" s="26">
        <f>SUM(G2770:G2772)</f>
        <v>1158800</v>
      </c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>
      <c r="A2774" s="25" t="s">
        <v>16</v>
      </c>
      <c r="B2774" s="2"/>
      <c r="C2774" s="2"/>
      <c r="D2774" s="2"/>
      <c r="E2774" s="2"/>
      <c r="F2774" s="2"/>
      <c r="G2774" s="3"/>
      <c r="H2774" s="26">
        <f>MAX(0,H2773-648000)</f>
        <v>510800</v>
      </c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>
      <c r="A2775" s="27" t="s">
        <v>17</v>
      </c>
      <c r="B2775" s="2"/>
      <c r="C2775" s="2"/>
      <c r="D2775" s="2"/>
      <c r="E2775" s="2"/>
      <c r="F2775" s="2"/>
      <c r="G2775" s="3"/>
      <c r="H2775" s="28">
        <v>649000.0</v>
      </c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>
      <c r="A2776" s="1" t="s">
        <v>18</v>
      </c>
      <c r="B2776" s="2"/>
      <c r="C2776" s="2"/>
      <c r="D2776" s="2"/>
      <c r="E2776" s="2"/>
      <c r="F2776" s="2"/>
      <c r="G2776" s="2"/>
      <c r="H2776" s="3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82">
      <c r="A2782" s="1" t="s">
        <v>0</v>
      </c>
      <c r="B2782" s="2"/>
      <c r="C2782" s="2"/>
      <c r="D2782" s="2"/>
      <c r="E2782" s="2"/>
      <c r="F2782" s="2"/>
      <c r="G2782" s="2"/>
      <c r="H2782" s="3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>
      <c r="A2783" s="6" t="s">
        <v>681</v>
      </c>
      <c r="B2783" s="2"/>
      <c r="C2783" s="2"/>
      <c r="D2783" s="2"/>
      <c r="E2783" s="2"/>
      <c r="F2783" s="2"/>
      <c r="G2783" s="2"/>
      <c r="H2783" s="3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>
      <c r="A2784" s="7" t="s">
        <v>2</v>
      </c>
      <c r="B2784" s="7" t="s">
        <v>3</v>
      </c>
      <c r="C2784" s="7" t="s">
        <v>4</v>
      </c>
      <c r="D2784" s="7" t="s">
        <v>5</v>
      </c>
      <c r="E2784" s="7" t="s">
        <v>6</v>
      </c>
      <c r="F2784" s="8" t="s">
        <v>7</v>
      </c>
      <c r="G2784" s="7" t="s">
        <v>8</v>
      </c>
      <c r="H2784" s="9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>
      <c r="A2785" s="10">
        <v>1.0</v>
      </c>
      <c r="B2785" s="33" t="s">
        <v>682</v>
      </c>
      <c r="C2785" s="34" t="s">
        <v>683</v>
      </c>
      <c r="D2785" s="13" t="s">
        <v>11</v>
      </c>
      <c r="E2785" s="35">
        <v>1.75</v>
      </c>
      <c r="F2785" s="15">
        <v>293000.0</v>
      </c>
      <c r="G2785" s="16">
        <f t="shared" ref="G2785:G2787" si="185">IFERROR(E2785*F2785,0)</f>
        <v>512750</v>
      </c>
      <c r="H2785" s="17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>
      <c r="A2786" s="10">
        <v>2.0</v>
      </c>
      <c r="B2786" s="36" t="s">
        <v>30</v>
      </c>
      <c r="C2786" s="37" t="s">
        <v>684</v>
      </c>
      <c r="D2786" s="20" t="s">
        <v>13</v>
      </c>
      <c r="E2786" s="38">
        <v>1.8</v>
      </c>
      <c r="F2786" s="22">
        <v>435000.0</v>
      </c>
      <c r="G2786" s="16">
        <f t="shared" si="185"/>
        <v>783000</v>
      </c>
      <c r="H2786" s="17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>
      <c r="A2787" s="10">
        <v>3.0</v>
      </c>
      <c r="B2787" s="23" t="s">
        <v>14</v>
      </c>
      <c r="C2787" s="17"/>
      <c r="D2787" s="17"/>
      <c r="E2787" s="17"/>
      <c r="F2787" s="17"/>
      <c r="G2787" s="24">
        <f t="shared" si="185"/>
        <v>0</v>
      </c>
      <c r="H2787" s="17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>
      <c r="A2788" s="25" t="s">
        <v>15</v>
      </c>
      <c r="B2788" s="2"/>
      <c r="C2788" s="2"/>
      <c r="D2788" s="2"/>
      <c r="E2788" s="2"/>
      <c r="F2788" s="2"/>
      <c r="G2788" s="3"/>
      <c r="H2788" s="26">
        <f>SUM(G2785:G2787)</f>
        <v>1295750</v>
      </c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>
      <c r="A2789" s="25" t="s">
        <v>16</v>
      </c>
      <c r="B2789" s="2"/>
      <c r="C2789" s="2"/>
      <c r="D2789" s="2"/>
      <c r="E2789" s="2"/>
      <c r="F2789" s="2"/>
      <c r="G2789" s="3"/>
      <c r="H2789" s="26">
        <f>MAX(0,H2788-648000)</f>
        <v>647750</v>
      </c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>
      <c r="A2790" s="27" t="s">
        <v>17</v>
      </c>
      <c r="B2790" s="2"/>
      <c r="C2790" s="2"/>
      <c r="D2790" s="2"/>
      <c r="E2790" s="2"/>
      <c r="F2790" s="2"/>
      <c r="G2790" s="3"/>
      <c r="H2790" s="28">
        <v>649000.0</v>
      </c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>
      <c r="A2791" s="1" t="s">
        <v>18</v>
      </c>
      <c r="B2791" s="2"/>
      <c r="C2791" s="2"/>
      <c r="D2791" s="2"/>
      <c r="E2791" s="2"/>
      <c r="F2791" s="2"/>
      <c r="G2791" s="2"/>
      <c r="H2791" s="3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6">
      <c r="A2796" s="1" t="s">
        <v>0</v>
      </c>
      <c r="B2796" s="2"/>
      <c r="C2796" s="2"/>
      <c r="D2796" s="2"/>
      <c r="E2796" s="2"/>
      <c r="F2796" s="2"/>
      <c r="G2796" s="2"/>
      <c r="H2796" s="3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>
      <c r="A2797" s="6" t="s">
        <v>685</v>
      </c>
      <c r="B2797" s="2"/>
      <c r="C2797" s="2"/>
      <c r="D2797" s="2"/>
      <c r="E2797" s="2"/>
      <c r="F2797" s="2"/>
      <c r="G2797" s="2"/>
      <c r="H2797" s="3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>
      <c r="A2798" s="7" t="s">
        <v>2</v>
      </c>
      <c r="B2798" s="7" t="s">
        <v>3</v>
      </c>
      <c r="C2798" s="7" t="s">
        <v>4</v>
      </c>
      <c r="D2798" s="7" t="s">
        <v>5</v>
      </c>
      <c r="E2798" s="7" t="s">
        <v>6</v>
      </c>
      <c r="F2798" s="8" t="s">
        <v>7</v>
      </c>
      <c r="G2798" s="7" t="s">
        <v>8</v>
      </c>
      <c r="H2798" s="9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>
      <c r="A2799" s="10">
        <v>1.0</v>
      </c>
      <c r="B2799" s="33" t="s">
        <v>434</v>
      </c>
      <c r="C2799" s="34" t="s">
        <v>686</v>
      </c>
      <c r="D2799" s="13" t="s">
        <v>11</v>
      </c>
      <c r="E2799" s="35">
        <v>2.5</v>
      </c>
      <c r="F2799" s="15">
        <v>293000.0</v>
      </c>
      <c r="G2799" s="16">
        <f t="shared" ref="G2799:G2801" si="186">IFERROR(E2799*F2799,0)</f>
        <v>732500</v>
      </c>
      <c r="H2799" s="17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>
      <c r="A2800" s="10">
        <v>2.0</v>
      </c>
      <c r="B2800" s="36" t="s">
        <v>36</v>
      </c>
      <c r="C2800" s="37" t="s">
        <v>687</v>
      </c>
      <c r="D2800" s="20" t="s">
        <v>13</v>
      </c>
      <c r="E2800" s="38">
        <v>1.1</v>
      </c>
      <c r="F2800" s="22">
        <v>435000.0</v>
      </c>
      <c r="G2800" s="16">
        <f t="shared" si="186"/>
        <v>478500</v>
      </c>
      <c r="H2800" s="17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>
      <c r="A2801" s="10">
        <v>3.0</v>
      </c>
      <c r="B2801" s="23" t="s">
        <v>14</v>
      </c>
      <c r="C2801" s="17"/>
      <c r="D2801" s="17"/>
      <c r="E2801" s="17"/>
      <c r="F2801" s="17"/>
      <c r="G2801" s="24">
        <f t="shared" si="186"/>
        <v>0</v>
      </c>
      <c r="H2801" s="17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>
      <c r="A2802" s="25" t="s">
        <v>15</v>
      </c>
      <c r="B2802" s="2"/>
      <c r="C2802" s="2"/>
      <c r="D2802" s="2"/>
      <c r="E2802" s="2"/>
      <c r="F2802" s="2"/>
      <c r="G2802" s="3"/>
      <c r="H2802" s="26">
        <f>SUM(G2799:G2801)</f>
        <v>1211000</v>
      </c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>
      <c r="A2803" s="25" t="s">
        <v>16</v>
      </c>
      <c r="B2803" s="2"/>
      <c r="C2803" s="2"/>
      <c r="D2803" s="2"/>
      <c r="E2803" s="2"/>
      <c r="F2803" s="2"/>
      <c r="G2803" s="3"/>
      <c r="H2803" s="26">
        <f>MAX(0,H2802-648000)</f>
        <v>563000</v>
      </c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>
      <c r="A2804" s="27" t="s">
        <v>17</v>
      </c>
      <c r="B2804" s="2"/>
      <c r="C2804" s="2"/>
      <c r="D2804" s="2"/>
      <c r="E2804" s="2"/>
      <c r="F2804" s="2"/>
      <c r="G2804" s="3"/>
      <c r="H2804" s="28">
        <v>649000.0</v>
      </c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>
      <c r="A2805" s="1" t="s">
        <v>18</v>
      </c>
      <c r="B2805" s="2"/>
      <c r="C2805" s="2"/>
      <c r="D2805" s="2"/>
      <c r="E2805" s="2"/>
      <c r="F2805" s="2"/>
      <c r="G2805" s="2"/>
      <c r="H2805" s="3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11">
      <c r="A2811" s="1" t="s">
        <v>0</v>
      </c>
      <c r="B2811" s="2"/>
      <c r="C2811" s="2"/>
      <c r="D2811" s="2"/>
      <c r="E2811" s="2"/>
      <c r="F2811" s="2"/>
      <c r="G2811" s="2"/>
      <c r="H2811" s="3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>
      <c r="A2812" s="6" t="s">
        <v>688</v>
      </c>
      <c r="B2812" s="2"/>
      <c r="C2812" s="2"/>
      <c r="D2812" s="2"/>
      <c r="E2812" s="2"/>
      <c r="F2812" s="2"/>
      <c r="G2812" s="2"/>
      <c r="H2812" s="3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>
      <c r="A2813" s="7" t="s">
        <v>2</v>
      </c>
      <c r="B2813" s="7" t="s">
        <v>3</v>
      </c>
      <c r="C2813" s="7" t="s">
        <v>4</v>
      </c>
      <c r="D2813" s="7" t="s">
        <v>5</v>
      </c>
      <c r="E2813" s="7" t="s">
        <v>6</v>
      </c>
      <c r="F2813" s="8" t="s">
        <v>7</v>
      </c>
      <c r="G2813" s="7" t="s">
        <v>8</v>
      </c>
      <c r="H2813" s="9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>
      <c r="A2814" s="10">
        <v>1.0</v>
      </c>
      <c r="B2814" s="33" t="s">
        <v>77</v>
      </c>
      <c r="C2814" s="34" t="s">
        <v>689</v>
      </c>
      <c r="D2814" s="13" t="s">
        <v>11</v>
      </c>
      <c r="E2814" s="35">
        <v>2.8</v>
      </c>
      <c r="F2814" s="15">
        <v>293000.0</v>
      </c>
      <c r="G2814" s="16">
        <f t="shared" ref="G2814:G2816" si="187">IFERROR(E2814*F2814,0)</f>
        <v>820400</v>
      </c>
      <c r="H2814" s="17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>
      <c r="A2815" s="10">
        <v>2.0</v>
      </c>
      <c r="B2815" s="36" t="s">
        <v>36</v>
      </c>
      <c r="C2815" s="37" t="s">
        <v>690</v>
      </c>
      <c r="D2815" s="20" t="s">
        <v>13</v>
      </c>
      <c r="E2815" s="38">
        <v>0.8</v>
      </c>
      <c r="F2815" s="22">
        <v>435000.0</v>
      </c>
      <c r="G2815" s="16">
        <f t="shared" si="187"/>
        <v>348000</v>
      </c>
      <c r="H2815" s="17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>
      <c r="A2816" s="10">
        <v>3.0</v>
      </c>
      <c r="B2816" s="23" t="s">
        <v>14</v>
      </c>
      <c r="C2816" s="17"/>
      <c r="D2816" s="17"/>
      <c r="E2816" s="31" t="s">
        <v>181</v>
      </c>
      <c r="F2816" s="17"/>
      <c r="G2816" s="24">
        <f t="shared" si="187"/>
        <v>0</v>
      </c>
      <c r="H2816" s="17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>
      <c r="A2817" s="25" t="s">
        <v>15</v>
      </c>
      <c r="B2817" s="2"/>
      <c r="C2817" s="2"/>
      <c r="D2817" s="2"/>
      <c r="E2817" s="2"/>
      <c r="F2817" s="2"/>
      <c r="G2817" s="3"/>
      <c r="H2817" s="26">
        <f>SUM(G2814:G2816)</f>
        <v>1168400</v>
      </c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>
      <c r="A2818" s="25" t="s">
        <v>16</v>
      </c>
      <c r="B2818" s="2"/>
      <c r="C2818" s="2"/>
      <c r="D2818" s="2"/>
      <c r="E2818" s="2"/>
      <c r="F2818" s="2"/>
      <c r="G2818" s="3"/>
      <c r="H2818" s="26">
        <f>MAX(0,H2817-648000)</f>
        <v>520400</v>
      </c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>
      <c r="A2819" s="27" t="s">
        <v>17</v>
      </c>
      <c r="B2819" s="2"/>
      <c r="C2819" s="2"/>
      <c r="D2819" s="2"/>
      <c r="E2819" s="2"/>
      <c r="F2819" s="2"/>
      <c r="G2819" s="3"/>
      <c r="H2819" s="28">
        <v>649000.0</v>
      </c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>
      <c r="A2820" s="1" t="s">
        <v>18</v>
      </c>
      <c r="B2820" s="2"/>
      <c r="C2820" s="2"/>
      <c r="D2820" s="2"/>
      <c r="E2820" s="2"/>
      <c r="F2820" s="2"/>
      <c r="G2820" s="2"/>
      <c r="H2820" s="3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7">
      <c r="A2827" s="1" t="s">
        <v>0</v>
      </c>
      <c r="B2827" s="2"/>
      <c r="C2827" s="2"/>
      <c r="D2827" s="2"/>
      <c r="E2827" s="2"/>
      <c r="F2827" s="2"/>
      <c r="G2827" s="2"/>
      <c r="H2827" s="3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>
      <c r="A2828" s="6" t="s">
        <v>691</v>
      </c>
      <c r="B2828" s="2"/>
      <c r="C2828" s="2"/>
      <c r="D2828" s="2"/>
      <c r="E2828" s="2"/>
      <c r="F2828" s="2"/>
      <c r="G2828" s="2"/>
      <c r="H2828" s="3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>
      <c r="A2829" s="7" t="s">
        <v>2</v>
      </c>
      <c r="B2829" s="7" t="s">
        <v>3</v>
      </c>
      <c r="C2829" s="7" t="s">
        <v>4</v>
      </c>
      <c r="D2829" s="7" t="s">
        <v>5</v>
      </c>
      <c r="E2829" s="7" t="s">
        <v>6</v>
      </c>
      <c r="F2829" s="8" t="s">
        <v>7</v>
      </c>
      <c r="G2829" s="7" t="s">
        <v>8</v>
      </c>
      <c r="H2829" s="9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>
      <c r="A2830" s="10">
        <v>1.0</v>
      </c>
      <c r="B2830" s="33" t="s">
        <v>110</v>
      </c>
      <c r="C2830" s="34" t="s">
        <v>692</v>
      </c>
      <c r="D2830" s="13" t="s">
        <v>11</v>
      </c>
      <c r="E2830" s="35">
        <v>2.1</v>
      </c>
      <c r="F2830" s="15">
        <v>293000.0</v>
      </c>
      <c r="G2830" s="16">
        <f t="shared" ref="G2830:G2832" si="188">IFERROR(E2830*F2830,0)</f>
        <v>615300</v>
      </c>
      <c r="H2830" s="17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>
      <c r="A2831" s="10">
        <v>2.0</v>
      </c>
      <c r="B2831" s="36" t="s">
        <v>539</v>
      </c>
      <c r="C2831" s="37" t="s">
        <v>693</v>
      </c>
      <c r="D2831" s="20" t="s">
        <v>13</v>
      </c>
      <c r="E2831" s="38">
        <v>1.47</v>
      </c>
      <c r="F2831" s="22">
        <v>435000.0</v>
      </c>
      <c r="G2831" s="16">
        <f t="shared" si="188"/>
        <v>639450</v>
      </c>
      <c r="H2831" s="17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>
      <c r="A2832" s="10">
        <v>3.0</v>
      </c>
      <c r="B2832" s="23" t="s">
        <v>14</v>
      </c>
      <c r="C2832" s="17"/>
      <c r="D2832" s="17"/>
      <c r="E2832" s="17"/>
      <c r="F2832" s="17"/>
      <c r="G2832" s="24">
        <f t="shared" si="188"/>
        <v>0</v>
      </c>
      <c r="H2832" s="17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>
      <c r="A2833" s="25" t="s">
        <v>15</v>
      </c>
      <c r="B2833" s="2"/>
      <c r="C2833" s="2"/>
      <c r="D2833" s="2"/>
      <c r="E2833" s="2"/>
      <c r="F2833" s="2"/>
      <c r="G2833" s="3"/>
      <c r="H2833" s="26">
        <f>SUM(G2830:G2832)</f>
        <v>1254750</v>
      </c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>
      <c r="A2834" s="25" t="s">
        <v>16</v>
      </c>
      <c r="B2834" s="2"/>
      <c r="C2834" s="2"/>
      <c r="D2834" s="2"/>
      <c r="E2834" s="2"/>
      <c r="F2834" s="2"/>
      <c r="G2834" s="3"/>
      <c r="H2834" s="26">
        <f>MAX(0,H2833-648000)</f>
        <v>606750</v>
      </c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>
      <c r="A2835" s="27" t="s">
        <v>17</v>
      </c>
      <c r="B2835" s="2"/>
      <c r="C2835" s="2"/>
      <c r="D2835" s="2"/>
      <c r="E2835" s="2"/>
      <c r="F2835" s="2"/>
      <c r="G2835" s="3"/>
      <c r="H2835" s="28">
        <v>649000.0</v>
      </c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>
      <c r="A2836" s="1" t="s">
        <v>18</v>
      </c>
      <c r="B2836" s="2"/>
      <c r="C2836" s="2"/>
      <c r="D2836" s="2"/>
      <c r="E2836" s="2"/>
      <c r="F2836" s="2"/>
      <c r="G2836" s="2"/>
      <c r="H2836" s="3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43">
      <c r="A2843" s="1" t="s">
        <v>0</v>
      </c>
      <c r="B2843" s="2"/>
      <c r="C2843" s="2"/>
      <c r="D2843" s="2"/>
      <c r="E2843" s="2"/>
      <c r="F2843" s="2"/>
      <c r="G2843" s="2"/>
      <c r="H2843" s="3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>
      <c r="A2844" s="6" t="s">
        <v>694</v>
      </c>
      <c r="B2844" s="2"/>
      <c r="C2844" s="2"/>
      <c r="D2844" s="2"/>
      <c r="E2844" s="2"/>
      <c r="F2844" s="2"/>
      <c r="G2844" s="2"/>
      <c r="H2844" s="3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>
      <c r="A2845" s="7" t="s">
        <v>2</v>
      </c>
      <c r="B2845" s="7" t="s">
        <v>3</v>
      </c>
      <c r="C2845" s="7" t="s">
        <v>4</v>
      </c>
      <c r="D2845" s="7" t="s">
        <v>5</v>
      </c>
      <c r="E2845" s="7" t="s">
        <v>6</v>
      </c>
      <c r="F2845" s="8" t="s">
        <v>7</v>
      </c>
      <c r="G2845" s="7" t="s">
        <v>8</v>
      </c>
      <c r="H2845" s="9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>
      <c r="A2846" s="10">
        <v>1.0</v>
      </c>
      <c r="B2846" s="33" t="s">
        <v>12</v>
      </c>
      <c r="C2846" s="34" t="s">
        <v>695</v>
      </c>
      <c r="D2846" s="13" t="s">
        <v>11</v>
      </c>
      <c r="E2846" s="35">
        <v>1.45</v>
      </c>
      <c r="F2846" s="15">
        <v>293000.0</v>
      </c>
      <c r="G2846" s="16">
        <f t="shared" ref="G2846:G2848" si="189">IFERROR(E2846*F2846,0)</f>
        <v>424850</v>
      </c>
      <c r="H2846" s="17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>
      <c r="A2847" s="10">
        <v>2.0</v>
      </c>
      <c r="B2847" s="36" t="s">
        <v>65</v>
      </c>
      <c r="C2847" s="37" t="s">
        <v>696</v>
      </c>
      <c r="D2847" s="20" t="s">
        <v>13</v>
      </c>
      <c r="E2847" s="38">
        <v>1.9</v>
      </c>
      <c r="F2847" s="22">
        <v>435000.0</v>
      </c>
      <c r="G2847" s="16">
        <f t="shared" si="189"/>
        <v>826500</v>
      </c>
      <c r="H2847" s="17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>
      <c r="A2848" s="10">
        <v>3.0</v>
      </c>
      <c r="B2848" s="23" t="s">
        <v>14</v>
      </c>
      <c r="C2848" s="17"/>
      <c r="D2848" s="17"/>
      <c r="E2848" s="17"/>
      <c r="F2848" s="17"/>
      <c r="G2848" s="24">
        <f t="shared" si="189"/>
        <v>0</v>
      </c>
      <c r="H2848" s="17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>
      <c r="A2849" s="25" t="s">
        <v>15</v>
      </c>
      <c r="B2849" s="2"/>
      <c r="C2849" s="2"/>
      <c r="D2849" s="2"/>
      <c r="E2849" s="2"/>
      <c r="F2849" s="2"/>
      <c r="G2849" s="3"/>
      <c r="H2849" s="26">
        <f>SUM(G2846:G2848)</f>
        <v>1251350</v>
      </c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>
      <c r="A2850" s="25" t="s">
        <v>16</v>
      </c>
      <c r="B2850" s="2"/>
      <c r="C2850" s="2"/>
      <c r="D2850" s="2"/>
      <c r="E2850" s="2"/>
      <c r="F2850" s="2"/>
      <c r="G2850" s="3"/>
      <c r="H2850" s="26">
        <f>MAX(0,H2849-648000)</f>
        <v>603350</v>
      </c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>
      <c r="A2851" s="27" t="s">
        <v>17</v>
      </c>
      <c r="B2851" s="2"/>
      <c r="C2851" s="2"/>
      <c r="D2851" s="2"/>
      <c r="E2851" s="2"/>
      <c r="F2851" s="2"/>
      <c r="G2851" s="3"/>
      <c r="H2851" s="28">
        <v>649000.0</v>
      </c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>
      <c r="A2852" s="1" t="s">
        <v>18</v>
      </c>
      <c r="B2852" s="2"/>
      <c r="C2852" s="2"/>
      <c r="D2852" s="2"/>
      <c r="E2852" s="2"/>
      <c r="F2852" s="2"/>
      <c r="G2852" s="2"/>
      <c r="H2852" s="3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9">
      <c r="A2859" s="1" t="s">
        <v>0</v>
      </c>
      <c r="B2859" s="2"/>
      <c r="C2859" s="2"/>
      <c r="D2859" s="2"/>
      <c r="E2859" s="2"/>
      <c r="F2859" s="2"/>
      <c r="G2859" s="2"/>
      <c r="H2859" s="3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>
      <c r="A2860" s="6" t="s">
        <v>697</v>
      </c>
      <c r="B2860" s="2"/>
      <c r="C2860" s="2"/>
      <c r="D2860" s="2"/>
      <c r="E2860" s="2"/>
      <c r="F2860" s="2"/>
      <c r="G2860" s="2"/>
      <c r="H2860" s="3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>
      <c r="A2861" s="7" t="s">
        <v>2</v>
      </c>
      <c r="B2861" s="7" t="s">
        <v>3</v>
      </c>
      <c r="C2861" s="7" t="s">
        <v>4</v>
      </c>
      <c r="D2861" s="7" t="s">
        <v>5</v>
      </c>
      <c r="E2861" s="7" t="s">
        <v>6</v>
      </c>
      <c r="F2861" s="8" t="s">
        <v>7</v>
      </c>
      <c r="G2861" s="7" t="s">
        <v>8</v>
      </c>
      <c r="H2861" s="9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>
      <c r="A2862" s="10">
        <v>1.0</v>
      </c>
      <c r="B2862" s="33" t="s">
        <v>348</v>
      </c>
      <c r="C2862" s="34" t="s">
        <v>698</v>
      </c>
      <c r="D2862" s="13" t="s">
        <v>11</v>
      </c>
      <c r="E2862" s="35">
        <v>2.66</v>
      </c>
      <c r="F2862" s="15">
        <v>293000.0</v>
      </c>
      <c r="G2862" s="16">
        <f t="shared" ref="G2862:G2864" si="190">IFERROR(E2862*F2862,0)</f>
        <v>779380</v>
      </c>
      <c r="H2862" s="17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>
      <c r="A2863" s="10">
        <v>2.0</v>
      </c>
      <c r="B2863" s="36" t="s">
        <v>60</v>
      </c>
      <c r="C2863" s="37" t="s">
        <v>699</v>
      </c>
      <c r="D2863" s="20" t="s">
        <v>13</v>
      </c>
      <c r="E2863" s="38">
        <v>1.0</v>
      </c>
      <c r="F2863" s="22">
        <v>435000.0</v>
      </c>
      <c r="G2863" s="16">
        <f t="shared" si="190"/>
        <v>435000</v>
      </c>
      <c r="H2863" s="17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>
      <c r="A2864" s="10">
        <v>3.0</v>
      </c>
      <c r="B2864" s="23" t="s">
        <v>14</v>
      </c>
      <c r="C2864" s="17"/>
      <c r="D2864" s="17"/>
      <c r="E2864" s="17"/>
      <c r="F2864" s="17"/>
      <c r="G2864" s="24">
        <f t="shared" si="190"/>
        <v>0</v>
      </c>
      <c r="H2864" s="17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>
      <c r="A2865" s="25" t="s">
        <v>15</v>
      </c>
      <c r="B2865" s="2"/>
      <c r="C2865" s="2"/>
      <c r="D2865" s="2"/>
      <c r="E2865" s="2"/>
      <c r="F2865" s="2"/>
      <c r="G2865" s="3"/>
      <c r="H2865" s="26">
        <f>SUM(G2862:G2864)</f>
        <v>1214380</v>
      </c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>
      <c r="A2866" s="25" t="s">
        <v>16</v>
      </c>
      <c r="B2866" s="2"/>
      <c r="C2866" s="2"/>
      <c r="D2866" s="2"/>
      <c r="E2866" s="2"/>
      <c r="F2866" s="2"/>
      <c r="G2866" s="3"/>
      <c r="H2866" s="26">
        <f>MAX(0,H2865-648000)</f>
        <v>566380</v>
      </c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>
      <c r="A2867" s="27" t="s">
        <v>17</v>
      </c>
      <c r="B2867" s="2"/>
      <c r="C2867" s="2"/>
      <c r="D2867" s="2"/>
      <c r="E2867" s="2"/>
      <c r="F2867" s="2"/>
      <c r="G2867" s="3"/>
      <c r="H2867" s="28">
        <v>649000.0</v>
      </c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>
      <c r="A2868" s="1" t="s">
        <v>18</v>
      </c>
      <c r="B2868" s="2"/>
      <c r="C2868" s="2"/>
      <c r="D2868" s="2"/>
      <c r="E2868" s="2"/>
      <c r="F2868" s="2"/>
      <c r="G2868" s="2"/>
      <c r="H2868" s="3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75" ht="29.25" customHeight="1">
      <c r="A2875" s="1" t="s">
        <v>0</v>
      </c>
      <c r="B2875" s="2"/>
      <c r="C2875" s="2"/>
      <c r="D2875" s="2"/>
      <c r="E2875" s="2"/>
      <c r="F2875" s="2"/>
      <c r="G2875" s="2"/>
      <c r="H2875" s="3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>
      <c r="A2876" s="6" t="s">
        <v>700</v>
      </c>
      <c r="B2876" s="2"/>
      <c r="C2876" s="2"/>
      <c r="D2876" s="2"/>
      <c r="E2876" s="2"/>
      <c r="F2876" s="2"/>
      <c r="G2876" s="2"/>
      <c r="H2876" s="3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>
      <c r="A2877" s="7" t="s">
        <v>2</v>
      </c>
      <c r="B2877" s="7" t="s">
        <v>3</v>
      </c>
      <c r="C2877" s="7" t="s">
        <v>4</v>
      </c>
      <c r="D2877" s="7" t="s">
        <v>5</v>
      </c>
      <c r="E2877" s="7" t="s">
        <v>6</v>
      </c>
      <c r="F2877" s="8" t="s">
        <v>7</v>
      </c>
      <c r="G2877" s="7" t="s">
        <v>8</v>
      </c>
      <c r="H2877" s="9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>
      <c r="A2878" s="10">
        <v>1.0</v>
      </c>
      <c r="B2878" s="33" t="s">
        <v>701</v>
      </c>
      <c r="C2878" s="34" t="s">
        <v>702</v>
      </c>
      <c r="D2878" s="13" t="s">
        <v>11</v>
      </c>
      <c r="E2878" s="35">
        <v>1.85</v>
      </c>
      <c r="F2878" s="15">
        <v>293000.0</v>
      </c>
      <c r="G2878" s="16">
        <f t="shared" ref="G2878:G2880" si="191">IFERROR(E2878*F2878,0)</f>
        <v>542050</v>
      </c>
      <c r="H2878" s="17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>
      <c r="A2879" s="10">
        <v>2.0</v>
      </c>
      <c r="B2879" s="36" t="s">
        <v>703</v>
      </c>
      <c r="C2879" s="37" t="s">
        <v>704</v>
      </c>
      <c r="D2879" s="20" t="s">
        <v>13</v>
      </c>
      <c r="E2879" s="38">
        <v>1.66</v>
      </c>
      <c r="F2879" s="22">
        <v>435000.0</v>
      </c>
      <c r="G2879" s="16">
        <f t="shared" si="191"/>
        <v>722100</v>
      </c>
      <c r="H2879" s="17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>
      <c r="A2880" s="10">
        <v>3.0</v>
      </c>
      <c r="B2880" s="23" t="s">
        <v>14</v>
      </c>
      <c r="C2880" s="17"/>
      <c r="D2880" s="17"/>
      <c r="E2880" s="17"/>
      <c r="F2880" s="17"/>
      <c r="G2880" s="24">
        <f t="shared" si="191"/>
        <v>0</v>
      </c>
      <c r="H2880" s="17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>
      <c r="A2881" s="25" t="s">
        <v>15</v>
      </c>
      <c r="B2881" s="2"/>
      <c r="C2881" s="2"/>
      <c r="D2881" s="2"/>
      <c r="E2881" s="2"/>
      <c r="F2881" s="2"/>
      <c r="G2881" s="3"/>
      <c r="H2881" s="26">
        <f>SUM(G2878:G2880)</f>
        <v>1264150</v>
      </c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>
      <c r="A2882" s="25" t="s">
        <v>16</v>
      </c>
      <c r="B2882" s="2"/>
      <c r="C2882" s="2"/>
      <c r="D2882" s="2"/>
      <c r="E2882" s="2"/>
      <c r="F2882" s="2"/>
      <c r="G2882" s="3"/>
      <c r="H2882" s="26">
        <f>MAX(0,H2881-648000)</f>
        <v>616150</v>
      </c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>
      <c r="A2883" s="27" t="s">
        <v>17</v>
      </c>
      <c r="B2883" s="2"/>
      <c r="C2883" s="2"/>
      <c r="D2883" s="2"/>
      <c r="E2883" s="2"/>
      <c r="F2883" s="2"/>
      <c r="G2883" s="3"/>
      <c r="H2883" s="28">
        <v>649000.0</v>
      </c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>
      <c r="A2884" s="1" t="s">
        <v>18</v>
      </c>
      <c r="B2884" s="2"/>
      <c r="C2884" s="2"/>
      <c r="D2884" s="2"/>
      <c r="E2884" s="2"/>
      <c r="F2884" s="2"/>
      <c r="G2884" s="2"/>
      <c r="H2884" s="3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9" ht="29.25" customHeight="1">
      <c r="A2889" s="1" t="s">
        <v>0</v>
      </c>
      <c r="B2889" s="2"/>
      <c r="C2889" s="2"/>
      <c r="D2889" s="2"/>
      <c r="E2889" s="2"/>
      <c r="F2889" s="2"/>
      <c r="G2889" s="2"/>
      <c r="H2889" s="3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>
      <c r="A2890" s="6" t="s">
        <v>705</v>
      </c>
      <c r="B2890" s="2"/>
      <c r="C2890" s="2"/>
      <c r="D2890" s="2"/>
      <c r="E2890" s="2"/>
      <c r="F2890" s="2"/>
      <c r="G2890" s="2"/>
      <c r="H2890" s="3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>
      <c r="A2891" s="7" t="s">
        <v>2</v>
      </c>
      <c r="B2891" s="7" t="s">
        <v>3</v>
      </c>
      <c r="C2891" s="7" t="s">
        <v>4</v>
      </c>
      <c r="D2891" s="7" t="s">
        <v>5</v>
      </c>
      <c r="E2891" s="7" t="s">
        <v>6</v>
      </c>
      <c r="F2891" s="8" t="s">
        <v>7</v>
      </c>
      <c r="G2891" s="7" t="s">
        <v>8</v>
      </c>
      <c r="H2891" s="9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>
      <c r="A2892" s="10">
        <v>1.0</v>
      </c>
      <c r="B2892" s="33" t="s">
        <v>706</v>
      </c>
      <c r="C2892" s="34" t="s">
        <v>548</v>
      </c>
      <c r="D2892" s="13" t="s">
        <v>11</v>
      </c>
      <c r="E2892" s="35">
        <v>1.5</v>
      </c>
      <c r="F2892" s="15">
        <v>293000.0</v>
      </c>
      <c r="G2892" s="16">
        <f t="shared" ref="G2892:G2894" si="192">IFERROR(E2892*F2892,0)</f>
        <v>439500</v>
      </c>
      <c r="H2892" s="17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>
      <c r="A2893" s="10">
        <v>2.0</v>
      </c>
      <c r="B2893" s="36" t="s">
        <v>707</v>
      </c>
      <c r="C2893" s="37" t="s">
        <v>708</v>
      </c>
      <c r="D2893" s="20" t="s">
        <v>13</v>
      </c>
      <c r="E2893" s="38">
        <v>1.8</v>
      </c>
      <c r="F2893" s="22">
        <v>435000.0</v>
      </c>
      <c r="G2893" s="16">
        <f t="shared" si="192"/>
        <v>783000</v>
      </c>
      <c r="H2893" s="17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>
      <c r="A2894" s="10">
        <v>3.0</v>
      </c>
      <c r="B2894" s="23" t="s">
        <v>14</v>
      </c>
      <c r="C2894" s="17"/>
      <c r="D2894" s="17"/>
      <c r="E2894" s="17"/>
      <c r="F2894" s="17"/>
      <c r="G2894" s="24">
        <f t="shared" si="192"/>
        <v>0</v>
      </c>
      <c r="H2894" s="17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>
      <c r="A2895" s="25" t="s">
        <v>15</v>
      </c>
      <c r="B2895" s="2"/>
      <c r="C2895" s="2"/>
      <c r="D2895" s="2"/>
      <c r="E2895" s="2"/>
      <c r="F2895" s="2"/>
      <c r="G2895" s="3"/>
      <c r="H2895" s="26">
        <f>SUM(G2892:G2894)</f>
        <v>1222500</v>
      </c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>
      <c r="A2896" s="25" t="s">
        <v>16</v>
      </c>
      <c r="B2896" s="2"/>
      <c r="C2896" s="2"/>
      <c r="D2896" s="2"/>
      <c r="E2896" s="2"/>
      <c r="F2896" s="2"/>
      <c r="G2896" s="3"/>
      <c r="H2896" s="26">
        <f>MAX(0,H2895-648000)</f>
        <v>574500</v>
      </c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>
      <c r="A2897" s="27" t="s">
        <v>17</v>
      </c>
      <c r="B2897" s="2"/>
      <c r="C2897" s="2"/>
      <c r="D2897" s="2"/>
      <c r="E2897" s="2"/>
      <c r="F2897" s="2"/>
      <c r="G2897" s="3"/>
      <c r="H2897" s="28">
        <v>649000.0</v>
      </c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>
      <c r="A2898" s="1" t="s">
        <v>18</v>
      </c>
      <c r="B2898" s="2"/>
      <c r="C2898" s="2"/>
      <c r="D2898" s="2"/>
      <c r="E2898" s="2"/>
      <c r="F2898" s="2"/>
      <c r="G2898" s="2"/>
      <c r="H2898" s="3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904" ht="29.25" customHeight="1">
      <c r="A2904" s="1" t="s">
        <v>0</v>
      </c>
      <c r="B2904" s="2"/>
      <c r="C2904" s="2"/>
      <c r="D2904" s="2"/>
      <c r="E2904" s="2"/>
      <c r="F2904" s="2"/>
      <c r="G2904" s="2"/>
      <c r="H2904" s="3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>
      <c r="A2905" s="6" t="s">
        <v>709</v>
      </c>
      <c r="B2905" s="2"/>
      <c r="C2905" s="2"/>
      <c r="D2905" s="2"/>
      <c r="E2905" s="2"/>
      <c r="F2905" s="2"/>
      <c r="G2905" s="2"/>
      <c r="H2905" s="3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>
      <c r="A2906" s="7" t="s">
        <v>2</v>
      </c>
      <c r="B2906" s="7" t="s">
        <v>3</v>
      </c>
      <c r="C2906" s="7" t="s">
        <v>4</v>
      </c>
      <c r="D2906" s="7" t="s">
        <v>5</v>
      </c>
      <c r="E2906" s="7" t="s">
        <v>6</v>
      </c>
      <c r="F2906" s="8" t="s">
        <v>7</v>
      </c>
      <c r="G2906" s="7" t="s">
        <v>8</v>
      </c>
      <c r="H2906" s="9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>
      <c r="A2907" s="10">
        <v>1.0</v>
      </c>
      <c r="B2907" s="33" t="s">
        <v>434</v>
      </c>
      <c r="C2907" s="34" t="s">
        <v>710</v>
      </c>
      <c r="D2907" s="13" t="s">
        <v>11</v>
      </c>
      <c r="E2907" s="35">
        <v>1.7</v>
      </c>
      <c r="F2907" s="15">
        <v>293000.0</v>
      </c>
      <c r="G2907" s="16">
        <f t="shared" ref="G2907:G2909" si="193">IFERROR(E2907*F2907,0)</f>
        <v>498100</v>
      </c>
      <c r="H2907" s="17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>
      <c r="A2908" s="10">
        <v>2.0</v>
      </c>
      <c r="B2908" s="36" t="s">
        <v>711</v>
      </c>
      <c r="C2908" s="37" t="s">
        <v>712</v>
      </c>
      <c r="D2908" s="20" t="s">
        <v>13</v>
      </c>
      <c r="E2908" s="38">
        <v>1.75</v>
      </c>
      <c r="F2908" s="22">
        <v>435000.0</v>
      </c>
      <c r="G2908" s="16">
        <f t="shared" si="193"/>
        <v>761250</v>
      </c>
      <c r="H2908" s="17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>
      <c r="A2909" s="10">
        <v>3.0</v>
      </c>
      <c r="B2909" s="23" t="s">
        <v>14</v>
      </c>
      <c r="C2909" s="17"/>
      <c r="D2909" s="17"/>
      <c r="E2909" s="17"/>
      <c r="F2909" s="17"/>
      <c r="G2909" s="24">
        <f t="shared" si="193"/>
        <v>0</v>
      </c>
      <c r="H2909" s="17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>
      <c r="A2910" s="25" t="s">
        <v>15</v>
      </c>
      <c r="B2910" s="2"/>
      <c r="C2910" s="2"/>
      <c r="D2910" s="2"/>
      <c r="E2910" s="2"/>
      <c r="F2910" s="2"/>
      <c r="G2910" s="3"/>
      <c r="H2910" s="26">
        <f>SUM(G2907:G2909)</f>
        <v>1259350</v>
      </c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>
      <c r="A2911" s="25" t="s">
        <v>16</v>
      </c>
      <c r="B2911" s="2"/>
      <c r="C2911" s="2"/>
      <c r="D2911" s="2"/>
      <c r="E2911" s="2"/>
      <c r="F2911" s="2"/>
      <c r="G2911" s="3"/>
      <c r="H2911" s="26">
        <f>MAX(0,H2910-648000)</f>
        <v>611350</v>
      </c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>
      <c r="A2912" s="27" t="s">
        <v>17</v>
      </c>
      <c r="B2912" s="2"/>
      <c r="C2912" s="2"/>
      <c r="D2912" s="2"/>
      <c r="E2912" s="2"/>
      <c r="F2912" s="2"/>
      <c r="G2912" s="3"/>
      <c r="H2912" s="28">
        <v>649000.0</v>
      </c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>
      <c r="A2913" s="1" t="s">
        <v>18</v>
      </c>
      <c r="B2913" s="2"/>
      <c r="C2913" s="2"/>
      <c r="D2913" s="2"/>
      <c r="E2913" s="2"/>
      <c r="F2913" s="2"/>
      <c r="G2913" s="2"/>
      <c r="H2913" s="3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8" ht="29.25" customHeight="1">
      <c r="A2918" s="1" t="s">
        <v>0</v>
      </c>
      <c r="B2918" s="2"/>
      <c r="C2918" s="2"/>
      <c r="D2918" s="2"/>
      <c r="E2918" s="2"/>
      <c r="F2918" s="2"/>
      <c r="G2918" s="2"/>
      <c r="H2918" s="3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>
      <c r="A2919" s="6" t="s">
        <v>713</v>
      </c>
      <c r="B2919" s="2"/>
      <c r="C2919" s="2"/>
      <c r="D2919" s="2"/>
      <c r="E2919" s="2"/>
      <c r="F2919" s="2"/>
      <c r="G2919" s="2"/>
      <c r="H2919" s="3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>
      <c r="A2920" s="7" t="s">
        <v>2</v>
      </c>
      <c r="B2920" s="7" t="s">
        <v>3</v>
      </c>
      <c r="C2920" s="7" t="s">
        <v>4</v>
      </c>
      <c r="D2920" s="7" t="s">
        <v>5</v>
      </c>
      <c r="E2920" s="7" t="s">
        <v>6</v>
      </c>
      <c r="F2920" s="8" t="s">
        <v>7</v>
      </c>
      <c r="G2920" s="7" t="s">
        <v>8</v>
      </c>
      <c r="H2920" s="9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>
      <c r="A2921" s="10">
        <v>1.0</v>
      </c>
      <c r="B2921" s="33" t="s">
        <v>640</v>
      </c>
      <c r="C2921" s="34" t="s">
        <v>714</v>
      </c>
      <c r="D2921" s="13" t="s">
        <v>11</v>
      </c>
      <c r="E2921" s="35">
        <v>1.73</v>
      </c>
      <c r="F2921" s="15">
        <v>293000.0</v>
      </c>
      <c r="G2921" s="16">
        <f t="shared" ref="G2921:G2923" si="194">IFERROR(E2921*F2921,0)</f>
        <v>506890</v>
      </c>
      <c r="H2921" s="17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>
      <c r="A2922" s="10">
        <v>2.0</v>
      </c>
      <c r="B2922" s="36" t="s">
        <v>106</v>
      </c>
      <c r="C2922" s="37" t="s">
        <v>715</v>
      </c>
      <c r="D2922" s="20" t="s">
        <v>13</v>
      </c>
      <c r="E2922" s="38">
        <v>1.78</v>
      </c>
      <c r="F2922" s="22">
        <v>435000.0</v>
      </c>
      <c r="G2922" s="16">
        <f t="shared" si="194"/>
        <v>774300</v>
      </c>
      <c r="H2922" s="17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>
      <c r="A2923" s="10">
        <v>3.0</v>
      </c>
      <c r="B2923" s="23" t="s">
        <v>14</v>
      </c>
      <c r="C2923" s="17"/>
      <c r="D2923" s="17"/>
      <c r="E2923" s="17"/>
      <c r="F2923" s="17"/>
      <c r="G2923" s="24">
        <f t="shared" si="194"/>
        <v>0</v>
      </c>
      <c r="H2923" s="17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>
      <c r="A2924" s="25" t="s">
        <v>15</v>
      </c>
      <c r="B2924" s="2"/>
      <c r="C2924" s="2"/>
      <c r="D2924" s="2"/>
      <c r="E2924" s="2"/>
      <c r="F2924" s="2"/>
      <c r="G2924" s="3"/>
      <c r="H2924" s="26">
        <f>SUM(G2921:G2923)</f>
        <v>1281190</v>
      </c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>
      <c r="A2925" s="25" t="s">
        <v>16</v>
      </c>
      <c r="B2925" s="2"/>
      <c r="C2925" s="2"/>
      <c r="D2925" s="2"/>
      <c r="E2925" s="2"/>
      <c r="F2925" s="2"/>
      <c r="G2925" s="3"/>
      <c r="H2925" s="26">
        <f>MAX(0,H2924-648000)</f>
        <v>633190</v>
      </c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>
      <c r="A2926" s="27" t="s">
        <v>17</v>
      </c>
      <c r="B2926" s="2"/>
      <c r="C2926" s="2"/>
      <c r="D2926" s="2"/>
      <c r="E2926" s="2"/>
      <c r="F2926" s="2"/>
      <c r="G2926" s="3"/>
      <c r="H2926" s="28">
        <v>649000.0</v>
      </c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>
      <c r="A2927" s="1" t="s">
        <v>18</v>
      </c>
      <c r="B2927" s="2"/>
      <c r="C2927" s="2"/>
      <c r="D2927" s="2"/>
      <c r="E2927" s="2"/>
      <c r="F2927" s="2"/>
      <c r="G2927" s="2"/>
      <c r="H2927" s="3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31" ht="29.25" customHeight="1">
      <c r="A2931" s="1" t="s">
        <v>0</v>
      </c>
      <c r="B2931" s="2"/>
      <c r="C2931" s="2"/>
      <c r="D2931" s="2"/>
      <c r="E2931" s="2"/>
      <c r="F2931" s="2"/>
      <c r="G2931" s="2"/>
      <c r="H2931" s="3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>
      <c r="A2932" s="6" t="s">
        <v>716</v>
      </c>
      <c r="B2932" s="2"/>
      <c r="C2932" s="2"/>
      <c r="D2932" s="2"/>
      <c r="E2932" s="2"/>
      <c r="F2932" s="2"/>
      <c r="G2932" s="2"/>
      <c r="H2932" s="3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>
      <c r="A2933" s="7" t="s">
        <v>2</v>
      </c>
      <c r="B2933" s="7" t="s">
        <v>3</v>
      </c>
      <c r="C2933" s="7" t="s">
        <v>4</v>
      </c>
      <c r="D2933" s="7" t="s">
        <v>5</v>
      </c>
      <c r="E2933" s="7" t="s">
        <v>6</v>
      </c>
      <c r="F2933" s="8" t="s">
        <v>7</v>
      </c>
      <c r="G2933" s="7" t="s">
        <v>8</v>
      </c>
      <c r="H2933" s="9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>
      <c r="A2934" s="10">
        <v>1.0</v>
      </c>
      <c r="B2934" s="33" t="s">
        <v>118</v>
      </c>
      <c r="C2934" s="34" t="s">
        <v>717</v>
      </c>
      <c r="D2934" s="13" t="s">
        <v>11</v>
      </c>
      <c r="E2934" s="35">
        <v>1.65</v>
      </c>
      <c r="F2934" s="15">
        <v>293000.0</v>
      </c>
      <c r="G2934" s="16">
        <f t="shared" ref="G2934:G2936" si="195">IFERROR(E2934*F2934,0)</f>
        <v>483450</v>
      </c>
      <c r="H2934" s="17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>
      <c r="A2935" s="10">
        <v>2.0</v>
      </c>
      <c r="B2935" s="36" t="s">
        <v>718</v>
      </c>
      <c r="C2935" s="37" t="s">
        <v>719</v>
      </c>
      <c r="D2935" s="20" t="s">
        <v>13</v>
      </c>
      <c r="E2935" s="38">
        <v>1.79</v>
      </c>
      <c r="F2935" s="22">
        <v>435000.0</v>
      </c>
      <c r="G2935" s="16">
        <f t="shared" si="195"/>
        <v>778650</v>
      </c>
      <c r="H2935" s="17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>
      <c r="A2936" s="10">
        <v>3.0</v>
      </c>
      <c r="B2936" s="23" t="s">
        <v>14</v>
      </c>
      <c r="C2936" s="17"/>
      <c r="D2936" s="17"/>
      <c r="E2936" s="17"/>
      <c r="F2936" s="17"/>
      <c r="G2936" s="24">
        <f t="shared" si="195"/>
        <v>0</v>
      </c>
      <c r="H2936" s="17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>
      <c r="A2937" s="25" t="s">
        <v>15</v>
      </c>
      <c r="B2937" s="2"/>
      <c r="C2937" s="2"/>
      <c r="D2937" s="2"/>
      <c r="E2937" s="2"/>
      <c r="F2937" s="2"/>
      <c r="G2937" s="3"/>
      <c r="H2937" s="26">
        <f>SUM(G2934:G2936)</f>
        <v>1262100</v>
      </c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>
      <c r="A2938" s="25" t="s">
        <v>16</v>
      </c>
      <c r="B2938" s="2"/>
      <c r="C2938" s="2"/>
      <c r="D2938" s="2"/>
      <c r="E2938" s="2"/>
      <c r="F2938" s="2"/>
      <c r="G2938" s="3"/>
      <c r="H2938" s="26">
        <f>MAX(0,H2937-648000)</f>
        <v>614100</v>
      </c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>
      <c r="A2939" s="27" t="s">
        <v>17</v>
      </c>
      <c r="B2939" s="2"/>
      <c r="C2939" s="2"/>
      <c r="D2939" s="2"/>
      <c r="E2939" s="2"/>
      <c r="F2939" s="2"/>
      <c r="G2939" s="3"/>
      <c r="H2939" s="28">
        <v>649000.0</v>
      </c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>
      <c r="A2940" s="1" t="s">
        <v>18</v>
      </c>
      <c r="B2940" s="2"/>
      <c r="C2940" s="2"/>
      <c r="D2940" s="2"/>
      <c r="E2940" s="2"/>
      <c r="F2940" s="2"/>
      <c r="G2940" s="2"/>
      <c r="H2940" s="3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6" ht="29.25" customHeight="1">
      <c r="A2946" s="1" t="s">
        <v>0</v>
      </c>
      <c r="B2946" s="2"/>
      <c r="C2946" s="2"/>
      <c r="D2946" s="2"/>
      <c r="E2946" s="2"/>
      <c r="F2946" s="2"/>
      <c r="G2946" s="2"/>
      <c r="H2946" s="3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>
      <c r="A2947" s="6" t="s">
        <v>720</v>
      </c>
      <c r="B2947" s="2"/>
      <c r="C2947" s="2"/>
      <c r="D2947" s="2"/>
      <c r="E2947" s="2"/>
      <c r="F2947" s="2"/>
      <c r="G2947" s="2"/>
      <c r="H2947" s="3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>
      <c r="A2948" s="7" t="s">
        <v>2</v>
      </c>
      <c r="B2948" s="7" t="s">
        <v>3</v>
      </c>
      <c r="C2948" s="7" t="s">
        <v>4</v>
      </c>
      <c r="D2948" s="7" t="s">
        <v>5</v>
      </c>
      <c r="E2948" s="7" t="s">
        <v>6</v>
      </c>
      <c r="F2948" s="8" t="s">
        <v>7</v>
      </c>
      <c r="G2948" s="7" t="s">
        <v>8</v>
      </c>
      <c r="H2948" s="9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>
      <c r="A2949" s="10">
        <v>1.0</v>
      </c>
      <c r="B2949" s="33" t="s">
        <v>640</v>
      </c>
      <c r="C2949" s="34" t="s">
        <v>721</v>
      </c>
      <c r="D2949" s="13" t="s">
        <v>11</v>
      </c>
      <c r="E2949" s="35">
        <v>1.6</v>
      </c>
      <c r="F2949" s="15">
        <v>293000.0</v>
      </c>
      <c r="G2949" s="16">
        <f t="shared" ref="G2949:G2951" si="196">IFERROR(E2949*F2949,0)</f>
        <v>468800</v>
      </c>
      <c r="H2949" s="17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>
      <c r="A2950" s="10">
        <v>2.0</v>
      </c>
      <c r="B2950" s="36" t="s">
        <v>218</v>
      </c>
      <c r="C2950" s="37" t="s">
        <v>722</v>
      </c>
      <c r="D2950" s="20" t="s">
        <v>13</v>
      </c>
      <c r="E2950" s="38">
        <v>1.7</v>
      </c>
      <c r="F2950" s="22">
        <v>435000.0</v>
      </c>
      <c r="G2950" s="16">
        <f t="shared" si="196"/>
        <v>739500</v>
      </c>
      <c r="H2950" s="17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>
      <c r="A2951" s="10">
        <v>3.0</v>
      </c>
      <c r="B2951" s="23" t="s">
        <v>14</v>
      </c>
      <c r="C2951" s="17"/>
      <c r="D2951" s="17"/>
      <c r="E2951" s="17"/>
      <c r="F2951" s="17"/>
      <c r="G2951" s="24">
        <f t="shared" si="196"/>
        <v>0</v>
      </c>
      <c r="H2951" s="17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>
      <c r="A2952" s="25" t="s">
        <v>15</v>
      </c>
      <c r="B2952" s="2"/>
      <c r="C2952" s="2"/>
      <c r="D2952" s="2"/>
      <c r="E2952" s="2"/>
      <c r="F2952" s="2"/>
      <c r="G2952" s="3"/>
      <c r="H2952" s="26">
        <f>SUM(G2949:G2951)</f>
        <v>1208300</v>
      </c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>
      <c r="A2953" s="25" t="s">
        <v>16</v>
      </c>
      <c r="B2953" s="2"/>
      <c r="C2953" s="2"/>
      <c r="D2953" s="2"/>
      <c r="E2953" s="2"/>
      <c r="F2953" s="2"/>
      <c r="G2953" s="3"/>
      <c r="H2953" s="26">
        <f>MAX(0,H2952-648000)</f>
        <v>560300</v>
      </c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>
      <c r="A2954" s="27" t="s">
        <v>17</v>
      </c>
      <c r="B2954" s="2"/>
      <c r="C2954" s="2"/>
      <c r="D2954" s="2"/>
      <c r="E2954" s="2"/>
      <c r="F2954" s="2"/>
      <c r="G2954" s="3"/>
      <c r="H2954" s="28">
        <v>649000.0</v>
      </c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>
      <c r="A2955" s="1" t="s">
        <v>18</v>
      </c>
      <c r="B2955" s="2"/>
      <c r="C2955" s="2"/>
      <c r="D2955" s="2"/>
      <c r="E2955" s="2"/>
      <c r="F2955" s="2"/>
      <c r="G2955" s="2"/>
      <c r="H2955" s="3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60" ht="29.25" customHeight="1">
      <c r="A2960" s="1" t="s">
        <v>0</v>
      </c>
      <c r="B2960" s="2"/>
      <c r="C2960" s="2"/>
      <c r="D2960" s="2"/>
      <c r="E2960" s="2"/>
      <c r="F2960" s="2"/>
      <c r="G2960" s="2"/>
      <c r="H2960" s="3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>
      <c r="A2961" s="6" t="s">
        <v>723</v>
      </c>
      <c r="B2961" s="2"/>
      <c r="C2961" s="2"/>
      <c r="D2961" s="2"/>
      <c r="E2961" s="2"/>
      <c r="F2961" s="2"/>
      <c r="G2961" s="2"/>
      <c r="H2961" s="3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>
      <c r="A2962" s="7" t="s">
        <v>2</v>
      </c>
      <c r="B2962" s="7" t="s">
        <v>3</v>
      </c>
      <c r="C2962" s="7" t="s">
        <v>4</v>
      </c>
      <c r="D2962" s="7" t="s">
        <v>5</v>
      </c>
      <c r="E2962" s="7" t="s">
        <v>6</v>
      </c>
      <c r="F2962" s="8" t="s">
        <v>7</v>
      </c>
      <c r="G2962" s="7" t="s">
        <v>8</v>
      </c>
      <c r="H2962" s="9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>
      <c r="A2963" s="10">
        <v>1.0</v>
      </c>
      <c r="B2963" s="33" t="s">
        <v>724</v>
      </c>
      <c r="C2963" s="34">
        <v>5739.0</v>
      </c>
      <c r="D2963" s="13" t="s">
        <v>11</v>
      </c>
      <c r="E2963" s="35">
        <v>1.6</v>
      </c>
      <c r="F2963" s="15">
        <v>293000.0</v>
      </c>
      <c r="G2963" s="16">
        <f t="shared" ref="G2963:G2965" si="197">IFERROR(E2963*F2963,0)</f>
        <v>468800</v>
      </c>
      <c r="H2963" s="17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>
      <c r="A2964" s="10">
        <v>2.0</v>
      </c>
      <c r="B2964" s="36" t="s">
        <v>725</v>
      </c>
      <c r="C2964" s="37" t="s">
        <v>726</v>
      </c>
      <c r="D2964" s="20" t="s">
        <v>13</v>
      </c>
      <c r="E2964" s="38">
        <v>2.0</v>
      </c>
      <c r="F2964" s="22">
        <v>435000.0</v>
      </c>
      <c r="G2964" s="16">
        <f t="shared" si="197"/>
        <v>870000</v>
      </c>
      <c r="H2964" s="17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>
      <c r="A2965" s="10">
        <v>3.0</v>
      </c>
      <c r="B2965" s="23" t="s">
        <v>14</v>
      </c>
      <c r="C2965" s="17"/>
      <c r="D2965" s="17"/>
      <c r="E2965" s="17"/>
      <c r="F2965" s="17"/>
      <c r="G2965" s="24">
        <f t="shared" si="197"/>
        <v>0</v>
      </c>
      <c r="H2965" s="17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>
      <c r="A2966" s="25" t="s">
        <v>15</v>
      </c>
      <c r="B2966" s="2"/>
      <c r="C2966" s="2"/>
      <c r="D2966" s="2"/>
      <c r="E2966" s="2"/>
      <c r="F2966" s="2"/>
      <c r="G2966" s="3"/>
      <c r="H2966" s="26">
        <f>SUM(G2963:G2965)</f>
        <v>1338800</v>
      </c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>
      <c r="A2967" s="25" t="s">
        <v>16</v>
      </c>
      <c r="B2967" s="2"/>
      <c r="C2967" s="2"/>
      <c r="D2967" s="2"/>
      <c r="E2967" s="2"/>
      <c r="F2967" s="2"/>
      <c r="G2967" s="3"/>
      <c r="H2967" s="26">
        <f>MAX(0,H2966-648000)</f>
        <v>690800</v>
      </c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>
      <c r="A2968" s="27" t="s">
        <v>17</v>
      </c>
      <c r="B2968" s="2"/>
      <c r="C2968" s="2"/>
      <c r="D2968" s="2"/>
      <c r="E2968" s="2"/>
      <c r="F2968" s="2"/>
      <c r="G2968" s="3"/>
      <c r="H2968" s="28">
        <v>649000.0</v>
      </c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>
      <c r="A2969" s="1" t="s">
        <v>18</v>
      </c>
      <c r="B2969" s="2"/>
      <c r="C2969" s="2"/>
      <c r="D2969" s="2"/>
      <c r="E2969" s="2"/>
      <c r="F2969" s="2"/>
      <c r="G2969" s="2"/>
      <c r="H2969" s="3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5" ht="29.25" customHeight="1">
      <c r="A2975" s="1" t="s">
        <v>0</v>
      </c>
      <c r="B2975" s="2"/>
      <c r="C2975" s="2"/>
      <c r="D2975" s="2"/>
      <c r="E2975" s="2"/>
      <c r="F2975" s="2"/>
      <c r="G2975" s="2"/>
      <c r="H2975" s="3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>
      <c r="A2976" s="6" t="s">
        <v>727</v>
      </c>
      <c r="B2976" s="2"/>
      <c r="C2976" s="2"/>
      <c r="D2976" s="2"/>
      <c r="E2976" s="2"/>
      <c r="F2976" s="2"/>
      <c r="G2976" s="2"/>
      <c r="H2976" s="3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>
      <c r="A2977" s="7" t="s">
        <v>2</v>
      </c>
      <c r="B2977" s="7" t="s">
        <v>3</v>
      </c>
      <c r="C2977" s="7" t="s">
        <v>4</v>
      </c>
      <c r="D2977" s="7" t="s">
        <v>5</v>
      </c>
      <c r="E2977" s="7" t="s">
        <v>6</v>
      </c>
      <c r="F2977" s="8" t="s">
        <v>7</v>
      </c>
      <c r="G2977" s="7" t="s">
        <v>8</v>
      </c>
      <c r="H2977" s="9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>
      <c r="A2978" s="10">
        <v>1.0</v>
      </c>
      <c r="B2978" s="33" t="s">
        <v>243</v>
      </c>
      <c r="C2978" s="34" t="s">
        <v>728</v>
      </c>
      <c r="D2978" s="13" t="s">
        <v>11</v>
      </c>
      <c r="E2978" s="35">
        <v>1.45</v>
      </c>
      <c r="F2978" s="15">
        <v>293000.0</v>
      </c>
      <c r="G2978" s="16">
        <f t="shared" ref="G2978:G2980" si="198">IFERROR(E2978*F2978,0)</f>
        <v>424850</v>
      </c>
      <c r="H2978" s="17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>
      <c r="A2979" s="10">
        <v>2.0</v>
      </c>
      <c r="B2979" s="36" t="s">
        <v>301</v>
      </c>
      <c r="C2979" s="37" t="s">
        <v>729</v>
      </c>
      <c r="D2979" s="20" t="s">
        <v>13</v>
      </c>
      <c r="E2979" s="38">
        <v>2.0</v>
      </c>
      <c r="F2979" s="22">
        <v>435000.0</v>
      </c>
      <c r="G2979" s="16">
        <f t="shared" si="198"/>
        <v>870000</v>
      </c>
      <c r="H2979" s="17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>
      <c r="A2980" s="10">
        <v>3.0</v>
      </c>
      <c r="B2980" s="23" t="s">
        <v>14</v>
      </c>
      <c r="C2980" s="17"/>
      <c r="D2980" s="17"/>
      <c r="E2980" s="17"/>
      <c r="F2980" s="17"/>
      <c r="G2980" s="24">
        <f t="shared" si="198"/>
        <v>0</v>
      </c>
      <c r="H2980" s="17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>
      <c r="A2981" s="25" t="s">
        <v>15</v>
      </c>
      <c r="B2981" s="2"/>
      <c r="C2981" s="2"/>
      <c r="D2981" s="2"/>
      <c r="E2981" s="2"/>
      <c r="F2981" s="2"/>
      <c r="G2981" s="3"/>
      <c r="H2981" s="26">
        <f>SUM(G2978:G2980)</f>
        <v>1294850</v>
      </c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>
      <c r="A2982" s="25" t="s">
        <v>16</v>
      </c>
      <c r="B2982" s="2"/>
      <c r="C2982" s="2"/>
      <c r="D2982" s="2"/>
      <c r="E2982" s="2"/>
      <c r="F2982" s="2"/>
      <c r="G2982" s="3"/>
      <c r="H2982" s="26">
        <f>MAX(0,H2981-648000)</f>
        <v>646850</v>
      </c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>
      <c r="A2983" s="27" t="s">
        <v>17</v>
      </c>
      <c r="B2983" s="2"/>
      <c r="C2983" s="2"/>
      <c r="D2983" s="2"/>
      <c r="E2983" s="2"/>
      <c r="F2983" s="2"/>
      <c r="G2983" s="3"/>
      <c r="H2983" s="28">
        <v>649000.0</v>
      </c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>
      <c r="A2984" s="1" t="s">
        <v>18</v>
      </c>
      <c r="B2984" s="2"/>
      <c r="C2984" s="2"/>
      <c r="D2984" s="2"/>
      <c r="E2984" s="2"/>
      <c r="F2984" s="2"/>
      <c r="G2984" s="2"/>
      <c r="H2984" s="3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9" ht="29.25" customHeight="1">
      <c r="A2989" s="1" t="s">
        <v>0</v>
      </c>
      <c r="B2989" s="2"/>
      <c r="C2989" s="2"/>
      <c r="D2989" s="2"/>
      <c r="E2989" s="2"/>
      <c r="F2989" s="2"/>
      <c r="G2989" s="2"/>
      <c r="H2989" s="3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>
      <c r="A2990" s="6" t="s">
        <v>730</v>
      </c>
      <c r="B2990" s="2"/>
      <c r="C2990" s="2"/>
      <c r="D2990" s="2"/>
      <c r="E2990" s="2"/>
      <c r="F2990" s="2"/>
      <c r="G2990" s="2"/>
      <c r="H2990" s="3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>
      <c r="A2991" s="7" t="s">
        <v>2</v>
      </c>
      <c r="B2991" s="7" t="s">
        <v>3</v>
      </c>
      <c r="C2991" s="7" t="s">
        <v>4</v>
      </c>
      <c r="D2991" s="7" t="s">
        <v>5</v>
      </c>
      <c r="E2991" s="7" t="s">
        <v>6</v>
      </c>
      <c r="F2991" s="8" t="s">
        <v>7</v>
      </c>
      <c r="G2991" s="7" t="s">
        <v>8</v>
      </c>
      <c r="H2991" s="9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>
      <c r="A2992" s="10">
        <v>1.0</v>
      </c>
      <c r="B2992" s="33" t="s">
        <v>731</v>
      </c>
      <c r="C2992" s="34" t="s">
        <v>732</v>
      </c>
      <c r="D2992" s="13" t="s">
        <v>11</v>
      </c>
      <c r="E2992" s="35">
        <v>0.86</v>
      </c>
      <c r="F2992" s="15">
        <v>293000.0</v>
      </c>
      <c r="G2992" s="16">
        <f t="shared" ref="G2992:G2994" si="199">IFERROR(E2992*F2992,0)</f>
        <v>251980</v>
      </c>
      <c r="H2992" s="17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>
      <c r="A2993" s="10">
        <v>2.0</v>
      </c>
      <c r="B2993" s="36" t="s">
        <v>733</v>
      </c>
      <c r="C2993" s="37" t="s">
        <v>734</v>
      </c>
      <c r="D2993" s="20" t="s">
        <v>13</v>
      </c>
      <c r="E2993" s="38">
        <v>2.9</v>
      </c>
      <c r="F2993" s="22">
        <v>435000.0</v>
      </c>
      <c r="G2993" s="16">
        <f t="shared" si="199"/>
        <v>1261500</v>
      </c>
      <c r="H2993" s="17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>
      <c r="A2994" s="10">
        <v>3.0</v>
      </c>
      <c r="B2994" s="23" t="s">
        <v>14</v>
      </c>
      <c r="C2994" s="17"/>
      <c r="D2994" s="17"/>
      <c r="E2994" s="17"/>
      <c r="F2994" s="17"/>
      <c r="G2994" s="24">
        <f t="shared" si="199"/>
        <v>0</v>
      </c>
      <c r="H2994" s="17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>
      <c r="A2995" s="25" t="s">
        <v>15</v>
      </c>
      <c r="B2995" s="2"/>
      <c r="C2995" s="2"/>
      <c r="D2995" s="2"/>
      <c r="E2995" s="2"/>
      <c r="F2995" s="2"/>
      <c r="G2995" s="3"/>
      <c r="H2995" s="26">
        <f>SUM(G2992:G2994)</f>
        <v>1513480</v>
      </c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>
      <c r="A2996" s="25" t="s">
        <v>16</v>
      </c>
      <c r="B2996" s="2"/>
      <c r="C2996" s="2"/>
      <c r="D2996" s="2"/>
      <c r="E2996" s="2"/>
      <c r="F2996" s="2"/>
      <c r="G2996" s="3"/>
      <c r="H2996" s="26">
        <f>MAX(0,H2995-648000)</f>
        <v>865480</v>
      </c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>
      <c r="A2997" s="27" t="s">
        <v>17</v>
      </c>
      <c r="B2997" s="2"/>
      <c r="C2997" s="2"/>
      <c r="D2997" s="2"/>
      <c r="E2997" s="2"/>
      <c r="F2997" s="2"/>
      <c r="G2997" s="3"/>
      <c r="H2997" s="28">
        <v>649000.0</v>
      </c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>
      <c r="A2998" s="1" t="s">
        <v>18</v>
      </c>
      <c r="B2998" s="2"/>
      <c r="C2998" s="2"/>
      <c r="D2998" s="2"/>
      <c r="E2998" s="2"/>
      <c r="F2998" s="2"/>
      <c r="G2998" s="2"/>
      <c r="H2998" s="3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3005" ht="29.25" customHeight="1">
      <c r="A3005" s="1" t="s">
        <v>0</v>
      </c>
      <c r="B3005" s="2"/>
      <c r="C3005" s="2"/>
      <c r="D3005" s="2"/>
      <c r="E3005" s="2"/>
      <c r="F3005" s="2"/>
      <c r="G3005" s="2"/>
      <c r="H3005" s="3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>
      <c r="A3006" s="6" t="s">
        <v>735</v>
      </c>
      <c r="B3006" s="2"/>
      <c r="C3006" s="2"/>
      <c r="D3006" s="2"/>
      <c r="E3006" s="2"/>
      <c r="F3006" s="2"/>
      <c r="G3006" s="2"/>
      <c r="H3006" s="3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>
      <c r="A3007" s="7" t="s">
        <v>2</v>
      </c>
      <c r="B3007" s="7" t="s">
        <v>3</v>
      </c>
      <c r="C3007" s="7" t="s">
        <v>4</v>
      </c>
      <c r="D3007" s="7" t="s">
        <v>5</v>
      </c>
      <c r="E3007" s="7" t="s">
        <v>6</v>
      </c>
      <c r="F3007" s="8" t="s">
        <v>7</v>
      </c>
      <c r="G3007" s="7" t="s">
        <v>8</v>
      </c>
      <c r="H3007" s="9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>
      <c r="A3008" s="10">
        <v>1.0</v>
      </c>
      <c r="B3008" s="33" t="s">
        <v>234</v>
      </c>
      <c r="C3008" s="34" t="s">
        <v>736</v>
      </c>
      <c r="D3008" s="13" t="s">
        <v>11</v>
      </c>
      <c r="E3008" s="35">
        <v>0.84</v>
      </c>
      <c r="F3008" s="15">
        <v>293000.0</v>
      </c>
      <c r="G3008" s="16">
        <f t="shared" ref="G3008:G3010" si="200">IFERROR(E3008*F3008,0)</f>
        <v>246120</v>
      </c>
      <c r="H3008" s="17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>
      <c r="A3009" s="10">
        <v>2.0</v>
      </c>
      <c r="B3009" s="36" t="s">
        <v>391</v>
      </c>
      <c r="C3009" s="37" t="s">
        <v>737</v>
      </c>
      <c r="D3009" s="20" t="s">
        <v>13</v>
      </c>
      <c r="E3009" s="38">
        <v>2.93</v>
      </c>
      <c r="F3009" s="22">
        <v>435000.0</v>
      </c>
      <c r="G3009" s="16">
        <f t="shared" si="200"/>
        <v>1274550</v>
      </c>
      <c r="H3009" s="17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>
      <c r="A3010" s="10">
        <v>3.0</v>
      </c>
      <c r="B3010" s="23" t="s">
        <v>14</v>
      </c>
      <c r="C3010" s="17"/>
      <c r="D3010" s="17"/>
      <c r="E3010" s="17"/>
      <c r="F3010" s="17"/>
      <c r="G3010" s="24">
        <f t="shared" si="200"/>
        <v>0</v>
      </c>
      <c r="H3010" s="17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>
      <c r="A3011" s="25" t="s">
        <v>15</v>
      </c>
      <c r="B3011" s="2"/>
      <c r="C3011" s="2"/>
      <c r="D3011" s="2"/>
      <c r="E3011" s="2"/>
      <c r="F3011" s="2"/>
      <c r="G3011" s="3"/>
      <c r="H3011" s="26">
        <f>SUM(G3008:G3010)</f>
        <v>1520670</v>
      </c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>
      <c r="A3012" s="25" t="s">
        <v>16</v>
      </c>
      <c r="B3012" s="2"/>
      <c r="C3012" s="2"/>
      <c r="D3012" s="2"/>
      <c r="E3012" s="2"/>
      <c r="F3012" s="2"/>
      <c r="G3012" s="3"/>
      <c r="H3012" s="26">
        <f>MAX(0,H3011-648000)</f>
        <v>872670</v>
      </c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>
      <c r="A3013" s="27" t="s">
        <v>17</v>
      </c>
      <c r="B3013" s="2"/>
      <c r="C3013" s="2"/>
      <c r="D3013" s="2"/>
      <c r="E3013" s="2"/>
      <c r="F3013" s="2"/>
      <c r="G3013" s="3"/>
      <c r="H3013" s="28">
        <v>649000.0</v>
      </c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>
      <c r="A3014" s="1" t="s">
        <v>18</v>
      </c>
      <c r="B3014" s="2"/>
      <c r="C3014" s="2"/>
      <c r="D3014" s="2"/>
      <c r="E3014" s="2"/>
      <c r="F3014" s="2"/>
      <c r="G3014" s="2"/>
      <c r="H3014" s="3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21" ht="29.25" customHeight="1">
      <c r="A3021" s="1" t="s">
        <v>0</v>
      </c>
      <c r="B3021" s="2"/>
      <c r="C3021" s="2"/>
      <c r="D3021" s="2"/>
      <c r="E3021" s="2"/>
      <c r="F3021" s="2"/>
      <c r="G3021" s="2"/>
      <c r="H3021" s="3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>
      <c r="A3022" s="6" t="s">
        <v>738</v>
      </c>
      <c r="B3022" s="2"/>
      <c r="C3022" s="2"/>
      <c r="D3022" s="2"/>
      <c r="E3022" s="2"/>
      <c r="F3022" s="2"/>
      <c r="G3022" s="2"/>
      <c r="H3022" s="3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>
      <c r="A3023" s="7" t="s">
        <v>2</v>
      </c>
      <c r="B3023" s="7" t="s">
        <v>3</v>
      </c>
      <c r="C3023" s="7" t="s">
        <v>4</v>
      </c>
      <c r="D3023" s="7" t="s">
        <v>5</v>
      </c>
      <c r="E3023" s="7" t="s">
        <v>6</v>
      </c>
      <c r="F3023" s="8" t="s">
        <v>7</v>
      </c>
      <c r="G3023" s="7" t="s">
        <v>8</v>
      </c>
      <c r="H3023" s="9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>
      <c r="A3024" s="10">
        <v>1.0</v>
      </c>
      <c r="B3024" s="33" t="s">
        <v>243</v>
      </c>
      <c r="C3024" s="34" t="s">
        <v>739</v>
      </c>
      <c r="D3024" s="13" t="s">
        <v>11</v>
      </c>
      <c r="E3024" s="35">
        <v>0.8</v>
      </c>
      <c r="F3024" s="15">
        <v>293000.0</v>
      </c>
      <c r="G3024" s="16">
        <f t="shared" ref="G3024:G3026" si="201">IFERROR(E3024*F3024,0)</f>
        <v>234400</v>
      </c>
      <c r="H3024" s="17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>
      <c r="A3025" s="10">
        <v>2.0</v>
      </c>
      <c r="B3025" s="36" t="s">
        <v>391</v>
      </c>
      <c r="C3025" s="37" t="s">
        <v>740</v>
      </c>
      <c r="D3025" s="20" t="s">
        <v>13</v>
      </c>
      <c r="E3025" s="38">
        <v>2.95</v>
      </c>
      <c r="F3025" s="22">
        <v>435000.0</v>
      </c>
      <c r="G3025" s="16">
        <f t="shared" si="201"/>
        <v>1283250</v>
      </c>
      <c r="H3025" s="17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>
      <c r="A3026" s="10">
        <v>3.0</v>
      </c>
      <c r="B3026" s="23" t="s">
        <v>14</v>
      </c>
      <c r="C3026" s="17"/>
      <c r="D3026" s="17"/>
      <c r="E3026" s="17"/>
      <c r="F3026" s="17"/>
      <c r="G3026" s="24">
        <f t="shared" si="201"/>
        <v>0</v>
      </c>
      <c r="H3026" s="17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>
      <c r="A3027" s="25" t="s">
        <v>15</v>
      </c>
      <c r="B3027" s="2"/>
      <c r="C3027" s="2"/>
      <c r="D3027" s="2"/>
      <c r="E3027" s="2"/>
      <c r="F3027" s="2"/>
      <c r="G3027" s="3"/>
      <c r="H3027" s="26">
        <f>SUM(G3024:G3026)</f>
        <v>1517650</v>
      </c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>
      <c r="A3028" s="25" t="s">
        <v>16</v>
      </c>
      <c r="B3028" s="2"/>
      <c r="C3028" s="2"/>
      <c r="D3028" s="2"/>
      <c r="E3028" s="2"/>
      <c r="F3028" s="2"/>
      <c r="G3028" s="3"/>
      <c r="H3028" s="26">
        <f>MAX(0,H3027-648000)</f>
        <v>869650</v>
      </c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>
      <c r="A3029" s="27" t="s">
        <v>17</v>
      </c>
      <c r="B3029" s="2"/>
      <c r="C3029" s="2"/>
      <c r="D3029" s="2"/>
      <c r="E3029" s="2"/>
      <c r="F3029" s="2"/>
      <c r="G3029" s="3"/>
      <c r="H3029" s="28">
        <v>649000.0</v>
      </c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>
      <c r="A3030" s="1" t="s">
        <v>18</v>
      </c>
      <c r="B3030" s="2"/>
      <c r="C3030" s="2"/>
      <c r="D3030" s="2"/>
      <c r="E3030" s="2"/>
      <c r="F3030" s="2"/>
      <c r="G3030" s="2"/>
      <c r="H3030" s="3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8" ht="29.25" customHeight="1">
      <c r="A3038" s="1" t="s">
        <v>0</v>
      </c>
      <c r="B3038" s="2"/>
      <c r="C3038" s="2"/>
      <c r="D3038" s="2"/>
      <c r="E3038" s="2"/>
      <c r="F3038" s="2"/>
      <c r="G3038" s="2"/>
      <c r="H3038" s="3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>
      <c r="A3039" s="6" t="s">
        <v>741</v>
      </c>
      <c r="B3039" s="2"/>
      <c r="C3039" s="2"/>
      <c r="D3039" s="2"/>
      <c r="E3039" s="2"/>
      <c r="F3039" s="2"/>
      <c r="G3039" s="2"/>
      <c r="H3039" s="3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>
      <c r="A3040" s="7" t="s">
        <v>2</v>
      </c>
      <c r="B3040" s="7" t="s">
        <v>3</v>
      </c>
      <c r="C3040" s="7" t="s">
        <v>4</v>
      </c>
      <c r="D3040" s="7" t="s">
        <v>5</v>
      </c>
      <c r="E3040" s="7" t="s">
        <v>6</v>
      </c>
      <c r="F3040" s="8" t="s">
        <v>7</v>
      </c>
      <c r="G3040" s="7" t="s">
        <v>8</v>
      </c>
      <c r="H3040" s="9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>
      <c r="A3041" s="10">
        <v>1.0</v>
      </c>
      <c r="B3041" s="33" t="s">
        <v>742</v>
      </c>
      <c r="C3041" s="34" t="s">
        <v>743</v>
      </c>
      <c r="D3041" s="13" t="s">
        <v>11</v>
      </c>
      <c r="E3041" s="35">
        <v>1.57</v>
      </c>
      <c r="F3041" s="15">
        <v>293000.0</v>
      </c>
      <c r="G3041" s="16">
        <f t="shared" ref="G3041:G3043" si="202">IFERROR(E3041*F3041,0)</f>
        <v>460010</v>
      </c>
      <c r="H3041" s="17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>
      <c r="A3042" s="10">
        <v>2.0</v>
      </c>
      <c r="B3042" s="36" t="s">
        <v>427</v>
      </c>
      <c r="C3042" s="37" t="s">
        <v>744</v>
      </c>
      <c r="D3042" s="20" t="s">
        <v>13</v>
      </c>
      <c r="E3042" s="38">
        <v>1.94</v>
      </c>
      <c r="F3042" s="22">
        <v>435000.0</v>
      </c>
      <c r="G3042" s="16">
        <f t="shared" si="202"/>
        <v>843900</v>
      </c>
      <c r="H3042" s="17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>
      <c r="A3043" s="10">
        <v>3.0</v>
      </c>
      <c r="B3043" s="23" t="s">
        <v>14</v>
      </c>
      <c r="C3043" s="17"/>
      <c r="D3043" s="17"/>
      <c r="E3043" s="17"/>
      <c r="F3043" s="17"/>
      <c r="G3043" s="24">
        <f t="shared" si="202"/>
        <v>0</v>
      </c>
      <c r="H3043" s="17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>
      <c r="A3044" s="25" t="s">
        <v>15</v>
      </c>
      <c r="B3044" s="2"/>
      <c r="C3044" s="2"/>
      <c r="D3044" s="2"/>
      <c r="E3044" s="2"/>
      <c r="F3044" s="2"/>
      <c r="G3044" s="3"/>
      <c r="H3044" s="26">
        <f>SUM(G3041:G3043)</f>
        <v>1303910</v>
      </c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>
      <c r="A3045" s="25" t="s">
        <v>16</v>
      </c>
      <c r="B3045" s="2"/>
      <c r="C3045" s="2"/>
      <c r="D3045" s="2"/>
      <c r="E3045" s="2"/>
      <c r="F3045" s="2"/>
      <c r="G3045" s="3"/>
      <c r="H3045" s="26">
        <f>MAX(0,H3044-648000)</f>
        <v>655910</v>
      </c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>
      <c r="A3046" s="27" t="s">
        <v>17</v>
      </c>
      <c r="B3046" s="2"/>
      <c r="C3046" s="2"/>
      <c r="D3046" s="2"/>
      <c r="E3046" s="2"/>
      <c r="F3046" s="2"/>
      <c r="G3046" s="3"/>
      <c r="H3046" s="28">
        <v>649000.0</v>
      </c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>
      <c r="A3047" s="1" t="s">
        <v>18</v>
      </c>
      <c r="B3047" s="2"/>
      <c r="C3047" s="2"/>
      <c r="D3047" s="2"/>
      <c r="E3047" s="2"/>
      <c r="F3047" s="2"/>
      <c r="G3047" s="2"/>
      <c r="H3047" s="3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52" ht="29.25" customHeight="1">
      <c r="A3052" s="1" t="s">
        <v>0</v>
      </c>
      <c r="B3052" s="2"/>
      <c r="C3052" s="2"/>
      <c r="D3052" s="2"/>
      <c r="E3052" s="2"/>
      <c r="F3052" s="2"/>
      <c r="G3052" s="2"/>
      <c r="H3052" s="3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>
      <c r="A3053" s="6" t="s">
        <v>745</v>
      </c>
      <c r="B3053" s="2"/>
      <c r="C3053" s="2"/>
      <c r="D3053" s="2"/>
      <c r="E3053" s="2"/>
      <c r="F3053" s="2"/>
      <c r="G3053" s="2"/>
      <c r="H3053" s="3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>
      <c r="A3054" s="7" t="s">
        <v>2</v>
      </c>
      <c r="B3054" s="7" t="s">
        <v>3</v>
      </c>
      <c r="C3054" s="7" t="s">
        <v>4</v>
      </c>
      <c r="D3054" s="7" t="s">
        <v>5</v>
      </c>
      <c r="E3054" s="7" t="s">
        <v>6</v>
      </c>
      <c r="F3054" s="8" t="s">
        <v>7</v>
      </c>
      <c r="G3054" s="7" t="s">
        <v>8</v>
      </c>
      <c r="H3054" s="9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>
      <c r="A3055" s="10">
        <v>1.0</v>
      </c>
      <c r="B3055" s="33" t="s">
        <v>373</v>
      </c>
      <c r="C3055" s="34" t="s">
        <v>746</v>
      </c>
      <c r="D3055" s="13" t="s">
        <v>11</v>
      </c>
      <c r="E3055" s="35">
        <v>0.75</v>
      </c>
      <c r="F3055" s="15">
        <v>293000.0</v>
      </c>
      <c r="G3055" s="16">
        <f t="shared" ref="G3055:G3057" si="203">IFERROR(E3055*F3055,0)</f>
        <v>219750</v>
      </c>
      <c r="H3055" s="17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>
      <c r="A3056" s="10">
        <v>2.0</v>
      </c>
      <c r="B3056" s="36" t="s">
        <v>747</v>
      </c>
      <c r="C3056" s="37" t="s">
        <v>748</v>
      </c>
      <c r="D3056" s="20" t="s">
        <v>13</v>
      </c>
      <c r="E3056" s="38">
        <v>3.0</v>
      </c>
      <c r="F3056" s="22">
        <v>435000.0</v>
      </c>
      <c r="G3056" s="16">
        <f t="shared" si="203"/>
        <v>1305000</v>
      </c>
      <c r="H3056" s="17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>
      <c r="A3057" s="10">
        <v>3.0</v>
      </c>
      <c r="B3057" s="23" t="s">
        <v>14</v>
      </c>
      <c r="C3057" s="17"/>
      <c r="D3057" s="17"/>
      <c r="E3057" s="17"/>
      <c r="F3057" s="17"/>
      <c r="G3057" s="24">
        <f t="shared" si="203"/>
        <v>0</v>
      </c>
      <c r="H3057" s="17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>
      <c r="A3058" s="25" t="s">
        <v>15</v>
      </c>
      <c r="B3058" s="2"/>
      <c r="C3058" s="2"/>
      <c r="D3058" s="2"/>
      <c r="E3058" s="2"/>
      <c r="F3058" s="2"/>
      <c r="G3058" s="3"/>
      <c r="H3058" s="26">
        <f>SUM(G3055:G3057)</f>
        <v>1524750</v>
      </c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>
      <c r="A3059" s="25" t="s">
        <v>16</v>
      </c>
      <c r="B3059" s="2"/>
      <c r="C3059" s="2"/>
      <c r="D3059" s="2"/>
      <c r="E3059" s="2"/>
      <c r="F3059" s="2"/>
      <c r="G3059" s="3"/>
      <c r="H3059" s="26">
        <f>MAX(0,H3058-648000)</f>
        <v>876750</v>
      </c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>
      <c r="A3060" s="27" t="s">
        <v>17</v>
      </c>
      <c r="B3060" s="2"/>
      <c r="C3060" s="2"/>
      <c r="D3060" s="2"/>
      <c r="E3060" s="2"/>
      <c r="F3060" s="2"/>
      <c r="G3060" s="3"/>
      <c r="H3060" s="28">
        <v>649000.0</v>
      </c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>
      <c r="A3061" s="1" t="s">
        <v>18</v>
      </c>
      <c r="B3061" s="2"/>
      <c r="C3061" s="2"/>
      <c r="D3061" s="2"/>
      <c r="E3061" s="2"/>
      <c r="F3061" s="2"/>
      <c r="G3061" s="2"/>
      <c r="H3061" s="3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8" ht="29.25" customHeight="1">
      <c r="A3068" s="1" t="s">
        <v>0</v>
      </c>
      <c r="B3068" s="2"/>
      <c r="C3068" s="2"/>
      <c r="D3068" s="2"/>
      <c r="E3068" s="2"/>
      <c r="F3068" s="2"/>
      <c r="G3068" s="2"/>
      <c r="H3068" s="3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>
      <c r="A3069" s="6" t="s">
        <v>749</v>
      </c>
      <c r="B3069" s="2"/>
      <c r="C3069" s="2"/>
      <c r="D3069" s="2"/>
      <c r="E3069" s="2"/>
      <c r="F3069" s="2"/>
      <c r="G3069" s="2"/>
      <c r="H3069" s="3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>
      <c r="A3070" s="7" t="s">
        <v>2</v>
      </c>
      <c r="B3070" s="7" t="s">
        <v>3</v>
      </c>
      <c r="C3070" s="7" t="s">
        <v>4</v>
      </c>
      <c r="D3070" s="7" t="s">
        <v>5</v>
      </c>
      <c r="E3070" s="7" t="s">
        <v>6</v>
      </c>
      <c r="F3070" s="8" t="s">
        <v>7</v>
      </c>
      <c r="G3070" s="7" t="s">
        <v>8</v>
      </c>
      <c r="H3070" s="9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>
      <c r="A3071" s="10">
        <v>1.0</v>
      </c>
      <c r="B3071" s="33" t="s">
        <v>750</v>
      </c>
      <c r="C3071" s="34" t="s">
        <v>751</v>
      </c>
      <c r="D3071" s="13" t="s">
        <v>11</v>
      </c>
      <c r="E3071" s="35">
        <v>0.7</v>
      </c>
      <c r="F3071" s="15">
        <v>293000.0</v>
      </c>
      <c r="G3071" s="16">
        <f t="shared" ref="G3071:G3073" si="204">IFERROR(E3071*F3071,0)</f>
        <v>205100</v>
      </c>
      <c r="H3071" s="17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>
      <c r="A3072" s="10">
        <v>2.0</v>
      </c>
      <c r="B3072" s="36" t="s">
        <v>22</v>
      </c>
      <c r="C3072" s="37" t="s">
        <v>752</v>
      </c>
      <c r="D3072" s="20" t="s">
        <v>13</v>
      </c>
      <c r="E3072" s="38">
        <v>2.9</v>
      </c>
      <c r="F3072" s="22">
        <v>435000.0</v>
      </c>
      <c r="G3072" s="16">
        <f t="shared" si="204"/>
        <v>1261500</v>
      </c>
      <c r="H3072" s="17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>
      <c r="A3073" s="10">
        <v>3.0</v>
      </c>
      <c r="B3073" s="23" t="s">
        <v>14</v>
      </c>
      <c r="C3073" s="17"/>
      <c r="D3073" s="17"/>
      <c r="E3073" s="17"/>
      <c r="F3073" s="17"/>
      <c r="G3073" s="24">
        <f t="shared" si="204"/>
        <v>0</v>
      </c>
      <c r="H3073" s="17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>
      <c r="A3074" s="25" t="s">
        <v>15</v>
      </c>
      <c r="B3074" s="2"/>
      <c r="C3074" s="2"/>
      <c r="D3074" s="2"/>
      <c r="E3074" s="2"/>
      <c r="F3074" s="2"/>
      <c r="G3074" s="3"/>
      <c r="H3074" s="26">
        <f>SUM(G3071:G3073)</f>
        <v>1466600</v>
      </c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>
      <c r="A3075" s="25" t="s">
        <v>16</v>
      </c>
      <c r="B3075" s="2"/>
      <c r="C3075" s="2"/>
      <c r="D3075" s="2"/>
      <c r="E3075" s="2"/>
      <c r="F3075" s="2"/>
      <c r="G3075" s="3"/>
      <c r="H3075" s="26">
        <f>MAX(0,H3074-648000)</f>
        <v>818600</v>
      </c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>
      <c r="A3076" s="27" t="s">
        <v>17</v>
      </c>
      <c r="B3076" s="2"/>
      <c r="C3076" s="2"/>
      <c r="D3076" s="2"/>
      <c r="E3076" s="2"/>
      <c r="F3076" s="2"/>
      <c r="G3076" s="3"/>
      <c r="H3076" s="28">
        <v>649000.0</v>
      </c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>
      <c r="A3077" s="1" t="s">
        <v>18</v>
      </c>
      <c r="B3077" s="2"/>
      <c r="C3077" s="2"/>
      <c r="D3077" s="2"/>
      <c r="E3077" s="2"/>
      <c r="F3077" s="2"/>
      <c r="G3077" s="2"/>
      <c r="H3077" s="3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83" ht="29.25" customHeight="1">
      <c r="A3083" s="1" t="s">
        <v>0</v>
      </c>
      <c r="B3083" s="2"/>
      <c r="C3083" s="2"/>
      <c r="D3083" s="2"/>
      <c r="E3083" s="2"/>
      <c r="F3083" s="2"/>
      <c r="G3083" s="2"/>
      <c r="H3083" s="3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>
      <c r="A3084" s="6" t="s">
        <v>753</v>
      </c>
      <c r="B3084" s="2"/>
      <c r="C3084" s="2"/>
      <c r="D3084" s="2"/>
      <c r="E3084" s="2"/>
      <c r="F3084" s="2"/>
      <c r="G3084" s="2"/>
      <c r="H3084" s="3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>
      <c r="A3085" s="7" t="s">
        <v>2</v>
      </c>
      <c r="B3085" s="7" t="s">
        <v>3</v>
      </c>
      <c r="C3085" s="7" t="s">
        <v>4</v>
      </c>
      <c r="D3085" s="7" t="s">
        <v>5</v>
      </c>
      <c r="E3085" s="7" t="s">
        <v>6</v>
      </c>
      <c r="F3085" s="8" t="s">
        <v>7</v>
      </c>
      <c r="G3085" s="7" t="s">
        <v>8</v>
      </c>
      <c r="H3085" s="9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>
      <c r="A3086" s="10">
        <v>1.0</v>
      </c>
      <c r="B3086" s="33" t="s">
        <v>98</v>
      </c>
      <c r="C3086" s="34" t="s">
        <v>754</v>
      </c>
      <c r="D3086" s="13" t="s">
        <v>11</v>
      </c>
      <c r="E3086" s="35">
        <v>0.78</v>
      </c>
      <c r="F3086" s="15">
        <v>293000.0</v>
      </c>
      <c r="G3086" s="16">
        <f t="shared" ref="G3086:G3088" si="205">IFERROR(E3086*F3086,0)</f>
        <v>228540</v>
      </c>
      <c r="H3086" s="17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>
      <c r="A3087" s="10">
        <v>2.0</v>
      </c>
      <c r="B3087" s="36" t="s">
        <v>74</v>
      </c>
      <c r="C3087" s="37" t="s">
        <v>755</v>
      </c>
      <c r="D3087" s="20" t="s">
        <v>13</v>
      </c>
      <c r="E3087" s="38">
        <v>2.93</v>
      </c>
      <c r="F3087" s="22">
        <v>435000.0</v>
      </c>
      <c r="G3087" s="16">
        <f t="shared" si="205"/>
        <v>1274550</v>
      </c>
      <c r="H3087" s="17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>
      <c r="A3088" s="10">
        <v>3.0</v>
      </c>
      <c r="B3088" s="23" t="s">
        <v>14</v>
      </c>
      <c r="C3088" s="17"/>
      <c r="D3088" s="17"/>
      <c r="E3088" s="17"/>
      <c r="F3088" s="17"/>
      <c r="G3088" s="24">
        <f t="shared" si="205"/>
        <v>0</v>
      </c>
      <c r="H3088" s="17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>
      <c r="A3089" s="25" t="s">
        <v>15</v>
      </c>
      <c r="B3089" s="2"/>
      <c r="C3089" s="2"/>
      <c r="D3089" s="2"/>
      <c r="E3089" s="2"/>
      <c r="F3089" s="2"/>
      <c r="G3089" s="3"/>
      <c r="H3089" s="26">
        <f>SUM(G3086:G3088)</f>
        <v>1503090</v>
      </c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>
      <c r="A3090" s="25" t="s">
        <v>16</v>
      </c>
      <c r="B3090" s="2"/>
      <c r="C3090" s="2"/>
      <c r="D3090" s="2"/>
      <c r="E3090" s="2"/>
      <c r="F3090" s="2"/>
      <c r="G3090" s="3"/>
      <c r="H3090" s="26">
        <f>MAX(0,H3089-648000)</f>
        <v>855090</v>
      </c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>
      <c r="A3091" s="27" t="s">
        <v>17</v>
      </c>
      <c r="B3091" s="2"/>
      <c r="C3091" s="2"/>
      <c r="D3091" s="2"/>
      <c r="E3091" s="2"/>
      <c r="F3091" s="2"/>
      <c r="G3091" s="3"/>
      <c r="H3091" s="28">
        <v>649000.0</v>
      </c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>
      <c r="A3092" s="1" t="s">
        <v>18</v>
      </c>
      <c r="B3092" s="2"/>
      <c r="C3092" s="2"/>
      <c r="D3092" s="2"/>
      <c r="E3092" s="2"/>
      <c r="F3092" s="2"/>
      <c r="G3092" s="2"/>
      <c r="H3092" s="3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8" ht="29.25" customHeight="1">
      <c r="A3098" s="1" t="s">
        <v>0</v>
      </c>
      <c r="B3098" s="2"/>
      <c r="C3098" s="2"/>
      <c r="D3098" s="2"/>
      <c r="E3098" s="2"/>
      <c r="F3098" s="2"/>
      <c r="G3098" s="2"/>
      <c r="H3098" s="3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>
      <c r="A3099" s="6" t="s">
        <v>756</v>
      </c>
      <c r="B3099" s="2"/>
      <c r="C3099" s="2"/>
      <c r="D3099" s="2"/>
      <c r="E3099" s="2"/>
      <c r="F3099" s="2"/>
      <c r="G3099" s="2"/>
      <c r="H3099" s="3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>
      <c r="A3100" s="7" t="s">
        <v>2</v>
      </c>
      <c r="B3100" s="7" t="s">
        <v>3</v>
      </c>
      <c r="C3100" s="7" t="s">
        <v>4</v>
      </c>
      <c r="D3100" s="7" t="s">
        <v>5</v>
      </c>
      <c r="E3100" s="7" t="s">
        <v>6</v>
      </c>
      <c r="F3100" s="8" t="s">
        <v>7</v>
      </c>
      <c r="G3100" s="7" t="s">
        <v>8</v>
      </c>
      <c r="H3100" s="9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>
      <c r="A3101" s="10">
        <v>1.0</v>
      </c>
      <c r="B3101" s="33" t="s">
        <v>22</v>
      </c>
      <c r="C3101" s="34" t="s">
        <v>757</v>
      </c>
      <c r="D3101" s="13" t="s">
        <v>11</v>
      </c>
      <c r="E3101" s="35">
        <v>0.7</v>
      </c>
      <c r="F3101" s="15">
        <v>293000.0</v>
      </c>
      <c r="G3101" s="16">
        <f t="shared" ref="G3101:G3103" si="206">IFERROR(E3101*F3101,0)</f>
        <v>205100</v>
      </c>
      <c r="H3101" s="17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>
      <c r="A3102" s="10">
        <v>2.0</v>
      </c>
      <c r="B3102" s="36" t="s">
        <v>65</v>
      </c>
      <c r="C3102" s="37" t="s">
        <v>758</v>
      </c>
      <c r="D3102" s="20" t="s">
        <v>13</v>
      </c>
      <c r="E3102" s="38">
        <v>2.96</v>
      </c>
      <c r="F3102" s="22">
        <v>435000.0</v>
      </c>
      <c r="G3102" s="16">
        <f t="shared" si="206"/>
        <v>1287600</v>
      </c>
      <c r="H3102" s="17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>
      <c r="A3103" s="10">
        <v>3.0</v>
      </c>
      <c r="B3103" s="23" t="s">
        <v>14</v>
      </c>
      <c r="C3103" s="17"/>
      <c r="D3103" s="17"/>
      <c r="E3103" s="17"/>
      <c r="F3103" s="17"/>
      <c r="G3103" s="24">
        <f t="shared" si="206"/>
        <v>0</v>
      </c>
      <c r="H3103" s="17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>
      <c r="A3104" s="25" t="s">
        <v>15</v>
      </c>
      <c r="B3104" s="2"/>
      <c r="C3104" s="2"/>
      <c r="D3104" s="2"/>
      <c r="E3104" s="2"/>
      <c r="F3104" s="2"/>
      <c r="G3104" s="3"/>
      <c r="H3104" s="26">
        <f>SUM(G3101:G3103)</f>
        <v>1492700</v>
      </c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>
      <c r="A3105" s="25" t="s">
        <v>16</v>
      </c>
      <c r="B3105" s="2"/>
      <c r="C3105" s="2"/>
      <c r="D3105" s="2"/>
      <c r="E3105" s="2"/>
      <c r="F3105" s="2"/>
      <c r="G3105" s="3"/>
      <c r="H3105" s="26">
        <f>MAX(0,H3104-648000)</f>
        <v>844700</v>
      </c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>
      <c r="A3106" s="27" t="s">
        <v>17</v>
      </c>
      <c r="B3106" s="2"/>
      <c r="C3106" s="2"/>
      <c r="D3106" s="2"/>
      <c r="E3106" s="2"/>
      <c r="F3106" s="2"/>
      <c r="G3106" s="3"/>
      <c r="H3106" s="28">
        <v>649000.0</v>
      </c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>
      <c r="A3107" s="1" t="s">
        <v>18</v>
      </c>
      <c r="B3107" s="2"/>
      <c r="C3107" s="2"/>
      <c r="D3107" s="2"/>
      <c r="E3107" s="2"/>
      <c r="F3107" s="2"/>
      <c r="G3107" s="2"/>
      <c r="H3107" s="3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16" ht="29.25" customHeight="1">
      <c r="A3116" s="1" t="s">
        <v>0</v>
      </c>
      <c r="B3116" s="2"/>
      <c r="C3116" s="2"/>
      <c r="D3116" s="2"/>
      <c r="E3116" s="2"/>
      <c r="F3116" s="2"/>
      <c r="G3116" s="2"/>
      <c r="H3116" s="3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>
      <c r="A3117" s="6" t="s">
        <v>759</v>
      </c>
      <c r="B3117" s="2"/>
      <c r="C3117" s="2"/>
      <c r="D3117" s="2"/>
      <c r="E3117" s="2"/>
      <c r="F3117" s="2"/>
      <c r="G3117" s="2"/>
      <c r="H3117" s="3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>
      <c r="A3118" s="7" t="s">
        <v>2</v>
      </c>
      <c r="B3118" s="7" t="s">
        <v>3</v>
      </c>
      <c r="C3118" s="7" t="s">
        <v>4</v>
      </c>
      <c r="D3118" s="7" t="s">
        <v>5</v>
      </c>
      <c r="E3118" s="7" t="s">
        <v>6</v>
      </c>
      <c r="F3118" s="8" t="s">
        <v>7</v>
      </c>
      <c r="G3118" s="7" t="s">
        <v>8</v>
      </c>
      <c r="H3118" s="9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>
      <c r="A3119" s="10">
        <v>1.0</v>
      </c>
      <c r="B3119" s="33" t="s">
        <v>157</v>
      </c>
      <c r="C3119" s="34" t="s">
        <v>760</v>
      </c>
      <c r="D3119" s="13" t="s">
        <v>11</v>
      </c>
      <c r="E3119" s="35">
        <v>2.7</v>
      </c>
      <c r="F3119" s="15">
        <v>293000.0</v>
      </c>
      <c r="G3119" s="16">
        <f t="shared" ref="G3119:G3121" si="207">IFERROR(E3119*F3119,0)</f>
        <v>791100</v>
      </c>
      <c r="H3119" s="17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>
      <c r="A3120" s="10">
        <v>2.0</v>
      </c>
      <c r="B3120" s="36" t="s">
        <v>431</v>
      </c>
      <c r="C3120" s="37" t="s">
        <v>761</v>
      </c>
      <c r="D3120" s="20" t="s">
        <v>13</v>
      </c>
      <c r="E3120" s="38">
        <v>1.0</v>
      </c>
      <c r="F3120" s="22">
        <v>435000.0</v>
      </c>
      <c r="G3120" s="16">
        <f t="shared" si="207"/>
        <v>435000</v>
      </c>
      <c r="H3120" s="17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>
      <c r="A3121" s="10">
        <v>3.0</v>
      </c>
      <c r="B3121" s="23" t="s">
        <v>14</v>
      </c>
      <c r="C3121" s="17"/>
      <c r="D3121" s="17"/>
      <c r="E3121" s="17"/>
      <c r="F3121" s="17"/>
      <c r="G3121" s="24">
        <f t="shared" si="207"/>
        <v>0</v>
      </c>
      <c r="H3121" s="17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>
      <c r="A3122" s="25" t="s">
        <v>15</v>
      </c>
      <c r="B3122" s="2"/>
      <c r="C3122" s="2"/>
      <c r="D3122" s="2"/>
      <c r="E3122" s="2"/>
      <c r="F3122" s="2"/>
      <c r="G3122" s="3"/>
      <c r="H3122" s="26">
        <f>SUM(G3119:G3121)</f>
        <v>1226100</v>
      </c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>
      <c r="A3123" s="25" t="s">
        <v>16</v>
      </c>
      <c r="B3123" s="2"/>
      <c r="C3123" s="2"/>
      <c r="D3123" s="2"/>
      <c r="E3123" s="2"/>
      <c r="F3123" s="2"/>
      <c r="G3123" s="3"/>
      <c r="H3123" s="26">
        <f>MAX(0,H3122-648000)</f>
        <v>578100</v>
      </c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>
      <c r="A3124" s="27" t="s">
        <v>17</v>
      </c>
      <c r="B3124" s="2"/>
      <c r="C3124" s="2"/>
      <c r="D3124" s="2"/>
      <c r="E3124" s="2"/>
      <c r="F3124" s="2"/>
      <c r="G3124" s="3"/>
      <c r="H3124" s="28">
        <v>649000.0</v>
      </c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>
      <c r="A3125" s="1" t="s">
        <v>18</v>
      </c>
      <c r="B3125" s="2"/>
      <c r="C3125" s="2"/>
      <c r="D3125" s="2"/>
      <c r="E3125" s="2"/>
      <c r="F3125" s="2"/>
      <c r="G3125" s="2"/>
      <c r="H3125" s="3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30" ht="29.25" customHeight="1">
      <c r="A3130" s="1" t="s">
        <v>0</v>
      </c>
      <c r="B3130" s="2"/>
      <c r="C3130" s="2"/>
      <c r="D3130" s="2"/>
      <c r="E3130" s="2"/>
      <c r="F3130" s="2"/>
      <c r="G3130" s="2"/>
      <c r="H3130" s="3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>
      <c r="A3131" s="6" t="s">
        <v>762</v>
      </c>
      <c r="B3131" s="2"/>
      <c r="C3131" s="2"/>
      <c r="D3131" s="2"/>
      <c r="E3131" s="2"/>
      <c r="F3131" s="2"/>
      <c r="G3131" s="2"/>
      <c r="H3131" s="3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>
      <c r="A3132" s="7" t="s">
        <v>2</v>
      </c>
      <c r="B3132" s="7" t="s">
        <v>3</v>
      </c>
      <c r="C3132" s="7" t="s">
        <v>4</v>
      </c>
      <c r="D3132" s="7" t="s">
        <v>5</v>
      </c>
      <c r="E3132" s="7" t="s">
        <v>6</v>
      </c>
      <c r="F3132" s="8" t="s">
        <v>7</v>
      </c>
      <c r="G3132" s="7" t="s">
        <v>8</v>
      </c>
      <c r="H3132" s="9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>
      <c r="A3133" s="10">
        <v>1.0</v>
      </c>
      <c r="B3133" s="33" t="s">
        <v>763</v>
      </c>
      <c r="C3133" s="34" t="s">
        <v>764</v>
      </c>
      <c r="D3133" s="13" t="s">
        <v>11</v>
      </c>
      <c r="E3133" s="35">
        <v>2.4</v>
      </c>
      <c r="F3133" s="15">
        <v>293000.0</v>
      </c>
      <c r="G3133" s="16">
        <f t="shared" ref="G3133:G3135" si="208">IFERROR(E3133*F3133,0)</f>
        <v>703200</v>
      </c>
      <c r="H3133" s="17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>
      <c r="A3134" s="10">
        <v>2.0</v>
      </c>
      <c r="B3134" s="36" t="s">
        <v>98</v>
      </c>
      <c r="C3134" s="37" t="s">
        <v>765</v>
      </c>
      <c r="D3134" s="20" t="s">
        <v>13</v>
      </c>
      <c r="E3134" s="38">
        <v>0.93</v>
      </c>
      <c r="F3134" s="22">
        <v>435000.0</v>
      </c>
      <c r="G3134" s="16">
        <f t="shared" si="208"/>
        <v>404550</v>
      </c>
      <c r="H3134" s="17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>
      <c r="A3135" s="10">
        <v>3.0</v>
      </c>
      <c r="B3135" s="23" t="s">
        <v>14</v>
      </c>
      <c r="C3135" s="17"/>
      <c r="D3135" s="17"/>
      <c r="E3135" s="17"/>
      <c r="F3135" s="17"/>
      <c r="G3135" s="24">
        <f t="shared" si="208"/>
        <v>0</v>
      </c>
      <c r="H3135" s="17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>
      <c r="A3136" s="25" t="s">
        <v>15</v>
      </c>
      <c r="B3136" s="2"/>
      <c r="C3136" s="2"/>
      <c r="D3136" s="2"/>
      <c r="E3136" s="2"/>
      <c r="F3136" s="2"/>
      <c r="G3136" s="3"/>
      <c r="H3136" s="26">
        <f>SUM(G3133:G3135)</f>
        <v>1107750</v>
      </c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>
      <c r="A3137" s="25" t="s">
        <v>16</v>
      </c>
      <c r="B3137" s="2"/>
      <c r="C3137" s="2"/>
      <c r="D3137" s="2"/>
      <c r="E3137" s="2"/>
      <c r="F3137" s="2"/>
      <c r="G3137" s="3"/>
      <c r="H3137" s="26">
        <f>MAX(0,H3136-648000)</f>
        <v>459750</v>
      </c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>
      <c r="A3138" s="27" t="s">
        <v>17</v>
      </c>
      <c r="B3138" s="2"/>
      <c r="C3138" s="2"/>
      <c r="D3138" s="2"/>
      <c r="E3138" s="2"/>
      <c r="F3138" s="2"/>
      <c r="G3138" s="3"/>
      <c r="H3138" s="28">
        <v>649000.0</v>
      </c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>
      <c r="A3139" s="1" t="s">
        <v>18</v>
      </c>
      <c r="B3139" s="2"/>
      <c r="C3139" s="2"/>
      <c r="D3139" s="2"/>
      <c r="E3139" s="2"/>
      <c r="F3139" s="2"/>
      <c r="G3139" s="2"/>
      <c r="H3139" s="3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7" ht="29.25" customHeight="1">
      <c r="A3147" s="1" t="s">
        <v>0</v>
      </c>
      <c r="B3147" s="2"/>
      <c r="C3147" s="2"/>
      <c r="D3147" s="2"/>
      <c r="E3147" s="2"/>
      <c r="F3147" s="2"/>
      <c r="G3147" s="2"/>
      <c r="H3147" s="3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</row>
    <row r="3148">
      <c r="A3148" s="6" t="s">
        <v>766</v>
      </c>
      <c r="B3148" s="2"/>
      <c r="C3148" s="2"/>
      <c r="D3148" s="2"/>
      <c r="E3148" s="2"/>
      <c r="F3148" s="2"/>
      <c r="G3148" s="2"/>
      <c r="H3148" s="3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>
      <c r="A3149" s="7" t="s">
        <v>2</v>
      </c>
      <c r="B3149" s="7" t="s">
        <v>3</v>
      </c>
      <c r="C3149" s="7" t="s">
        <v>4</v>
      </c>
      <c r="D3149" s="7" t="s">
        <v>5</v>
      </c>
      <c r="E3149" s="7" t="s">
        <v>6</v>
      </c>
      <c r="F3149" s="8" t="s">
        <v>7</v>
      </c>
      <c r="G3149" s="7" t="s">
        <v>8</v>
      </c>
      <c r="H3149" s="9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</row>
    <row r="3150">
      <c r="A3150" s="10">
        <v>1.0</v>
      </c>
      <c r="B3150" s="33" t="s">
        <v>379</v>
      </c>
      <c r="C3150" s="34" t="s">
        <v>767</v>
      </c>
      <c r="D3150" s="13" t="s">
        <v>11</v>
      </c>
      <c r="E3150" s="35">
        <v>1.93</v>
      </c>
      <c r="F3150" s="15">
        <v>293000.0</v>
      </c>
      <c r="G3150" s="16">
        <f t="shared" ref="G3150:G3152" si="209">IFERROR(E3150*F3150,0)</f>
        <v>565490</v>
      </c>
      <c r="H3150" s="17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</row>
    <row r="3151">
      <c r="A3151" s="10">
        <v>2.0</v>
      </c>
      <c r="B3151" s="36" t="s">
        <v>611</v>
      </c>
      <c r="C3151" s="37" t="s">
        <v>768</v>
      </c>
      <c r="D3151" s="20" t="s">
        <v>13</v>
      </c>
      <c r="E3151" s="38">
        <v>1.48</v>
      </c>
      <c r="F3151" s="22">
        <v>435000.0</v>
      </c>
      <c r="G3151" s="16">
        <f t="shared" si="209"/>
        <v>643800</v>
      </c>
      <c r="H3151" s="17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</row>
    <row r="3152">
      <c r="A3152" s="10">
        <v>3.0</v>
      </c>
      <c r="B3152" s="23" t="s">
        <v>14</v>
      </c>
      <c r="C3152" s="17"/>
      <c r="D3152" s="17"/>
      <c r="E3152" s="17"/>
      <c r="F3152" s="17"/>
      <c r="G3152" s="24">
        <f t="shared" si="209"/>
        <v>0</v>
      </c>
      <c r="H3152" s="17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</row>
    <row r="3153">
      <c r="A3153" s="25" t="s">
        <v>15</v>
      </c>
      <c r="B3153" s="2"/>
      <c r="C3153" s="2"/>
      <c r="D3153" s="2"/>
      <c r="E3153" s="2"/>
      <c r="F3153" s="2"/>
      <c r="G3153" s="3"/>
      <c r="H3153" s="26">
        <f>SUM(G3150:G3152)</f>
        <v>1209290</v>
      </c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</row>
    <row r="3154">
      <c r="A3154" s="25" t="s">
        <v>16</v>
      </c>
      <c r="B3154" s="2"/>
      <c r="C3154" s="2"/>
      <c r="D3154" s="2"/>
      <c r="E3154" s="2"/>
      <c r="F3154" s="2"/>
      <c r="G3154" s="3"/>
      <c r="H3154" s="26">
        <f>MAX(0,H3153-648000)</f>
        <v>561290</v>
      </c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</row>
    <row r="3155">
      <c r="A3155" s="27" t="s">
        <v>17</v>
      </c>
      <c r="B3155" s="2"/>
      <c r="C3155" s="2"/>
      <c r="D3155" s="2"/>
      <c r="E3155" s="2"/>
      <c r="F3155" s="2"/>
      <c r="G3155" s="3"/>
      <c r="H3155" s="28">
        <v>649000.0</v>
      </c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</row>
    <row r="3156">
      <c r="A3156" s="1" t="s">
        <v>18</v>
      </c>
      <c r="B3156" s="2"/>
      <c r="C3156" s="2"/>
      <c r="D3156" s="2"/>
      <c r="E3156" s="2"/>
      <c r="F3156" s="2"/>
      <c r="G3156" s="2"/>
      <c r="H3156" s="3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</row>
    <row r="3163" ht="29.25" customHeight="1">
      <c r="A3163" s="1" t="s">
        <v>0</v>
      </c>
      <c r="B3163" s="2"/>
      <c r="C3163" s="2"/>
      <c r="D3163" s="2"/>
      <c r="E3163" s="2"/>
      <c r="F3163" s="2"/>
      <c r="G3163" s="2"/>
      <c r="H3163" s="3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</row>
    <row r="3164">
      <c r="A3164" s="6" t="s">
        <v>769</v>
      </c>
      <c r="B3164" s="2"/>
      <c r="C3164" s="2"/>
      <c r="D3164" s="2"/>
      <c r="E3164" s="2"/>
      <c r="F3164" s="2"/>
      <c r="G3164" s="2"/>
      <c r="H3164" s="3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</row>
    <row r="3165">
      <c r="A3165" s="7" t="s">
        <v>2</v>
      </c>
      <c r="B3165" s="7" t="s">
        <v>3</v>
      </c>
      <c r="C3165" s="7" t="s">
        <v>4</v>
      </c>
      <c r="D3165" s="7" t="s">
        <v>5</v>
      </c>
      <c r="E3165" s="7" t="s">
        <v>6</v>
      </c>
      <c r="F3165" s="8" t="s">
        <v>7</v>
      </c>
      <c r="G3165" s="7" t="s">
        <v>8</v>
      </c>
      <c r="H3165" s="9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</row>
    <row r="3166">
      <c r="A3166" s="10">
        <v>1.0</v>
      </c>
      <c r="B3166" s="33" t="s">
        <v>379</v>
      </c>
      <c r="C3166" s="34" t="s">
        <v>770</v>
      </c>
      <c r="D3166" s="13" t="s">
        <v>11</v>
      </c>
      <c r="E3166" s="35">
        <v>2.65</v>
      </c>
      <c r="F3166" s="15">
        <v>293000.0</v>
      </c>
      <c r="G3166" s="16">
        <f t="shared" ref="G3166:G3168" si="210">IFERROR(E3166*F3166,0)</f>
        <v>776450</v>
      </c>
      <c r="H3166" s="17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</row>
    <row r="3167">
      <c r="A3167" s="10">
        <v>2.0</v>
      </c>
      <c r="B3167" s="36" t="s">
        <v>94</v>
      </c>
      <c r="C3167" s="37" t="s">
        <v>771</v>
      </c>
      <c r="D3167" s="20" t="s">
        <v>13</v>
      </c>
      <c r="E3167" s="38">
        <v>1.0</v>
      </c>
      <c r="F3167" s="22">
        <v>435000.0</v>
      </c>
      <c r="G3167" s="16">
        <f t="shared" si="210"/>
        <v>435000</v>
      </c>
      <c r="H3167" s="17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</row>
    <row r="3168">
      <c r="A3168" s="10">
        <v>3.0</v>
      </c>
      <c r="B3168" s="23" t="s">
        <v>14</v>
      </c>
      <c r="C3168" s="17"/>
      <c r="D3168" s="17"/>
      <c r="E3168" s="17"/>
      <c r="F3168" s="17"/>
      <c r="G3168" s="24">
        <f t="shared" si="210"/>
        <v>0</v>
      </c>
      <c r="H3168" s="17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</row>
    <row r="3169">
      <c r="A3169" s="25" t="s">
        <v>15</v>
      </c>
      <c r="B3169" s="2"/>
      <c r="C3169" s="2"/>
      <c r="D3169" s="2"/>
      <c r="E3169" s="2"/>
      <c r="F3169" s="2"/>
      <c r="G3169" s="3"/>
      <c r="H3169" s="26">
        <f>SUM(G3166:G3168)</f>
        <v>1211450</v>
      </c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</row>
    <row r="3170">
      <c r="A3170" s="25" t="s">
        <v>16</v>
      </c>
      <c r="B3170" s="2"/>
      <c r="C3170" s="2"/>
      <c r="D3170" s="2"/>
      <c r="E3170" s="2"/>
      <c r="F3170" s="2"/>
      <c r="G3170" s="3"/>
      <c r="H3170" s="26">
        <f>MAX(0,H3169-648000)</f>
        <v>563450</v>
      </c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</row>
    <row r="3171">
      <c r="A3171" s="27" t="s">
        <v>17</v>
      </c>
      <c r="B3171" s="2"/>
      <c r="C3171" s="2"/>
      <c r="D3171" s="2"/>
      <c r="E3171" s="2"/>
      <c r="F3171" s="2"/>
      <c r="G3171" s="3"/>
      <c r="H3171" s="28">
        <v>649000.0</v>
      </c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</row>
    <row r="3172">
      <c r="A3172" s="1" t="s">
        <v>18</v>
      </c>
      <c r="B3172" s="2"/>
      <c r="C3172" s="2"/>
      <c r="D3172" s="2"/>
      <c r="E3172" s="2"/>
      <c r="F3172" s="2"/>
      <c r="G3172" s="2"/>
      <c r="H3172" s="3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</row>
    <row r="3177" ht="29.25" customHeight="1">
      <c r="A3177" s="1" t="s">
        <v>0</v>
      </c>
      <c r="B3177" s="2"/>
      <c r="C3177" s="2"/>
      <c r="D3177" s="2"/>
      <c r="E3177" s="2"/>
      <c r="F3177" s="2"/>
      <c r="G3177" s="2"/>
      <c r="H3177" s="3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</row>
    <row r="3178">
      <c r="A3178" s="6" t="s">
        <v>772</v>
      </c>
      <c r="B3178" s="2"/>
      <c r="C3178" s="2"/>
      <c r="D3178" s="2"/>
      <c r="E3178" s="2"/>
      <c r="F3178" s="2"/>
      <c r="G3178" s="2"/>
      <c r="H3178" s="3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</row>
    <row r="3179">
      <c r="A3179" s="7" t="s">
        <v>2</v>
      </c>
      <c r="B3179" s="7" t="s">
        <v>3</v>
      </c>
      <c r="C3179" s="7" t="s">
        <v>4</v>
      </c>
      <c r="D3179" s="7" t="s">
        <v>5</v>
      </c>
      <c r="E3179" s="7" t="s">
        <v>6</v>
      </c>
      <c r="F3179" s="8" t="s">
        <v>7</v>
      </c>
      <c r="G3179" s="7" t="s">
        <v>8</v>
      </c>
      <c r="H3179" s="9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</row>
    <row r="3180">
      <c r="A3180" s="10">
        <v>1.0</v>
      </c>
      <c r="B3180" s="33" t="s">
        <v>247</v>
      </c>
      <c r="C3180" s="34" t="s">
        <v>773</v>
      </c>
      <c r="D3180" s="13" t="s">
        <v>11</v>
      </c>
      <c r="E3180" s="35">
        <v>3.0</v>
      </c>
      <c r="F3180" s="15">
        <v>293000.0</v>
      </c>
      <c r="G3180" s="16">
        <f t="shared" ref="G3180:G3182" si="211">IFERROR(E3180*F3180,0)</f>
        <v>879000</v>
      </c>
      <c r="H3180" s="17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</row>
    <row r="3181">
      <c r="A3181" s="10">
        <v>2.0</v>
      </c>
      <c r="B3181" s="36" t="s">
        <v>218</v>
      </c>
      <c r="C3181" s="37" t="s">
        <v>774</v>
      </c>
      <c r="D3181" s="20" t="s">
        <v>13</v>
      </c>
      <c r="E3181" s="38">
        <v>0.6</v>
      </c>
      <c r="F3181" s="22">
        <v>435000.0</v>
      </c>
      <c r="G3181" s="16">
        <f t="shared" si="211"/>
        <v>261000</v>
      </c>
      <c r="H3181" s="17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</row>
    <row r="3182">
      <c r="A3182" s="10">
        <v>3.0</v>
      </c>
      <c r="B3182" s="23" t="s">
        <v>14</v>
      </c>
      <c r="C3182" s="17"/>
      <c r="D3182" s="17"/>
      <c r="E3182" s="17"/>
      <c r="F3182" s="17"/>
      <c r="G3182" s="24">
        <f t="shared" si="211"/>
        <v>0</v>
      </c>
      <c r="H3182" s="17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</row>
    <row r="3183">
      <c r="A3183" s="25" t="s">
        <v>15</v>
      </c>
      <c r="B3183" s="2"/>
      <c r="C3183" s="2"/>
      <c r="D3183" s="2"/>
      <c r="E3183" s="2"/>
      <c r="F3183" s="2"/>
      <c r="G3183" s="3"/>
      <c r="H3183" s="26">
        <f>SUM(G3180:G3182)</f>
        <v>1140000</v>
      </c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</row>
    <row r="3184">
      <c r="A3184" s="25" t="s">
        <v>16</v>
      </c>
      <c r="B3184" s="2"/>
      <c r="C3184" s="2"/>
      <c r="D3184" s="2"/>
      <c r="E3184" s="2"/>
      <c r="F3184" s="2"/>
      <c r="G3184" s="3"/>
      <c r="H3184" s="26">
        <f>MAX(0,H3183-648000)</f>
        <v>492000</v>
      </c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</row>
    <row r="3185">
      <c r="A3185" s="27" t="s">
        <v>17</v>
      </c>
      <c r="B3185" s="2"/>
      <c r="C3185" s="2"/>
      <c r="D3185" s="2"/>
      <c r="E3185" s="2"/>
      <c r="F3185" s="2"/>
      <c r="G3185" s="3"/>
      <c r="H3185" s="28">
        <v>649000.0</v>
      </c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</row>
    <row r="3186">
      <c r="A3186" s="1" t="s">
        <v>18</v>
      </c>
      <c r="B3186" s="2"/>
      <c r="C3186" s="2"/>
      <c r="D3186" s="2"/>
      <c r="E3186" s="2"/>
      <c r="F3186" s="2"/>
      <c r="G3186" s="2"/>
      <c r="H3186" s="3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</row>
    <row r="3192" ht="29.25" customHeight="1">
      <c r="A3192" s="1" t="s">
        <v>0</v>
      </c>
      <c r="B3192" s="2"/>
      <c r="C3192" s="2"/>
      <c r="D3192" s="2"/>
      <c r="E3192" s="2"/>
      <c r="F3192" s="2"/>
      <c r="G3192" s="2"/>
      <c r="H3192" s="3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</row>
    <row r="3193">
      <c r="A3193" s="6" t="s">
        <v>775</v>
      </c>
      <c r="B3193" s="2"/>
      <c r="C3193" s="2"/>
      <c r="D3193" s="2"/>
      <c r="E3193" s="2"/>
      <c r="F3193" s="2"/>
      <c r="G3193" s="2"/>
      <c r="H3193" s="3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</row>
    <row r="3194">
      <c r="A3194" s="7" t="s">
        <v>2</v>
      </c>
      <c r="B3194" s="7" t="s">
        <v>3</v>
      </c>
      <c r="C3194" s="7" t="s">
        <v>4</v>
      </c>
      <c r="D3194" s="7" t="s">
        <v>5</v>
      </c>
      <c r="E3194" s="7" t="s">
        <v>6</v>
      </c>
      <c r="F3194" s="8" t="s">
        <v>7</v>
      </c>
      <c r="G3194" s="7" t="s">
        <v>8</v>
      </c>
      <c r="H3194" s="9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</row>
    <row r="3195">
      <c r="A3195" s="10">
        <v>1.0</v>
      </c>
      <c r="B3195" s="33" t="s">
        <v>776</v>
      </c>
      <c r="C3195" s="34" t="s">
        <v>777</v>
      </c>
      <c r="D3195" s="13" t="s">
        <v>11</v>
      </c>
      <c r="E3195" s="35">
        <v>2.14</v>
      </c>
      <c r="F3195" s="15">
        <v>293000.0</v>
      </c>
      <c r="G3195" s="16">
        <f t="shared" ref="G3195:G3197" si="212">IFERROR(E3195*F3195,0)</f>
        <v>627020</v>
      </c>
      <c r="H3195" s="17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</row>
    <row r="3196">
      <c r="A3196" s="10">
        <v>2.0</v>
      </c>
      <c r="B3196" s="36" t="s">
        <v>778</v>
      </c>
      <c r="C3196" s="37" t="s">
        <v>779</v>
      </c>
      <c r="D3196" s="20" t="s">
        <v>13</v>
      </c>
      <c r="E3196" s="38">
        <v>1.5</v>
      </c>
      <c r="F3196" s="22">
        <v>435000.0</v>
      </c>
      <c r="G3196" s="16">
        <f t="shared" si="212"/>
        <v>652500</v>
      </c>
      <c r="H3196" s="17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</row>
    <row r="3197">
      <c r="A3197" s="10">
        <v>3.0</v>
      </c>
      <c r="B3197" s="23" t="s">
        <v>14</v>
      </c>
      <c r="C3197" s="17"/>
      <c r="D3197" s="17"/>
      <c r="E3197" s="17"/>
      <c r="F3197" s="17"/>
      <c r="G3197" s="24">
        <f t="shared" si="212"/>
        <v>0</v>
      </c>
      <c r="H3197" s="17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</row>
    <row r="3198">
      <c r="A3198" s="25" t="s">
        <v>15</v>
      </c>
      <c r="B3198" s="2"/>
      <c r="C3198" s="2"/>
      <c r="D3198" s="2"/>
      <c r="E3198" s="2"/>
      <c r="F3198" s="2"/>
      <c r="G3198" s="3"/>
      <c r="H3198" s="26">
        <f>SUM(G3195:G3197)</f>
        <v>1279520</v>
      </c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</row>
    <row r="3199">
      <c r="A3199" s="25" t="s">
        <v>16</v>
      </c>
      <c r="B3199" s="2"/>
      <c r="C3199" s="2"/>
      <c r="D3199" s="2"/>
      <c r="E3199" s="2"/>
      <c r="F3199" s="2"/>
      <c r="G3199" s="3"/>
      <c r="H3199" s="26">
        <f>MAX(0,H3198-648000)</f>
        <v>631520</v>
      </c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</row>
    <row r="3200">
      <c r="A3200" s="27" t="s">
        <v>17</v>
      </c>
      <c r="B3200" s="2"/>
      <c r="C3200" s="2"/>
      <c r="D3200" s="2"/>
      <c r="E3200" s="2"/>
      <c r="F3200" s="2"/>
      <c r="G3200" s="3"/>
      <c r="H3200" s="28">
        <v>649000.0</v>
      </c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</row>
    <row r="3201">
      <c r="A3201" s="1" t="s">
        <v>18</v>
      </c>
      <c r="B3201" s="2"/>
      <c r="C3201" s="2"/>
      <c r="D3201" s="2"/>
      <c r="E3201" s="2"/>
      <c r="F3201" s="2"/>
      <c r="G3201" s="2"/>
      <c r="H3201" s="3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</row>
    <row r="3208" ht="29.25" customHeight="1">
      <c r="A3208" s="1" t="s">
        <v>0</v>
      </c>
      <c r="B3208" s="2"/>
      <c r="C3208" s="2"/>
      <c r="D3208" s="2"/>
      <c r="E3208" s="2"/>
      <c r="F3208" s="2"/>
      <c r="G3208" s="2"/>
      <c r="H3208" s="3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</row>
    <row r="3209">
      <c r="A3209" s="6" t="s">
        <v>780</v>
      </c>
      <c r="B3209" s="2"/>
      <c r="C3209" s="2"/>
      <c r="D3209" s="2"/>
      <c r="E3209" s="2"/>
      <c r="F3209" s="2"/>
      <c r="G3209" s="2"/>
      <c r="H3209" s="3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</row>
    <row r="3210">
      <c r="A3210" s="7" t="s">
        <v>2</v>
      </c>
      <c r="B3210" s="7" t="s">
        <v>3</v>
      </c>
      <c r="C3210" s="7" t="s">
        <v>4</v>
      </c>
      <c r="D3210" s="7" t="s">
        <v>5</v>
      </c>
      <c r="E3210" s="7" t="s">
        <v>6</v>
      </c>
      <c r="F3210" s="8" t="s">
        <v>7</v>
      </c>
      <c r="G3210" s="7" t="s">
        <v>8</v>
      </c>
      <c r="H3210" s="9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</row>
    <row r="3211">
      <c r="A3211" s="10">
        <v>1.0</v>
      </c>
      <c r="B3211" s="33" t="s">
        <v>110</v>
      </c>
      <c r="C3211" s="34" t="s">
        <v>781</v>
      </c>
      <c r="D3211" s="13" t="s">
        <v>11</v>
      </c>
      <c r="E3211" s="35">
        <v>2.03</v>
      </c>
      <c r="F3211" s="15">
        <v>293000.0</v>
      </c>
      <c r="G3211" s="16">
        <f t="shared" ref="G3211:G3213" si="213">IFERROR(E3211*F3211,0)</f>
        <v>594790</v>
      </c>
      <c r="H3211" s="17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</row>
    <row r="3212">
      <c r="A3212" s="10">
        <v>2.0</v>
      </c>
      <c r="B3212" s="36" t="s">
        <v>782</v>
      </c>
      <c r="C3212" s="37" t="s">
        <v>783</v>
      </c>
      <c r="D3212" s="20" t="s">
        <v>13</v>
      </c>
      <c r="E3212" s="38">
        <v>1.5</v>
      </c>
      <c r="F3212" s="22">
        <v>435000.0</v>
      </c>
      <c r="G3212" s="16">
        <f t="shared" si="213"/>
        <v>652500</v>
      </c>
      <c r="H3212" s="17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</row>
    <row r="3213">
      <c r="A3213" s="10">
        <v>3.0</v>
      </c>
      <c r="B3213" s="23" t="s">
        <v>14</v>
      </c>
      <c r="C3213" s="17"/>
      <c r="D3213" s="17"/>
      <c r="E3213" s="17"/>
      <c r="F3213" s="17"/>
      <c r="G3213" s="24">
        <f t="shared" si="213"/>
        <v>0</v>
      </c>
      <c r="H3213" s="17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</row>
    <row r="3214">
      <c r="A3214" s="25" t="s">
        <v>15</v>
      </c>
      <c r="B3214" s="2"/>
      <c r="C3214" s="2"/>
      <c r="D3214" s="2"/>
      <c r="E3214" s="2"/>
      <c r="F3214" s="2"/>
      <c r="G3214" s="3"/>
      <c r="H3214" s="26">
        <f>SUM(G3211:G3213)</f>
        <v>1247290</v>
      </c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</row>
    <row r="3215">
      <c r="A3215" s="25" t="s">
        <v>16</v>
      </c>
      <c r="B3215" s="2"/>
      <c r="C3215" s="2"/>
      <c r="D3215" s="2"/>
      <c r="E3215" s="2"/>
      <c r="F3215" s="2"/>
      <c r="G3215" s="3"/>
      <c r="H3215" s="26">
        <f>MAX(0,H3214-648000)</f>
        <v>599290</v>
      </c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</row>
    <row r="3216">
      <c r="A3216" s="27" t="s">
        <v>17</v>
      </c>
      <c r="B3216" s="2"/>
      <c r="C3216" s="2"/>
      <c r="D3216" s="2"/>
      <c r="E3216" s="2"/>
      <c r="F3216" s="2"/>
      <c r="G3216" s="3"/>
      <c r="H3216" s="28">
        <v>649000.0</v>
      </c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</row>
    <row r="3217">
      <c r="A3217" s="1" t="s">
        <v>18</v>
      </c>
      <c r="B3217" s="2"/>
      <c r="C3217" s="2"/>
      <c r="D3217" s="2"/>
      <c r="E3217" s="2"/>
      <c r="F3217" s="2"/>
      <c r="G3217" s="2"/>
      <c r="H3217" s="3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</row>
    <row r="3224" ht="29.25" customHeight="1">
      <c r="A3224" s="1" t="s">
        <v>0</v>
      </c>
      <c r="B3224" s="2"/>
      <c r="C3224" s="2"/>
      <c r="D3224" s="2"/>
      <c r="E3224" s="2"/>
      <c r="F3224" s="2"/>
      <c r="G3224" s="2"/>
      <c r="H3224" s="3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</row>
    <row r="3225">
      <c r="A3225" s="6" t="s">
        <v>784</v>
      </c>
      <c r="B3225" s="2"/>
      <c r="C3225" s="2"/>
      <c r="D3225" s="2"/>
      <c r="E3225" s="2"/>
      <c r="F3225" s="2"/>
      <c r="G3225" s="2"/>
      <c r="H3225" s="3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</row>
    <row r="3226">
      <c r="A3226" s="7" t="s">
        <v>2</v>
      </c>
      <c r="B3226" s="7" t="s">
        <v>3</v>
      </c>
      <c r="C3226" s="7" t="s">
        <v>4</v>
      </c>
      <c r="D3226" s="7" t="s">
        <v>5</v>
      </c>
      <c r="E3226" s="7" t="s">
        <v>6</v>
      </c>
      <c r="F3226" s="8" t="s">
        <v>7</v>
      </c>
      <c r="G3226" s="7" t="s">
        <v>8</v>
      </c>
      <c r="H3226" s="9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</row>
    <row r="3227">
      <c r="A3227" s="10">
        <v>1.0</v>
      </c>
      <c r="B3227" s="33" t="s">
        <v>243</v>
      </c>
      <c r="C3227" s="34" t="s">
        <v>785</v>
      </c>
      <c r="D3227" s="13" t="s">
        <v>11</v>
      </c>
      <c r="E3227" s="35">
        <v>3.0</v>
      </c>
      <c r="F3227" s="15">
        <v>293000.0</v>
      </c>
      <c r="G3227" s="16">
        <f t="shared" ref="G3227:G3229" si="214">IFERROR(E3227*F3227,0)</f>
        <v>879000</v>
      </c>
      <c r="H3227" s="17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</row>
    <row r="3228">
      <c r="A3228" s="10">
        <v>2.0</v>
      </c>
      <c r="B3228" s="36" t="s">
        <v>36</v>
      </c>
      <c r="C3228" s="37" t="s">
        <v>786</v>
      </c>
      <c r="D3228" s="20" t="s">
        <v>13</v>
      </c>
      <c r="E3228" s="38">
        <v>0.69</v>
      </c>
      <c r="F3228" s="22">
        <v>435000.0</v>
      </c>
      <c r="G3228" s="16">
        <f t="shared" si="214"/>
        <v>300150</v>
      </c>
      <c r="H3228" s="17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</row>
    <row r="3229">
      <c r="A3229" s="10">
        <v>3.0</v>
      </c>
      <c r="B3229" s="23" t="s">
        <v>14</v>
      </c>
      <c r="C3229" s="17"/>
      <c r="D3229" s="17"/>
      <c r="E3229" s="17"/>
      <c r="F3229" s="17"/>
      <c r="G3229" s="24">
        <f t="shared" si="214"/>
        <v>0</v>
      </c>
      <c r="H3229" s="17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</row>
    <row r="3230">
      <c r="A3230" s="25" t="s">
        <v>15</v>
      </c>
      <c r="B3230" s="2"/>
      <c r="C3230" s="2"/>
      <c r="D3230" s="2"/>
      <c r="E3230" s="2"/>
      <c r="F3230" s="2"/>
      <c r="G3230" s="3"/>
      <c r="H3230" s="26">
        <f>SUM(G3227:G3229)</f>
        <v>1179150</v>
      </c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</row>
    <row r="3231">
      <c r="A3231" s="25" t="s">
        <v>16</v>
      </c>
      <c r="B3231" s="2"/>
      <c r="C3231" s="2"/>
      <c r="D3231" s="2"/>
      <c r="E3231" s="2"/>
      <c r="F3231" s="2"/>
      <c r="G3231" s="3"/>
      <c r="H3231" s="26">
        <f>MAX(0,H3230-648000)</f>
        <v>531150</v>
      </c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</row>
    <row r="3232">
      <c r="A3232" s="27" t="s">
        <v>17</v>
      </c>
      <c r="B3232" s="2"/>
      <c r="C3232" s="2"/>
      <c r="D3232" s="2"/>
      <c r="E3232" s="2"/>
      <c r="F3232" s="2"/>
      <c r="G3232" s="3"/>
      <c r="H3232" s="28">
        <v>649000.0</v>
      </c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</row>
    <row r="3233">
      <c r="A3233" s="1" t="s">
        <v>18</v>
      </c>
      <c r="B3233" s="2"/>
      <c r="C3233" s="2"/>
      <c r="D3233" s="2"/>
      <c r="E3233" s="2"/>
      <c r="F3233" s="2"/>
      <c r="G3233" s="2"/>
      <c r="H3233" s="3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</row>
    <row r="3239" ht="29.25" customHeight="1">
      <c r="A3239" s="1" t="s">
        <v>0</v>
      </c>
      <c r="B3239" s="2"/>
      <c r="C3239" s="2"/>
      <c r="D3239" s="2"/>
      <c r="E3239" s="2"/>
      <c r="F3239" s="2"/>
      <c r="G3239" s="2"/>
      <c r="H3239" s="3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</row>
    <row r="3240">
      <c r="A3240" s="6" t="s">
        <v>787</v>
      </c>
      <c r="B3240" s="2"/>
      <c r="C3240" s="2"/>
      <c r="D3240" s="2"/>
      <c r="E3240" s="2"/>
      <c r="F3240" s="2"/>
      <c r="G3240" s="2"/>
      <c r="H3240" s="3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</row>
    <row r="3241">
      <c r="A3241" s="7" t="s">
        <v>2</v>
      </c>
      <c r="B3241" s="7" t="s">
        <v>3</v>
      </c>
      <c r="C3241" s="7" t="s">
        <v>4</v>
      </c>
      <c r="D3241" s="7" t="s">
        <v>5</v>
      </c>
      <c r="E3241" s="7" t="s">
        <v>6</v>
      </c>
      <c r="F3241" s="8" t="s">
        <v>7</v>
      </c>
      <c r="G3241" s="7" t="s">
        <v>8</v>
      </c>
      <c r="H3241" s="9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</row>
    <row r="3242">
      <c r="A3242" s="10">
        <v>1.0</v>
      </c>
      <c r="B3242" s="33" t="s">
        <v>41</v>
      </c>
      <c r="C3242" s="34" t="s">
        <v>788</v>
      </c>
      <c r="D3242" s="13" t="s">
        <v>11</v>
      </c>
      <c r="E3242" s="35">
        <v>2.61</v>
      </c>
      <c r="F3242" s="15">
        <v>293000.0</v>
      </c>
      <c r="G3242" s="16">
        <f t="shared" ref="G3242:G3244" si="215">IFERROR(E3242*F3242,0)</f>
        <v>764730</v>
      </c>
      <c r="H3242" s="17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</row>
    <row r="3243">
      <c r="A3243" s="10">
        <v>2.0</v>
      </c>
      <c r="B3243" s="36" t="s">
        <v>118</v>
      </c>
      <c r="C3243" s="37" t="s">
        <v>789</v>
      </c>
      <c r="D3243" s="20" t="s">
        <v>13</v>
      </c>
      <c r="E3243" s="38">
        <v>1.0</v>
      </c>
      <c r="F3243" s="22">
        <v>435000.0</v>
      </c>
      <c r="G3243" s="16">
        <f t="shared" si="215"/>
        <v>435000</v>
      </c>
      <c r="H3243" s="17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</row>
    <row r="3244">
      <c r="A3244" s="10">
        <v>3.0</v>
      </c>
      <c r="B3244" s="23" t="s">
        <v>14</v>
      </c>
      <c r="C3244" s="17"/>
      <c r="D3244" s="17"/>
      <c r="E3244" s="17"/>
      <c r="F3244" s="17"/>
      <c r="G3244" s="24">
        <f t="shared" si="215"/>
        <v>0</v>
      </c>
      <c r="H3244" s="17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</row>
    <row r="3245">
      <c r="A3245" s="25" t="s">
        <v>15</v>
      </c>
      <c r="B3245" s="2"/>
      <c r="C3245" s="2"/>
      <c r="D3245" s="2"/>
      <c r="E3245" s="2"/>
      <c r="F3245" s="2"/>
      <c r="G3245" s="3"/>
      <c r="H3245" s="26">
        <f>SUM(G3242:G3244)</f>
        <v>1199730</v>
      </c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</row>
    <row r="3246">
      <c r="A3246" s="25" t="s">
        <v>16</v>
      </c>
      <c r="B3246" s="2"/>
      <c r="C3246" s="2"/>
      <c r="D3246" s="2"/>
      <c r="E3246" s="2"/>
      <c r="F3246" s="2"/>
      <c r="G3246" s="3"/>
      <c r="H3246" s="26">
        <f>MAX(0,H3245-648000)</f>
        <v>551730</v>
      </c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</row>
    <row r="3247">
      <c r="A3247" s="27" t="s">
        <v>17</v>
      </c>
      <c r="B3247" s="2"/>
      <c r="C3247" s="2"/>
      <c r="D3247" s="2"/>
      <c r="E3247" s="2"/>
      <c r="F3247" s="2"/>
      <c r="G3247" s="3"/>
      <c r="H3247" s="28">
        <v>649000.0</v>
      </c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</row>
    <row r="3248">
      <c r="A3248" s="1" t="s">
        <v>18</v>
      </c>
      <c r="B3248" s="2"/>
      <c r="C3248" s="2"/>
      <c r="D3248" s="2"/>
      <c r="E3248" s="2"/>
      <c r="F3248" s="2"/>
      <c r="G3248" s="2"/>
      <c r="H3248" s="3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</row>
    <row r="3254" ht="29.25" customHeight="1">
      <c r="A3254" s="1" t="s">
        <v>0</v>
      </c>
      <c r="B3254" s="2"/>
      <c r="C3254" s="2"/>
      <c r="D3254" s="2"/>
      <c r="E3254" s="2"/>
      <c r="F3254" s="2"/>
      <c r="G3254" s="2"/>
      <c r="H3254" s="3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</row>
    <row r="3255">
      <c r="A3255" s="6" t="s">
        <v>790</v>
      </c>
      <c r="B3255" s="2"/>
      <c r="C3255" s="2"/>
      <c r="D3255" s="2"/>
      <c r="E3255" s="2"/>
      <c r="F3255" s="2"/>
      <c r="G3255" s="2"/>
      <c r="H3255" s="3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</row>
    <row r="3256">
      <c r="A3256" s="7" t="s">
        <v>2</v>
      </c>
      <c r="B3256" s="7" t="s">
        <v>3</v>
      </c>
      <c r="C3256" s="7" t="s">
        <v>4</v>
      </c>
      <c r="D3256" s="7" t="s">
        <v>5</v>
      </c>
      <c r="E3256" s="7" t="s">
        <v>6</v>
      </c>
      <c r="F3256" s="8" t="s">
        <v>7</v>
      </c>
      <c r="G3256" s="7" t="s">
        <v>8</v>
      </c>
      <c r="H3256" s="9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</row>
    <row r="3257">
      <c r="A3257" s="10">
        <v>1.0</v>
      </c>
      <c r="B3257" s="33" t="s">
        <v>652</v>
      </c>
      <c r="C3257" s="34" t="s">
        <v>791</v>
      </c>
      <c r="D3257" s="13" t="s">
        <v>11</v>
      </c>
      <c r="E3257" s="35">
        <v>2.5</v>
      </c>
      <c r="F3257" s="15">
        <v>293000.0</v>
      </c>
      <c r="G3257" s="16">
        <f t="shared" ref="G3257:G3259" si="216">IFERROR(E3257*F3257,0)</f>
        <v>732500</v>
      </c>
      <c r="H3257" s="17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</row>
    <row r="3258">
      <c r="A3258" s="10">
        <v>2.0</v>
      </c>
      <c r="B3258" s="36" t="s">
        <v>175</v>
      </c>
      <c r="C3258" s="37" t="s">
        <v>792</v>
      </c>
      <c r="D3258" s="20" t="s">
        <v>13</v>
      </c>
      <c r="E3258" s="38">
        <v>1.1</v>
      </c>
      <c r="F3258" s="22">
        <v>435000.0</v>
      </c>
      <c r="G3258" s="16">
        <f t="shared" si="216"/>
        <v>478500</v>
      </c>
      <c r="H3258" s="17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</row>
    <row r="3259">
      <c r="A3259" s="10">
        <v>3.0</v>
      </c>
      <c r="B3259" s="23" t="s">
        <v>14</v>
      </c>
      <c r="C3259" s="17"/>
      <c r="D3259" s="17"/>
      <c r="E3259" s="17"/>
      <c r="F3259" s="17"/>
      <c r="G3259" s="24">
        <f t="shared" si="216"/>
        <v>0</v>
      </c>
      <c r="H3259" s="17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</row>
    <row r="3260">
      <c r="A3260" s="25" t="s">
        <v>15</v>
      </c>
      <c r="B3260" s="2"/>
      <c r="C3260" s="2"/>
      <c r="D3260" s="2"/>
      <c r="E3260" s="2"/>
      <c r="F3260" s="2"/>
      <c r="G3260" s="3"/>
      <c r="H3260" s="26">
        <f>SUM(G3257:G3259)</f>
        <v>1211000</v>
      </c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</row>
    <row r="3261">
      <c r="A3261" s="25" t="s">
        <v>16</v>
      </c>
      <c r="B3261" s="2"/>
      <c r="C3261" s="2"/>
      <c r="D3261" s="2"/>
      <c r="E3261" s="2"/>
      <c r="F3261" s="2"/>
      <c r="G3261" s="3"/>
      <c r="H3261" s="26">
        <f>MAX(0,H3260-648000)</f>
        <v>563000</v>
      </c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>
      <c r="A3262" s="27" t="s">
        <v>17</v>
      </c>
      <c r="B3262" s="2"/>
      <c r="C3262" s="2"/>
      <c r="D3262" s="2"/>
      <c r="E3262" s="2"/>
      <c r="F3262" s="2"/>
      <c r="G3262" s="3"/>
      <c r="H3262" s="28">
        <v>649000.0</v>
      </c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</row>
    <row r="3263">
      <c r="A3263" s="1" t="s">
        <v>18</v>
      </c>
      <c r="B3263" s="2"/>
      <c r="C3263" s="2"/>
      <c r="D3263" s="2"/>
      <c r="E3263" s="2"/>
      <c r="F3263" s="2"/>
      <c r="G3263" s="2"/>
      <c r="H3263" s="3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</row>
    <row r="3269" ht="29.25" customHeight="1">
      <c r="A3269" s="1" t="s">
        <v>0</v>
      </c>
      <c r="B3269" s="2"/>
      <c r="C3269" s="2"/>
      <c r="D3269" s="2"/>
      <c r="E3269" s="2"/>
      <c r="F3269" s="2"/>
      <c r="G3269" s="2"/>
      <c r="H3269" s="3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</row>
    <row r="3270">
      <c r="A3270" s="6" t="s">
        <v>793</v>
      </c>
      <c r="B3270" s="2"/>
      <c r="C3270" s="2"/>
      <c r="D3270" s="2"/>
      <c r="E3270" s="2"/>
      <c r="F3270" s="2"/>
      <c r="G3270" s="2"/>
      <c r="H3270" s="3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</row>
    <row r="3271">
      <c r="A3271" s="7" t="s">
        <v>2</v>
      </c>
      <c r="B3271" s="7" t="s">
        <v>3</v>
      </c>
      <c r="C3271" s="7" t="s">
        <v>4</v>
      </c>
      <c r="D3271" s="7" t="s">
        <v>5</v>
      </c>
      <c r="E3271" s="7" t="s">
        <v>6</v>
      </c>
      <c r="F3271" s="8" t="s">
        <v>7</v>
      </c>
      <c r="G3271" s="7" t="s">
        <v>8</v>
      </c>
      <c r="H3271" s="9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</row>
    <row r="3272">
      <c r="A3272" s="10">
        <v>1.0</v>
      </c>
      <c r="B3272" s="33" t="s">
        <v>794</v>
      </c>
      <c r="C3272" s="34" t="s">
        <v>795</v>
      </c>
      <c r="D3272" s="13" t="s">
        <v>11</v>
      </c>
      <c r="E3272" s="35">
        <v>2.62</v>
      </c>
      <c r="F3272" s="15">
        <v>293000.0</v>
      </c>
      <c r="G3272" s="16">
        <f t="shared" ref="G3272:G3274" si="217">IFERROR(E3272*F3272,0)</f>
        <v>767660</v>
      </c>
      <c r="H3272" s="17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</row>
    <row r="3273">
      <c r="A3273" s="10">
        <v>2.0</v>
      </c>
      <c r="B3273" s="36" t="s">
        <v>12</v>
      </c>
      <c r="C3273" s="37" t="s">
        <v>796</v>
      </c>
      <c r="D3273" s="20" t="s">
        <v>13</v>
      </c>
      <c r="E3273" s="38">
        <v>1.0</v>
      </c>
      <c r="F3273" s="22">
        <v>435000.0</v>
      </c>
      <c r="G3273" s="16">
        <f t="shared" si="217"/>
        <v>435000</v>
      </c>
      <c r="H3273" s="17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</row>
    <row r="3274">
      <c r="A3274" s="10">
        <v>3.0</v>
      </c>
      <c r="B3274" s="23" t="s">
        <v>14</v>
      </c>
      <c r="C3274" s="17"/>
      <c r="D3274" s="17"/>
      <c r="E3274" s="17"/>
      <c r="F3274" s="17"/>
      <c r="G3274" s="24">
        <f t="shared" si="217"/>
        <v>0</v>
      </c>
      <c r="H3274" s="17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</row>
    <row r="3275">
      <c r="A3275" s="25" t="s">
        <v>15</v>
      </c>
      <c r="B3275" s="2"/>
      <c r="C3275" s="2"/>
      <c r="D3275" s="2"/>
      <c r="E3275" s="2"/>
      <c r="F3275" s="2"/>
      <c r="G3275" s="3"/>
      <c r="H3275" s="26">
        <f>SUM(G3272:G3274)</f>
        <v>1202660</v>
      </c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</row>
    <row r="3276">
      <c r="A3276" s="25" t="s">
        <v>16</v>
      </c>
      <c r="B3276" s="2"/>
      <c r="C3276" s="2"/>
      <c r="D3276" s="2"/>
      <c r="E3276" s="2"/>
      <c r="F3276" s="2"/>
      <c r="G3276" s="3"/>
      <c r="H3276" s="26">
        <f>MAX(0,H3275-648000)</f>
        <v>554660</v>
      </c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</row>
    <row r="3277">
      <c r="A3277" s="27" t="s">
        <v>17</v>
      </c>
      <c r="B3277" s="2"/>
      <c r="C3277" s="2"/>
      <c r="D3277" s="2"/>
      <c r="E3277" s="2"/>
      <c r="F3277" s="2"/>
      <c r="G3277" s="3"/>
      <c r="H3277" s="28">
        <v>649000.0</v>
      </c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</row>
    <row r="3278">
      <c r="A3278" s="1" t="s">
        <v>18</v>
      </c>
      <c r="B3278" s="2"/>
      <c r="C3278" s="2"/>
      <c r="D3278" s="2"/>
      <c r="E3278" s="2"/>
      <c r="F3278" s="2"/>
      <c r="G3278" s="2"/>
      <c r="H3278" s="3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</row>
    <row r="3284" ht="29.25" customHeight="1">
      <c r="A3284" s="1" t="s">
        <v>0</v>
      </c>
      <c r="B3284" s="2"/>
      <c r="C3284" s="2"/>
      <c r="D3284" s="2"/>
      <c r="E3284" s="2"/>
      <c r="F3284" s="2"/>
      <c r="G3284" s="2"/>
      <c r="H3284" s="3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</row>
    <row r="3285">
      <c r="A3285" s="6" t="s">
        <v>797</v>
      </c>
      <c r="B3285" s="2"/>
      <c r="C3285" s="2"/>
      <c r="D3285" s="2"/>
      <c r="E3285" s="2"/>
      <c r="F3285" s="2"/>
      <c r="G3285" s="2"/>
      <c r="H3285" s="3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</row>
    <row r="3286">
      <c r="A3286" s="7" t="s">
        <v>2</v>
      </c>
      <c r="B3286" s="7" t="s">
        <v>3</v>
      </c>
      <c r="C3286" s="7" t="s">
        <v>4</v>
      </c>
      <c r="D3286" s="7" t="s">
        <v>5</v>
      </c>
      <c r="E3286" s="7" t="s">
        <v>6</v>
      </c>
      <c r="F3286" s="8" t="s">
        <v>7</v>
      </c>
      <c r="G3286" s="7" t="s">
        <v>8</v>
      </c>
      <c r="H3286" s="9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</row>
    <row r="3287">
      <c r="A3287" s="10">
        <v>1.0</v>
      </c>
      <c r="B3287" s="33" t="s">
        <v>310</v>
      </c>
      <c r="C3287" s="34" t="s">
        <v>798</v>
      </c>
      <c r="D3287" s="13" t="s">
        <v>11</v>
      </c>
      <c r="E3287" s="35">
        <v>2.05</v>
      </c>
      <c r="F3287" s="15">
        <v>293000.0</v>
      </c>
      <c r="G3287" s="16">
        <f t="shared" ref="G3287:G3289" si="218">IFERROR(E3287*F3287,0)</f>
        <v>600650</v>
      </c>
      <c r="H3287" s="17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</row>
    <row r="3288">
      <c r="A3288" s="10">
        <v>2.0</v>
      </c>
      <c r="B3288" s="36" t="s">
        <v>98</v>
      </c>
      <c r="C3288" s="37" t="s">
        <v>799</v>
      </c>
      <c r="D3288" s="20" t="s">
        <v>13</v>
      </c>
      <c r="E3288" s="38">
        <v>1.5</v>
      </c>
      <c r="F3288" s="22">
        <v>435000.0</v>
      </c>
      <c r="G3288" s="16">
        <f t="shared" si="218"/>
        <v>652500</v>
      </c>
      <c r="H3288" s="17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</row>
    <row r="3289">
      <c r="A3289" s="10">
        <v>3.0</v>
      </c>
      <c r="B3289" s="23" t="s">
        <v>14</v>
      </c>
      <c r="C3289" s="17"/>
      <c r="D3289" s="17"/>
      <c r="E3289" s="17"/>
      <c r="F3289" s="17"/>
      <c r="G3289" s="24">
        <f t="shared" si="218"/>
        <v>0</v>
      </c>
      <c r="H3289" s="17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</row>
    <row r="3290">
      <c r="A3290" s="25" t="s">
        <v>15</v>
      </c>
      <c r="B3290" s="2"/>
      <c r="C3290" s="2"/>
      <c r="D3290" s="2"/>
      <c r="E3290" s="2"/>
      <c r="F3290" s="2"/>
      <c r="G3290" s="3"/>
      <c r="H3290" s="26">
        <f>SUM(G3287:G3289)</f>
        <v>1253150</v>
      </c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</row>
    <row r="3291">
      <c r="A3291" s="25" t="s">
        <v>16</v>
      </c>
      <c r="B3291" s="2"/>
      <c r="C3291" s="2"/>
      <c r="D3291" s="2"/>
      <c r="E3291" s="2"/>
      <c r="F3291" s="2"/>
      <c r="G3291" s="3"/>
      <c r="H3291" s="26">
        <f>MAX(0,H3290-648000)</f>
        <v>605150</v>
      </c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</row>
    <row r="3292">
      <c r="A3292" s="27" t="s">
        <v>17</v>
      </c>
      <c r="B3292" s="2"/>
      <c r="C3292" s="2"/>
      <c r="D3292" s="2"/>
      <c r="E3292" s="2"/>
      <c r="F3292" s="2"/>
      <c r="G3292" s="3"/>
      <c r="H3292" s="28">
        <v>649000.0</v>
      </c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</row>
    <row r="3293">
      <c r="A3293" s="1" t="s">
        <v>18</v>
      </c>
      <c r="B3293" s="2"/>
      <c r="C3293" s="2"/>
      <c r="D3293" s="2"/>
      <c r="E3293" s="2"/>
      <c r="F3293" s="2"/>
      <c r="G3293" s="2"/>
      <c r="H3293" s="3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</row>
    <row r="3298" ht="29.25" customHeight="1">
      <c r="A3298" s="1" t="s">
        <v>0</v>
      </c>
      <c r="B3298" s="2"/>
      <c r="C3298" s="2"/>
      <c r="D3298" s="2"/>
      <c r="E3298" s="2"/>
      <c r="F3298" s="2"/>
      <c r="G3298" s="2"/>
      <c r="H3298" s="3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</row>
    <row r="3299">
      <c r="A3299" s="6" t="s">
        <v>800</v>
      </c>
      <c r="B3299" s="2"/>
      <c r="C3299" s="2"/>
      <c r="D3299" s="2"/>
      <c r="E3299" s="2"/>
      <c r="F3299" s="2"/>
      <c r="G3299" s="2"/>
      <c r="H3299" s="3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</row>
    <row r="3300">
      <c r="A3300" s="7" t="s">
        <v>2</v>
      </c>
      <c r="B3300" s="7" t="s">
        <v>3</v>
      </c>
      <c r="C3300" s="7" t="s">
        <v>4</v>
      </c>
      <c r="D3300" s="7" t="s">
        <v>5</v>
      </c>
      <c r="E3300" s="7" t="s">
        <v>6</v>
      </c>
      <c r="F3300" s="8" t="s">
        <v>7</v>
      </c>
      <c r="G3300" s="7" t="s">
        <v>8</v>
      </c>
      <c r="H3300" s="9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</row>
    <row r="3301">
      <c r="A3301" s="10">
        <v>1.0</v>
      </c>
      <c r="B3301" s="33" t="s">
        <v>12</v>
      </c>
      <c r="C3301" s="34" t="s">
        <v>801</v>
      </c>
      <c r="D3301" s="13" t="s">
        <v>11</v>
      </c>
      <c r="E3301" s="35">
        <v>3.0</v>
      </c>
      <c r="F3301" s="15">
        <v>293000.0</v>
      </c>
      <c r="G3301" s="16">
        <f t="shared" ref="G3301:G3303" si="219">IFERROR(E3301*F3301,0)</f>
        <v>879000</v>
      </c>
      <c r="H3301" s="17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</row>
    <row r="3302">
      <c r="A3302" s="10">
        <v>2.0</v>
      </c>
      <c r="B3302" s="36" t="s">
        <v>175</v>
      </c>
      <c r="C3302" s="37" t="s">
        <v>802</v>
      </c>
      <c r="D3302" s="20" t="s">
        <v>13</v>
      </c>
      <c r="E3302" s="38">
        <v>0.68</v>
      </c>
      <c r="F3302" s="22">
        <v>435000.0</v>
      </c>
      <c r="G3302" s="16">
        <f t="shared" si="219"/>
        <v>295800</v>
      </c>
      <c r="H3302" s="17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</row>
    <row r="3303">
      <c r="A3303" s="10">
        <v>3.0</v>
      </c>
      <c r="B3303" s="23" t="s">
        <v>14</v>
      </c>
      <c r="C3303" s="17"/>
      <c r="D3303" s="17"/>
      <c r="E3303" s="17"/>
      <c r="F3303" s="17"/>
      <c r="G3303" s="24">
        <f t="shared" si="219"/>
        <v>0</v>
      </c>
      <c r="H3303" s="17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</row>
    <row r="3304">
      <c r="A3304" s="25" t="s">
        <v>15</v>
      </c>
      <c r="B3304" s="2"/>
      <c r="C3304" s="2"/>
      <c r="D3304" s="2"/>
      <c r="E3304" s="2"/>
      <c r="F3304" s="2"/>
      <c r="G3304" s="3"/>
      <c r="H3304" s="26">
        <f>SUM(G3301:G3303)</f>
        <v>1174800</v>
      </c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</row>
    <row r="3305">
      <c r="A3305" s="25" t="s">
        <v>16</v>
      </c>
      <c r="B3305" s="2"/>
      <c r="C3305" s="2"/>
      <c r="D3305" s="2"/>
      <c r="E3305" s="2"/>
      <c r="F3305" s="2"/>
      <c r="G3305" s="3"/>
      <c r="H3305" s="26">
        <f>MAX(0,H3304-648000)</f>
        <v>526800</v>
      </c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</row>
    <row r="3306">
      <c r="A3306" s="27" t="s">
        <v>17</v>
      </c>
      <c r="B3306" s="2"/>
      <c r="C3306" s="2"/>
      <c r="D3306" s="2"/>
      <c r="E3306" s="2"/>
      <c r="F3306" s="2"/>
      <c r="G3306" s="3"/>
      <c r="H3306" s="28">
        <v>649000.0</v>
      </c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</row>
    <row r="3307">
      <c r="A3307" s="1" t="s">
        <v>18</v>
      </c>
      <c r="B3307" s="2"/>
      <c r="C3307" s="2"/>
      <c r="D3307" s="2"/>
      <c r="E3307" s="2"/>
      <c r="F3307" s="2"/>
      <c r="G3307" s="2"/>
      <c r="H3307" s="3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</row>
    <row r="3312" ht="29.25" customHeight="1">
      <c r="A3312" s="1" t="s">
        <v>0</v>
      </c>
      <c r="B3312" s="2"/>
      <c r="C3312" s="2"/>
      <c r="D3312" s="2"/>
      <c r="E3312" s="2"/>
      <c r="F3312" s="2"/>
      <c r="G3312" s="2"/>
      <c r="H3312" s="3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</row>
    <row r="3313">
      <c r="A3313" s="6" t="s">
        <v>803</v>
      </c>
      <c r="B3313" s="2"/>
      <c r="C3313" s="2"/>
      <c r="D3313" s="2"/>
      <c r="E3313" s="2"/>
      <c r="F3313" s="2"/>
      <c r="G3313" s="2"/>
      <c r="H3313" s="3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</row>
    <row r="3314">
      <c r="A3314" s="7" t="s">
        <v>2</v>
      </c>
      <c r="B3314" s="7" t="s">
        <v>3</v>
      </c>
      <c r="C3314" s="7" t="s">
        <v>4</v>
      </c>
      <c r="D3314" s="7" t="s">
        <v>5</v>
      </c>
      <c r="E3314" s="7" t="s">
        <v>6</v>
      </c>
      <c r="F3314" s="8" t="s">
        <v>7</v>
      </c>
      <c r="G3314" s="7" t="s">
        <v>8</v>
      </c>
      <c r="H3314" s="9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</row>
    <row r="3315">
      <c r="A3315" s="10">
        <v>1.0</v>
      </c>
      <c r="B3315" s="33" t="s">
        <v>804</v>
      </c>
      <c r="C3315" s="34" t="s">
        <v>805</v>
      </c>
      <c r="D3315" s="13" t="s">
        <v>11</v>
      </c>
      <c r="E3315" s="35">
        <v>1.7</v>
      </c>
      <c r="F3315" s="15">
        <v>293000.0</v>
      </c>
      <c r="G3315" s="16">
        <f t="shared" ref="G3315:G3317" si="220">IFERROR(E3315*F3315,0)</f>
        <v>498100</v>
      </c>
      <c r="H3315" s="17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</row>
    <row r="3316">
      <c r="A3316" s="10">
        <v>2.0</v>
      </c>
      <c r="B3316" s="36" t="s">
        <v>12</v>
      </c>
      <c r="C3316" s="37" t="s">
        <v>806</v>
      </c>
      <c r="D3316" s="20" t="s">
        <v>13</v>
      </c>
      <c r="E3316" s="38">
        <v>1.85</v>
      </c>
      <c r="F3316" s="22">
        <v>435000.0</v>
      </c>
      <c r="G3316" s="16">
        <f t="shared" si="220"/>
        <v>804750</v>
      </c>
      <c r="H3316" s="17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</row>
    <row r="3317">
      <c r="A3317" s="10">
        <v>3.0</v>
      </c>
      <c r="B3317" s="23" t="s">
        <v>14</v>
      </c>
      <c r="C3317" s="17"/>
      <c r="D3317" s="17"/>
      <c r="E3317" s="17"/>
      <c r="F3317" s="17"/>
      <c r="G3317" s="24">
        <f t="shared" si="220"/>
        <v>0</v>
      </c>
      <c r="H3317" s="17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</row>
    <row r="3318">
      <c r="A3318" s="25" t="s">
        <v>15</v>
      </c>
      <c r="B3318" s="2"/>
      <c r="C3318" s="2"/>
      <c r="D3318" s="2"/>
      <c r="E3318" s="2"/>
      <c r="F3318" s="2"/>
      <c r="G3318" s="3"/>
      <c r="H3318" s="26">
        <f>SUM(G3315:G3317)</f>
        <v>1302850</v>
      </c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</row>
    <row r="3319">
      <c r="A3319" s="25" t="s">
        <v>16</v>
      </c>
      <c r="B3319" s="2"/>
      <c r="C3319" s="2"/>
      <c r="D3319" s="2"/>
      <c r="E3319" s="2"/>
      <c r="F3319" s="2"/>
      <c r="G3319" s="3"/>
      <c r="H3319" s="26">
        <f>MAX(0,H3318-648000)</f>
        <v>654850</v>
      </c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</row>
    <row r="3320">
      <c r="A3320" s="27" t="s">
        <v>17</v>
      </c>
      <c r="B3320" s="2"/>
      <c r="C3320" s="2"/>
      <c r="D3320" s="2"/>
      <c r="E3320" s="2"/>
      <c r="F3320" s="2"/>
      <c r="G3320" s="3"/>
      <c r="H3320" s="28">
        <v>649000.0</v>
      </c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</row>
    <row r="3321">
      <c r="A3321" s="1" t="s">
        <v>18</v>
      </c>
      <c r="B3321" s="2"/>
      <c r="C3321" s="2"/>
      <c r="D3321" s="2"/>
      <c r="E3321" s="2"/>
      <c r="F3321" s="2"/>
      <c r="G3321" s="2"/>
      <c r="H3321" s="3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</row>
    <row r="3327" ht="29.25" customHeight="1">
      <c r="A3327" s="1" t="s">
        <v>0</v>
      </c>
      <c r="B3327" s="2"/>
      <c r="C3327" s="2"/>
      <c r="D3327" s="2"/>
      <c r="E3327" s="2"/>
      <c r="F3327" s="2"/>
      <c r="G3327" s="2"/>
      <c r="H3327" s="3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</row>
    <row r="3328">
      <c r="A3328" s="6" t="s">
        <v>807</v>
      </c>
      <c r="B3328" s="2"/>
      <c r="C3328" s="2"/>
      <c r="D3328" s="2"/>
      <c r="E3328" s="2"/>
      <c r="F3328" s="2"/>
      <c r="G3328" s="2"/>
      <c r="H3328" s="3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</row>
    <row r="3329">
      <c r="A3329" s="7" t="s">
        <v>2</v>
      </c>
      <c r="B3329" s="7" t="s">
        <v>3</v>
      </c>
      <c r="C3329" s="7" t="s">
        <v>4</v>
      </c>
      <c r="D3329" s="7" t="s">
        <v>5</v>
      </c>
      <c r="E3329" s="7" t="s">
        <v>6</v>
      </c>
      <c r="F3329" s="8" t="s">
        <v>7</v>
      </c>
      <c r="G3329" s="7" t="s">
        <v>8</v>
      </c>
      <c r="H3329" s="9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</row>
    <row r="3330">
      <c r="A3330" s="10">
        <v>1.0</v>
      </c>
      <c r="B3330" s="33" t="s">
        <v>400</v>
      </c>
      <c r="C3330" s="34" t="s">
        <v>808</v>
      </c>
      <c r="D3330" s="13" t="s">
        <v>11</v>
      </c>
      <c r="E3330" s="35">
        <v>1.18</v>
      </c>
      <c r="F3330" s="15">
        <v>293000.0</v>
      </c>
      <c r="G3330" s="16">
        <f t="shared" ref="G3330:G3332" si="221">IFERROR(E3330*F3330,0)</f>
        <v>345740</v>
      </c>
      <c r="H3330" s="17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</row>
    <row r="3331">
      <c r="A3331" s="10">
        <v>2.0</v>
      </c>
      <c r="B3331" s="36" t="s">
        <v>12</v>
      </c>
      <c r="C3331" s="37" t="s">
        <v>809</v>
      </c>
      <c r="D3331" s="20" t="s">
        <v>13</v>
      </c>
      <c r="E3331" s="38">
        <v>2.3</v>
      </c>
      <c r="F3331" s="22">
        <v>435000.0</v>
      </c>
      <c r="G3331" s="16">
        <f t="shared" si="221"/>
        <v>1000500</v>
      </c>
      <c r="H3331" s="17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</row>
    <row r="3332">
      <c r="A3332" s="10">
        <v>3.0</v>
      </c>
      <c r="B3332" s="23" t="s">
        <v>14</v>
      </c>
      <c r="C3332" s="17"/>
      <c r="D3332" s="17"/>
      <c r="E3332" s="17"/>
      <c r="F3332" s="17"/>
      <c r="G3332" s="24">
        <f t="shared" si="221"/>
        <v>0</v>
      </c>
      <c r="H3332" s="17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</row>
    <row r="3333">
      <c r="A3333" s="25" t="s">
        <v>15</v>
      </c>
      <c r="B3333" s="2"/>
      <c r="C3333" s="2"/>
      <c r="D3333" s="2"/>
      <c r="E3333" s="2"/>
      <c r="F3333" s="2"/>
      <c r="G3333" s="3"/>
      <c r="H3333" s="26">
        <f>SUM(G3330:G3332)</f>
        <v>1346240</v>
      </c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</row>
    <row r="3334">
      <c r="A3334" s="25" t="s">
        <v>16</v>
      </c>
      <c r="B3334" s="2"/>
      <c r="C3334" s="2"/>
      <c r="D3334" s="2"/>
      <c r="E3334" s="2"/>
      <c r="F3334" s="2"/>
      <c r="G3334" s="3"/>
      <c r="H3334" s="26">
        <f>MAX(0,H3333-648000)</f>
        <v>698240</v>
      </c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</row>
    <row r="3335">
      <c r="A3335" s="27" t="s">
        <v>17</v>
      </c>
      <c r="B3335" s="2"/>
      <c r="C3335" s="2"/>
      <c r="D3335" s="2"/>
      <c r="E3335" s="2"/>
      <c r="F3335" s="2"/>
      <c r="G3335" s="3"/>
      <c r="H3335" s="28">
        <v>649000.0</v>
      </c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</row>
    <row r="3336">
      <c r="A3336" s="1" t="s">
        <v>18</v>
      </c>
      <c r="B3336" s="2"/>
      <c r="C3336" s="2"/>
      <c r="D3336" s="2"/>
      <c r="E3336" s="2"/>
      <c r="F3336" s="2"/>
      <c r="G3336" s="2"/>
      <c r="H3336" s="3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</row>
    <row r="3342" ht="29.25" customHeight="1">
      <c r="A3342" s="1" t="s">
        <v>0</v>
      </c>
      <c r="B3342" s="2"/>
      <c r="C3342" s="2"/>
      <c r="D3342" s="2"/>
      <c r="E3342" s="2"/>
      <c r="F3342" s="2"/>
      <c r="G3342" s="2"/>
      <c r="H3342" s="3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</row>
    <row r="3343">
      <c r="A3343" s="6" t="s">
        <v>810</v>
      </c>
      <c r="B3343" s="2"/>
      <c r="C3343" s="2"/>
      <c r="D3343" s="2"/>
      <c r="E3343" s="2"/>
      <c r="F3343" s="2"/>
      <c r="G3343" s="2"/>
      <c r="H3343" s="3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</row>
    <row r="3344">
      <c r="A3344" s="7" t="s">
        <v>2</v>
      </c>
      <c r="B3344" s="7" t="s">
        <v>3</v>
      </c>
      <c r="C3344" s="7" t="s">
        <v>4</v>
      </c>
      <c r="D3344" s="7" t="s">
        <v>5</v>
      </c>
      <c r="E3344" s="7" t="s">
        <v>6</v>
      </c>
      <c r="F3344" s="8" t="s">
        <v>7</v>
      </c>
      <c r="G3344" s="7" t="s">
        <v>8</v>
      </c>
      <c r="H3344" s="9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</row>
    <row r="3345">
      <c r="A3345" s="10">
        <v>1.0</v>
      </c>
      <c r="B3345" s="33" t="s">
        <v>298</v>
      </c>
      <c r="C3345" s="34" t="s">
        <v>811</v>
      </c>
      <c r="D3345" s="13" t="s">
        <v>11</v>
      </c>
      <c r="E3345" s="35">
        <v>1.0</v>
      </c>
      <c r="F3345" s="15">
        <v>293000.0</v>
      </c>
      <c r="G3345" s="16">
        <f t="shared" ref="G3345:G3347" si="222">IFERROR(E3345*F3345,0)</f>
        <v>293000</v>
      </c>
      <c r="H3345" s="17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</row>
    <row r="3346">
      <c r="A3346" s="10">
        <v>2.0</v>
      </c>
      <c r="B3346" s="36" t="s">
        <v>427</v>
      </c>
      <c r="C3346" s="37" t="s">
        <v>812</v>
      </c>
      <c r="D3346" s="20" t="s">
        <v>13</v>
      </c>
      <c r="E3346" s="38">
        <v>2.63</v>
      </c>
      <c r="F3346" s="22">
        <v>435000.0</v>
      </c>
      <c r="G3346" s="16">
        <f t="shared" si="222"/>
        <v>1144050</v>
      </c>
      <c r="H3346" s="17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</row>
    <row r="3347">
      <c r="A3347" s="10">
        <v>3.0</v>
      </c>
      <c r="B3347" s="23" t="s">
        <v>14</v>
      </c>
      <c r="C3347" s="17"/>
      <c r="D3347" s="17"/>
      <c r="E3347" s="17"/>
      <c r="F3347" s="17"/>
      <c r="G3347" s="24">
        <f t="shared" si="222"/>
        <v>0</v>
      </c>
      <c r="H3347" s="17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</row>
    <row r="3348">
      <c r="A3348" s="25" t="s">
        <v>15</v>
      </c>
      <c r="B3348" s="2"/>
      <c r="C3348" s="2"/>
      <c r="D3348" s="2"/>
      <c r="E3348" s="2"/>
      <c r="F3348" s="2"/>
      <c r="G3348" s="3"/>
      <c r="H3348" s="26">
        <f>SUM(G3345:G3347)</f>
        <v>1437050</v>
      </c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</row>
    <row r="3349">
      <c r="A3349" s="25" t="s">
        <v>16</v>
      </c>
      <c r="B3349" s="2"/>
      <c r="C3349" s="2"/>
      <c r="D3349" s="2"/>
      <c r="E3349" s="2"/>
      <c r="F3349" s="2"/>
      <c r="G3349" s="3"/>
      <c r="H3349" s="26">
        <f>MAX(0,H3348-648000)</f>
        <v>789050</v>
      </c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</row>
    <row r="3350">
      <c r="A3350" s="27" t="s">
        <v>17</v>
      </c>
      <c r="B3350" s="2"/>
      <c r="C3350" s="2"/>
      <c r="D3350" s="2"/>
      <c r="E3350" s="2"/>
      <c r="F3350" s="2"/>
      <c r="G3350" s="3"/>
      <c r="H3350" s="28">
        <v>649000.0</v>
      </c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</row>
    <row r="3351">
      <c r="A3351" s="1" t="s">
        <v>18</v>
      </c>
      <c r="B3351" s="2"/>
      <c r="C3351" s="2"/>
      <c r="D3351" s="2"/>
      <c r="E3351" s="2"/>
      <c r="F3351" s="2"/>
      <c r="G3351" s="2"/>
      <c r="H3351" s="3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</row>
    <row r="3360" ht="29.25" customHeight="1">
      <c r="A3360" s="1" t="s">
        <v>0</v>
      </c>
      <c r="B3360" s="2"/>
      <c r="C3360" s="2"/>
      <c r="D3360" s="2"/>
      <c r="E3360" s="2"/>
      <c r="F3360" s="2"/>
      <c r="G3360" s="2"/>
      <c r="H3360" s="3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</row>
    <row r="3361">
      <c r="A3361" s="6" t="s">
        <v>813</v>
      </c>
      <c r="B3361" s="2"/>
      <c r="C3361" s="2"/>
      <c r="D3361" s="2"/>
      <c r="E3361" s="2"/>
      <c r="F3361" s="2"/>
      <c r="G3361" s="2"/>
      <c r="H3361" s="3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</row>
    <row r="3362">
      <c r="A3362" s="7" t="s">
        <v>2</v>
      </c>
      <c r="B3362" s="7" t="s">
        <v>3</v>
      </c>
      <c r="C3362" s="7" t="s">
        <v>4</v>
      </c>
      <c r="D3362" s="7" t="s">
        <v>5</v>
      </c>
      <c r="E3362" s="7" t="s">
        <v>6</v>
      </c>
      <c r="F3362" s="8" t="s">
        <v>7</v>
      </c>
      <c r="G3362" s="7" t="s">
        <v>8</v>
      </c>
      <c r="H3362" s="9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</row>
    <row r="3363">
      <c r="A3363" s="10">
        <v>1.0</v>
      </c>
      <c r="B3363" s="33" t="s">
        <v>41</v>
      </c>
      <c r="C3363" s="34" t="s">
        <v>814</v>
      </c>
      <c r="D3363" s="13" t="s">
        <v>11</v>
      </c>
      <c r="E3363" s="35">
        <v>1.56</v>
      </c>
      <c r="F3363" s="15">
        <v>293000.0</v>
      </c>
      <c r="G3363" s="16">
        <f t="shared" ref="G3363:G3365" si="223">IFERROR(E3363*F3363,0)</f>
        <v>457080</v>
      </c>
      <c r="H3363" s="17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</row>
    <row r="3364">
      <c r="A3364" s="10">
        <v>2.0</v>
      </c>
      <c r="B3364" s="36" t="s">
        <v>263</v>
      </c>
      <c r="C3364" s="37" t="s">
        <v>815</v>
      </c>
      <c r="D3364" s="20" t="s">
        <v>13</v>
      </c>
      <c r="E3364" s="38">
        <v>2.0</v>
      </c>
      <c r="F3364" s="22">
        <v>435000.0</v>
      </c>
      <c r="G3364" s="16">
        <f t="shared" si="223"/>
        <v>870000</v>
      </c>
      <c r="H3364" s="17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</row>
    <row r="3365">
      <c r="A3365" s="10">
        <v>3.0</v>
      </c>
      <c r="B3365" s="23" t="s">
        <v>14</v>
      </c>
      <c r="C3365" s="17"/>
      <c r="D3365" s="17"/>
      <c r="E3365" s="17"/>
      <c r="F3365" s="17"/>
      <c r="G3365" s="24">
        <f t="shared" si="223"/>
        <v>0</v>
      </c>
      <c r="H3365" s="17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</row>
    <row r="3366">
      <c r="A3366" s="25" t="s">
        <v>15</v>
      </c>
      <c r="B3366" s="2"/>
      <c r="C3366" s="2"/>
      <c r="D3366" s="2"/>
      <c r="E3366" s="2"/>
      <c r="F3366" s="2"/>
      <c r="G3366" s="3"/>
      <c r="H3366" s="26">
        <f>SUM(G3363:G3365)</f>
        <v>1327080</v>
      </c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</row>
    <row r="3367">
      <c r="A3367" s="25" t="s">
        <v>16</v>
      </c>
      <c r="B3367" s="2"/>
      <c r="C3367" s="2"/>
      <c r="D3367" s="2"/>
      <c r="E3367" s="2"/>
      <c r="F3367" s="2"/>
      <c r="G3367" s="3"/>
      <c r="H3367" s="26">
        <f>MAX(0,H3366-648000)</f>
        <v>679080</v>
      </c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</row>
    <row r="3368">
      <c r="A3368" s="27" t="s">
        <v>17</v>
      </c>
      <c r="B3368" s="2"/>
      <c r="C3368" s="2"/>
      <c r="D3368" s="2"/>
      <c r="E3368" s="2"/>
      <c r="F3368" s="2"/>
      <c r="G3368" s="3"/>
      <c r="H3368" s="28">
        <v>649000.0</v>
      </c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</row>
    <row r="3369">
      <c r="A3369" s="1" t="s">
        <v>18</v>
      </c>
      <c r="B3369" s="2"/>
      <c r="C3369" s="2"/>
      <c r="D3369" s="2"/>
      <c r="E3369" s="2"/>
      <c r="F3369" s="2"/>
      <c r="G3369" s="2"/>
      <c r="H3369" s="3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</row>
    <row r="3375" ht="29.25" customHeight="1">
      <c r="A3375" s="1" t="s">
        <v>0</v>
      </c>
      <c r="B3375" s="2"/>
      <c r="C3375" s="2"/>
      <c r="D3375" s="2"/>
      <c r="E3375" s="2"/>
      <c r="F3375" s="2"/>
      <c r="G3375" s="2"/>
      <c r="H3375" s="3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</row>
    <row r="3376">
      <c r="A3376" s="6" t="s">
        <v>816</v>
      </c>
      <c r="B3376" s="2"/>
      <c r="C3376" s="2"/>
      <c r="D3376" s="2"/>
      <c r="E3376" s="2"/>
      <c r="F3376" s="2"/>
      <c r="G3376" s="2"/>
      <c r="H3376" s="3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</row>
    <row r="3377">
      <c r="A3377" s="7" t="s">
        <v>2</v>
      </c>
      <c r="B3377" s="7" t="s">
        <v>3</v>
      </c>
      <c r="C3377" s="7" t="s">
        <v>4</v>
      </c>
      <c r="D3377" s="7" t="s">
        <v>5</v>
      </c>
      <c r="E3377" s="7" t="s">
        <v>6</v>
      </c>
      <c r="F3377" s="8" t="s">
        <v>7</v>
      </c>
      <c r="G3377" s="7" t="s">
        <v>8</v>
      </c>
      <c r="H3377" s="9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</row>
    <row r="3378">
      <c r="A3378" s="10">
        <v>1.0</v>
      </c>
      <c r="B3378" s="33" t="s">
        <v>606</v>
      </c>
      <c r="C3378" s="34" t="s">
        <v>817</v>
      </c>
      <c r="D3378" s="13" t="s">
        <v>11</v>
      </c>
      <c r="E3378" s="35">
        <v>1.5</v>
      </c>
      <c r="F3378" s="15">
        <v>293000.0</v>
      </c>
      <c r="G3378" s="16">
        <f t="shared" ref="G3378:G3380" si="224">IFERROR(E3378*F3378,0)</f>
        <v>439500</v>
      </c>
      <c r="H3378" s="17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</row>
    <row r="3379">
      <c r="A3379" s="10">
        <v>2.0</v>
      </c>
      <c r="B3379" s="36" t="s">
        <v>151</v>
      </c>
      <c r="C3379" s="37" t="s">
        <v>799</v>
      </c>
      <c r="D3379" s="20" t="s">
        <v>13</v>
      </c>
      <c r="E3379" s="38">
        <v>2.0</v>
      </c>
      <c r="F3379" s="22">
        <v>435000.0</v>
      </c>
      <c r="G3379" s="16">
        <f t="shared" si="224"/>
        <v>870000</v>
      </c>
      <c r="H3379" s="17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</row>
    <row r="3380">
      <c r="A3380" s="10">
        <v>3.0</v>
      </c>
      <c r="B3380" s="23" t="s">
        <v>14</v>
      </c>
      <c r="C3380" s="17"/>
      <c r="D3380" s="17"/>
      <c r="E3380" s="17"/>
      <c r="F3380" s="17"/>
      <c r="G3380" s="24">
        <f t="shared" si="224"/>
        <v>0</v>
      </c>
      <c r="H3380" s="17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</row>
    <row r="3381">
      <c r="A3381" s="25" t="s">
        <v>15</v>
      </c>
      <c r="B3381" s="2"/>
      <c r="C3381" s="2"/>
      <c r="D3381" s="2"/>
      <c r="E3381" s="2"/>
      <c r="F3381" s="2"/>
      <c r="G3381" s="3"/>
      <c r="H3381" s="26">
        <f>SUM(G3378:G3380)</f>
        <v>1309500</v>
      </c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</row>
    <row r="3382">
      <c r="A3382" s="25" t="s">
        <v>16</v>
      </c>
      <c r="B3382" s="2"/>
      <c r="C3382" s="2"/>
      <c r="D3382" s="2"/>
      <c r="E3382" s="2"/>
      <c r="F3382" s="2"/>
      <c r="G3382" s="3"/>
      <c r="H3382" s="26">
        <f>MAX(0,H3381-648000)</f>
        <v>661500</v>
      </c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</row>
    <row r="3383">
      <c r="A3383" s="27" t="s">
        <v>17</v>
      </c>
      <c r="B3383" s="2"/>
      <c r="C3383" s="2"/>
      <c r="D3383" s="2"/>
      <c r="E3383" s="2"/>
      <c r="F3383" s="2"/>
      <c r="G3383" s="3"/>
      <c r="H3383" s="28">
        <v>649000.0</v>
      </c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</row>
    <row r="3384">
      <c r="A3384" s="1" t="s">
        <v>18</v>
      </c>
      <c r="B3384" s="2"/>
      <c r="C3384" s="2"/>
      <c r="D3384" s="2"/>
      <c r="E3384" s="2"/>
      <c r="F3384" s="2"/>
      <c r="G3384" s="2"/>
      <c r="H3384" s="3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</row>
    <row r="3390" ht="29.25" customHeight="1">
      <c r="A3390" s="1" t="s">
        <v>0</v>
      </c>
      <c r="B3390" s="2"/>
      <c r="C3390" s="2"/>
      <c r="D3390" s="2"/>
      <c r="E3390" s="2"/>
      <c r="F3390" s="2"/>
      <c r="G3390" s="2"/>
      <c r="H3390" s="3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</row>
    <row r="3391">
      <c r="A3391" s="6" t="s">
        <v>818</v>
      </c>
      <c r="B3391" s="2"/>
      <c r="C3391" s="2"/>
      <c r="D3391" s="2"/>
      <c r="E3391" s="2"/>
      <c r="F3391" s="2"/>
      <c r="G3391" s="2"/>
      <c r="H3391" s="3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</row>
    <row r="3392">
      <c r="A3392" s="7" t="s">
        <v>2</v>
      </c>
      <c r="B3392" s="7" t="s">
        <v>3</v>
      </c>
      <c r="C3392" s="7" t="s">
        <v>4</v>
      </c>
      <c r="D3392" s="7" t="s">
        <v>5</v>
      </c>
      <c r="E3392" s="7" t="s">
        <v>6</v>
      </c>
      <c r="F3392" s="8" t="s">
        <v>7</v>
      </c>
      <c r="G3392" s="7" t="s">
        <v>8</v>
      </c>
      <c r="H3392" s="9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</row>
    <row r="3393">
      <c r="A3393" s="10">
        <v>1.0</v>
      </c>
      <c r="B3393" s="33" t="s">
        <v>363</v>
      </c>
      <c r="C3393" s="34" t="s">
        <v>819</v>
      </c>
      <c r="D3393" s="13" t="s">
        <v>11</v>
      </c>
      <c r="E3393" s="35">
        <v>1.44</v>
      </c>
      <c r="F3393" s="15">
        <v>293000.0</v>
      </c>
      <c r="G3393" s="16">
        <f t="shared" ref="G3393:G3395" si="225">IFERROR(E3393*F3393,0)</f>
        <v>421920</v>
      </c>
      <c r="H3393" s="17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</row>
    <row r="3394">
      <c r="A3394" s="10">
        <v>2.0</v>
      </c>
      <c r="B3394" s="36" t="s">
        <v>98</v>
      </c>
      <c r="C3394" s="37" t="s">
        <v>80</v>
      </c>
      <c r="D3394" s="20" t="s">
        <v>13</v>
      </c>
      <c r="E3394" s="38">
        <v>2.0</v>
      </c>
      <c r="F3394" s="22">
        <v>435000.0</v>
      </c>
      <c r="G3394" s="16">
        <f t="shared" si="225"/>
        <v>870000</v>
      </c>
      <c r="H3394" s="17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</row>
    <row r="3395">
      <c r="A3395" s="10">
        <v>3.0</v>
      </c>
      <c r="B3395" s="23" t="s">
        <v>14</v>
      </c>
      <c r="C3395" s="17"/>
      <c r="D3395" s="17"/>
      <c r="E3395" s="17"/>
      <c r="F3395" s="17"/>
      <c r="G3395" s="24">
        <f t="shared" si="225"/>
        <v>0</v>
      </c>
      <c r="H3395" s="17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</row>
    <row r="3396">
      <c r="A3396" s="25" t="s">
        <v>15</v>
      </c>
      <c r="B3396" s="2"/>
      <c r="C3396" s="2"/>
      <c r="D3396" s="2"/>
      <c r="E3396" s="2"/>
      <c r="F3396" s="2"/>
      <c r="G3396" s="3"/>
      <c r="H3396" s="26">
        <f>SUM(G3393:G3395)</f>
        <v>1291920</v>
      </c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</row>
    <row r="3397">
      <c r="A3397" s="25" t="s">
        <v>16</v>
      </c>
      <c r="B3397" s="2"/>
      <c r="C3397" s="2"/>
      <c r="D3397" s="2"/>
      <c r="E3397" s="2"/>
      <c r="F3397" s="2"/>
      <c r="G3397" s="3"/>
      <c r="H3397" s="26">
        <f>MAX(0,H3396-648000)</f>
        <v>643920</v>
      </c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</row>
    <row r="3398">
      <c r="A3398" s="27" t="s">
        <v>17</v>
      </c>
      <c r="B3398" s="2"/>
      <c r="C3398" s="2"/>
      <c r="D3398" s="2"/>
      <c r="E3398" s="2"/>
      <c r="F3398" s="2"/>
      <c r="G3398" s="3"/>
      <c r="H3398" s="28">
        <v>649000.0</v>
      </c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</row>
    <row r="3399">
      <c r="A3399" s="1" t="s">
        <v>18</v>
      </c>
      <c r="B3399" s="2"/>
      <c r="C3399" s="2"/>
      <c r="D3399" s="2"/>
      <c r="E3399" s="2"/>
      <c r="F3399" s="2"/>
      <c r="G3399" s="2"/>
      <c r="H3399" s="3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</row>
    <row r="3405" ht="29.25" customHeight="1">
      <c r="A3405" s="1" t="s">
        <v>0</v>
      </c>
      <c r="B3405" s="2"/>
      <c r="C3405" s="2"/>
      <c r="D3405" s="2"/>
      <c r="E3405" s="2"/>
      <c r="F3405" s="2"/>
      <c r="G3405" s="2"/>
      <c r="H3405" s="3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</row>
    <row r="3406">
      <c r="A3406" s="6" t="s">
        <v>820</v>
      </c>
      <c r="B3406" s="2"/>
      <c r="C3406" s="2"/>
      <c r="D3406" s="2"/>
      <c r="E3406" s="2"/>
      <c r="F3406" s="2"/>
      <c r="G3406" s="2"/>
      <c r="H3406" s="3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</row>
    <row r="3407">
      <c r="A3407" s="7" t="s">
        <v>2</v>
      </c>
      <c r="B3407" s="7" t="s">
        <v>3</v>
      </c>
      <c r="C3407" s="7" t="s">
        <v>4</v>
      </c>
      <c r="D3407" s="7" t="s">
        <v>5</v>
      </c>
      <c r="E3407" s="7" t="s">
        <v>6</v>
      </c>
      <c r="F3407" s="8" t="s">
        <v>7</v>
      </c>
      <c r="G3407" s="7" t="s">
        <v>8</v>
      </c>
      <c r="H3407" s="9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</row>
    <row r="3408">
      <c r="A3408" s="10">
        <v>1.0</v>
      </c>
      <c r="B3408" s="33" t="s">
        <v>157</v>
      </c>
      <c r="C3408" s="34" t="s">
        <v>821</v>
      </c>
      <c r="D3408" s="13" t="s">
        <v>11</v>
      </c>
      <c r="E3408" s="35">
        <v>1.42</v>
      </c>
      <c r="F3408" s="15">
        <v>293000.0</v>
      </c>
      <c r="G3408" s="16">
        <f t="shared" ref="G3408:G3410" si="226">IFERROR(E3408*F3408,0)</f>
        <v>416060</v>
      </c>
      <c r="H3408" s="17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</row>
    <row r="3409">
      <c r="A3409" s="10">
        <v>2.0</v>
      </c>
      <c r="B3409" s="36" t="s">
        <v>151</v>
      </c>
      <c r="C3409" s="37" t="s">
        <v>822</v>
      </c>
      <c r="D3409" s="20" t="s">
        <v>13</v>
      </c>
      <c r="E3409" s="38">
        <v>2.0</v>
      </c>
      <c r="F3409" s="22">
        <v>435000.0</v>
      </c>
      <c r="G3409" s="16">
        <f t="shared" si="226"/>
        <v>870000</v>
      </c>
      <c r="H3409" s="17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</row>
    <row r="3410">
      <c r="A3410" s="10">
        <v>3.0</v>
      </c>
      <c r="B3410" s="23" t="s">
        <v>14</v>
      </c>
      <c r="C3410" s="17"/>
      <c r="D3410" s="17"/>
      <c r="E3410" s="17"/>
      <c r="F3410" s="17"/>
      <c r="G3410" s="24">
        <f t="shared" si="226"/>
        <v>0</v>
      </c>
      <c r="H3410" s="17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  <row r="3411">
      <c r="A3411" s="25" t="s">
        <v>15</v>
      </c>
      <c r="B3411" s="2"/>
      <c r="C3411" s="2"/>
      <c r="D3411" s="2"/>
      <c r="E3411" s="2"/>
      <c r="F3411" s="2"/>
      <c r="G3411" s="3"/>
      <c r="H3411" s="26">
        <f>SUM(G3408:G3410)</f>
        <v>1286060</v>
      </c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</row>
    <row r="3412">
      <c r="A3412" s="25" t="s">
        <v>16</v>
      </c>
      <c r="B3412" s="2"/>
      <c r="C3412" s="2"/>
      <c r="D3412" s="2"/>
      <c r="E3412" s="2"/>
      <c r="F3412" s="2"/>
      <c r="G3412" s="3"/>
      <c r="H3412" s="26">
        <f>MAX(0,H3411-648000)</f>
        <v>638060</v>
      </c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</row>
    <row r="3413">
      <c r="A3413" s="27" t="s">
        <v>17</v>
      </c>
      <c r="B3413" s="2"/>
      <c r="C3413" s="2"/>
      <c r="D3413" s="2"/>
      <c r="E3413" s="2"/>
      <c r="F3413" s="2"/>
      <c r="G3413" s="3"/>
      <c r="H3413" s="28">
        <v>649000.0</v>
      </c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</row>
    <row r="3414">
      <c r="A3414" s="1" t="s">
        <v>18</v>
      </c>
      <c r="B3414" s="2"/>
      <c r="C3414" s="2"/>
      <c r="D3414" s="2"/>
      <c r="E3414" s="2"/>
      <c r="F3414" s="2"/>
      <c r="G3414" s="2"/>
      <c r="H3414" s="3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</row>
    <row r="3420" ht="29.25" customHeight="1">
      <c r="A3420" s="1" t="s">
        <v>0</v>
      </c>
      <c r="B3420" s="2"/>
      <c r="C3420" s="2"/>
      <c r="D3420" s="2"/>
      <c r="E3420" s="2"/>
      <c r="F3420" s="2"/>
      <c r="G3420" s="2"/>
      <c r="H3420" s="3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</row>
    <row r="3421">
      <c r="A3421" s="6" t="s">
        <v>823</v>
      </c>
      <c r="B3421" s="2"/>
      <c r="C3421" s="2"/>
      <c r="D3421" s="2"/>
      <c r="E3421" s="2"/>
      <c r="F3421" s="2"/>
      <c r="G3421" s="2"/>
      <c r="H3421" s="3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</row>
    <row r="3422">
      <c r="A3422" s="7" t="s">
        <v>2</v>
      </c>
      <c r="B3422" s="7" t="s">
        <v>3</v>
      </c>
      <c r="C3422" s="7" t="s">
        <v>4</v>
      </c>
      <c r="D3422" s="7" t="s">
        <v>5</v>
      </c>
      <c r="E3422" s="7" t="s">
        <v>6</v>
      </c>
      <c r="F3422" s="8" t="s">
        <v>7</v>
      </c>
      <c r="G3422" s="7" t="s">
        <v>8</v>
      </c>
      <c r="H3422" s="9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</row>
    <row r="3423">
      <c r="A3423" s="10">
        <v>1.0</v>
      </c>
      <c r="B3423" s="33" t="s">
        <v>824</v>
      </c>
      <c r="C3423" s="34" t="s">
        <v>825</v>
      </c>
      <c r="D3423" s="13" t="s">
        <v>11</v>
      </c>
      <c r="E3423" s="35">
        <v>1.44</v>
      </c>
      <c r="F3423" s="15">
        <v>293000.0</v>
      </c>
      <c r="G3423" s="16">
        <f t="shared" ref="G3423:G3425" si="227">IFERROR(E3423*F3423,0)</f>
        <v>421920</v>
      </c>
      <c r="H3423" s="17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</row>
    <row r="3424">
      <c r="A3424" s="10">
        <v>2.0</v>
      </c>
      <c r="B3424" s="36" t="s">
        <v>151</v>
      </c>
      <c r="C3424" s="37" t="s">
        <v>822</v>
      </c>
      <c r="D3424" s="20" t="s">
        <v>13</v>
      </c>
      <c r="E3424" s="38">
        <v>2.0</v>
      </c>
      <c r="F3424" s="22">
        <v>435000.0</v>
      </c>
      <c r="G3424" s="16">
        <f t="shared" si="227"/>
        <v>870000</v>
      </c>
      <c r="H3424" s="17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</row>
    <row r="3425">
      <c r="A3425" s="10">
        <v>3.0</v>
      </c>
      <c r="B3425" s="23" t="s">
        <v>14</v>
      </c>
      <c r="C3425" s="17"/>
      <c r="D3425" s="17"/>
      <c r="E3425" s="17"/>
      <c r="F3425" s="17"/>
      <c r="G3425" s="24">
        <f t="shared" si="227"/>
        <v>0</v>
      </c>
      <c r="H3425" s="17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</row>
    <row r="3426">
      <c r="A3426" s="25" t="s">
        <v>15</v>
      </c>
      <c r="B3426" s="2"/>
      <c r="C3426" s="2"/>
      <c r="D3426" s="2"/>
      <c r="E3426" s="2"/>
      <c r="F3426" s="2"/>
      <c r="G3426" s="3"/>
      <c r="H3426" s="26">
        <f>SUM(G3423:G3425)</f>
        <v>1291920</v>
      </c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</row>
    <row r="3427">
      <c r="A3427" s="25" t="s">
        <v>16</v>
      </c>
      <c r="B3427" s="2"/>
      <c r="C3427" s="2"/>
      <c r="D3427" s="2"/>
      <c r="E3427" s="2"/>
      <c r="F3427" s="2"/>
      <c r="G3427" s="3"/>
      <c r="H3427" s="26">
        <f>MAX(0,H3426-648000)</f>
        <v>643920</v>
      </c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</row>
    <row r="3428">
      <c r="A3428" s="27" t="s">
        <v>17</v>
      </c>
      <c r="B3428" s="2"/>
      <c r="C3428" s="2"/>
      <c r="D3428" s="2"/>
      <c r="E3428" s="2"/>
      <c r="F3428" s="2"/>
      <c r="G3428" s="3"/>
      <c r="H3428" s="28">
        <v>649000.0</v>
      </c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</row>
    <row r="3429">
      <c r="A3429" s="1" t="s">
        <v>18</v>
      </c>
      <c r="B3429" s="2"/>
      <c r="C3429" s="2"/>
      <c r="D3429" s="2"/>
      <c r="E3429" s="2"/>
      <c r="F3429" s="2"/>
      <c r="G3429" s="2"/>
      <c r="H3429" s="3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</row>
    <row r="3434" ht="29.25" customHeight="1">
      <c r="A3434" s="1" t="s">
        <v>0</v>
      </c>
      <c r="B3434" s="2"/>
      <c r="C3434" s="2"/>
      <c r="D3434" s="2"/>
      <c r="E3434" s="2"/>
      <c r="F3434" s="2"/>
      <c r="G3434" s="2"/>
      <c r="H3434" s="3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</row>
    <row r="3435">
      <c r="A3435" s="6" t="s">
        <v>826</v>
      </c>
      <c r="B3435" s="2"/>
      <c r="C3435" s="2"/>
      <c r="D3435" s="2"/>
      <c r="E3435" s="2"/>
      <c r="F3435" s="2"/>
      <c r="G3435" s="2"/>
      <c r="H3435" s="3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</row>
    <row r="3436">
      <c r="A3436" s="7" t="s">
        <v>2</v>
      </c>
      <c r="B3436" s="7" t="s">
        <v>3</v>
      </c>
      <c r="C3436" s="7" t="s">
        <v>4</v>
      </c>
      <c r="D3436" s="7" t="s">
        <v>5</v>
      </c>
      <c r="E3436" s="7" t="s">
        <v>6</v>
      </c>
      <c r="F3436" s="8" t="s">
        <v>7</v>
      </c>
      <c r="G3436" s="7" t="s">
        <v>8</v>
      </c>
      <c r="H3436" s="9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</row>
    <row r="3437">
      <c r="A3437" s="10">
        <v>1.0</v>
      </c>
      <c r="B3437" s="33" t="s">
        <v>98</v>
      </c>
      <c r="C3437" s="34" t="s">
        <v>827</v>
      </c>
      <c r="D3437" s="13" t="s">
        <v>11</v>
      </c>
      <c r="E3437" s="35">
        <v>1.5</v>
      </c>
      <c r="F3437" s="15">
        <v>293000.0</v>
      </c>
      <c r="G3437" s="16">
        <f t="shared" ref="G3437:G3439" si="228">IFERROR(E3437*F3437,0)</f>
        <v>439500</v>
      </c>
      <c r="H3437" s="17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</row>
    <row r="3438">
      <c r="A3438" s="10">
        <v>2.0</v>
      </c>
      <c r="B3438" s="36" t="s">
        <v>151</v>
      </c>
      <c r="C3438" s="37" t="s">
        <v>822</v>
      </c>
      <c r="D3438" s="20" t="s">
        <v>13</v>
      </c>
      <c r="E3438" s="38">
        <v>2.0</v>
      </c>
      <c r="F3438" s="22">
        <v>435000.0</v>
      </c>
      <c r="G3438" s="16">
        <f t="shared" si="228"/>
        <v>870000</v>
      </c>
      <c r="H3438" s="17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</row>
    <row r="3439">
      <c r="A3439" s="10">
        <v>3.0</v>
      </c>
      <c r="B3439" s="23" t="s">
        <v>14</v>
      </c>
      <c r="C3439" s="17"/>
      <c r="D3439" s="17"/>
      <c r="E3439" s="17"/>
      <c r="F3439" s="17"/>
      <c r="G3439" s="24">
        <f t="shared" si="228"/>
        <v>0</v>
      </c>
      <c r="H3439" s="17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</row>
    <row r="3440">
      <c r="A3440" s="25" t="s">
        <v>15</v>
      </c>
      <c r="B3440" s="2"/>
      <c r="C3440" s="2"/>
      <c r="D3440" s="2"/>
      <c r="E3440" s="2"/>
      <c r="F3440" s="2"/>
      <c r="G3440" s="3"/>
      <c r="H3440" s="26">
        <f>SUM(G3437:G3439)</f>
        <v>1309500</v>
      </c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</row>
    <row r="3441">
      <c r="A3441" s="25" t="s">
        <v>16</v>
      </c>
      <c r="B3441" s="2"/>
      <c r="C3441" s="2"/>
      <c r="D3441" s="2"/>
      <c r="E3441" s="2"/>
      <c r="F3441" s="2"/>
      <c r="G3441" s="3"/>
      <c r="H3441" s="26">
        <f>MAX(0,H3440-648000)</f>
        <v>661500</v>
      </c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</row>
    <row r="3442">
      <c r="A3442" s="27" t="s">
        <v>17</v>
      </c>
      <c r="B3442" s="2"/>
      <c r="C3442" s="2"/>
      <c r="D3442" s="2"/>
      <c r="E3442" s="2"/>
      <c r="F3442" s="2"/>
      <c r="G3442" s="3"/>
      <c r="H3442" s="28">
        <v>649000.0</v>
      </c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</row>
    <row r="3443">
      <c r="A3443" s="1" t="s">
        <v>18</v>
      </c>
      <c r="B3443" s="2"/>
      <c r="C3443" s="2"/>
      <c r="D3443" s="2"/>
      <c r="E3443" s="2"/>
      <c r="F3443" s="2"/>
      <c r="G3443" s="2"/>
      <c r="H3443" s="3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</row>
    <row r="3451" ht="29.25" customHeight="1">
      <c r="A3451" s="1" t="s">
        <v>0</v>
      </c>
      <c r="B3451" s="2"/>
      <c r="C3451" s="2"/>
      <c r="D3451" s="2"/>
      <c r="E3451" s="2"/>
      <c r="F3451" s="2"/>
      <c r="G3451" s="2"/>
      <c r="H3451" s="3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</row>
    <row r="3452">
      <c r="A3452" s="6" t="s">
        <v>828</v>
      </c>
      <c r="B3452" s="2"/>
      <c r="C3452" s="2"/>
      <c r="D3452" s="2"/>
      <c r="E3452" s="2"/>
      <c r="F3452" s="2"/>
      <c r="G3452" s="2"/>
      <c r="H3452" s="3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</row>
    <row r="3453">
      <c r="A3453" s="7" t="s">
        <v>2</v>
      </c>
      <c r="B3453" s="7" t="s">
        <v>3</v>
      </c>
      <c r="C3453" s="7" t="s">
        <v>4</v>
      </c>
      <c r="D3453" s="7" t="s">
        <v>5</v>
      </c>
      <c r="E3453" s="7" t="s">
        <v>6</v>
      </c>
      <c r="F3453" s="8" t="s">
        <v>7</v>
      </c>
      <c r="G3453" s="7" t="s">
        <v>8</v>
      </c>
      <c r="H3453" s="9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</row>
    <row r="3454">
      <c r="A3454" s="10">
        <v>1.0</v>
      </c>
      <c r="B3454" s="36" t="s">
        <v>379</v>
      </c>
      <c r="C3454" s="37" t="s">
        <v>829</v>
      </c>
      <c r="D3454" s="13" t="s">
        <v>11</v>
      </c>
      <c r="E3454" s="35">
        <v>2.0</v>
      </c>
      <c r="F3454" s="15">
        <v>293000.0</v>
      </c>
      <c r="G3454" s="16">
        <f t="shared" ref="G3454:G3456" si="229">IFERROR(E3454*F3454,0)</f>
        <v>586000</v>
      </c>
      <c r="H3454" s="17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</row>
    <row r="3455">
      <c r="A3455" s="10">
        <v>2.0</v>
      </c>
      <c r="B3455" s="36" t="s">
        <v>65</v>
      </c>
      <c r="C3455" s="37" t="s">
        <v>830</v>
      </c>
      <c r="D3455" s="20" t="s">
        <v>13</v>
      </c>
      <c r="E3455" s="38">
        <v>1.48</v>
      </c>
      <c r="F3455" s="22">
        <v>435000.0</v>
      </c>
      <c r="G3455" s="16">
        <f t="shared" si="229"/>
        <v>643800</v>
      </c>
      <c r="H3455" s="17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</row>
    <row r="3456">
      <c r="A3456" s="10">
        <v>3.0</v>
      </c>
      <c r="B3456" s="23" t="s">
        <v>14</v>
      </c>
      <c r="C3456" s="17"/>
      <c r="D3456" s="17"/>
      <c r="E3456" s="17"/>
      <c r="F3456" s="17"/>
      <c r="G3456" s="24">
        <f t="shared" si="229"/>
        <v>0</v>
      </c>
      <c r="H3456" s="17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</row>
    <row r="3457">
      <c r="A3457" s="25" t="s">
        <v>15</v>
      </c>
      <c r="B3457" s="2"/>
      <c r="C3457" s="2"/>
      <c r="D3457" s="2"/>
      <c r="E3457" s="2"/>
      <c r="F3457" s="2"/>
      <c r="G3457" s="3"/>
      <c r="H3457" s="26">
        <f>SUM(G3454:G3456)</f>
        <v>1229800</v>
      </c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</row>
    <row r="3458">
      <c r="A3458" s="25" t="s">
        <v>16</v>
      </c>
      <c r="B3458" s="2"/>
      <c r="C3458" s="2"/>
      <c r="D3458" s="2"/>
      <c r="E3458" s="2"/>
      <c r="F3458" s="2"/>
      <c r="G3458" s="3"/>
      <c r="H3458" s="26">
        <f>MAX(0,H3457-648000)</f>
        <v>581800</v>
      </c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</row>
    <row r="3459">
      <c r="A3459" s="27" t="s">
        <v>17</v>
      </c>
      <c r="B3459" s="2"/>
      <c r="C3459" s="2"/>
      <c r="D3459" s="2"/>
      <c r="E3459" s="2"/>
      <c r="F3459" s="2"/>
      <c r="G3459" s="3"/>
      <c r="H3459" s="28">
        <v>649000.0</v>
      </c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</row>
    <row r="3460">
      <c r="A3460" s="1" t="s">
        <v>18</v>
      </c>
      <c r="B3460" s="2"/>
      <c r="C3460" s="2"/>
      <c r="D3460" s="2"/>
      <c r="E3460" s="2"/>
      <c r="F3460" s="2"/>
      <c r="G3460" s="2"/>
      <c r="H3460" s="3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</row>
    <row r="3468" ht="29.25" customHeight="1">
      <c r="A3468" s="1" t="s">
        <v>0</v>
      </c>
      <c r="B3468" s="2"/>
      <c r="C3468" s="2"/>
      <c r="D3468" s="2"/>
      <c r="E3468" s="2"/>
      <c r="F3468" s="2"/>
      <c r="G3468" s="2"/>
      <c r="H3468" s="3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</row>
    <row r="3469">
      <c r="A3469" s="6" t="s">
        <v>831</v>
      </c>
      <c r="B3469" s="2"/>
      <c r="C3469" s="2"/>
      <c r="D3469" s="2"/>
      <c r="E3469" s="2"/>
      <c r="F3469" s="2"/>
      <c r="G3469" s="2"/>
      <c r="H3469" s="3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</row>
    <row r="3470">
      <c r="A3470" s="7" t="s">
        <v>2</v>
      </c>
      <c r="B3470" s="7" t="s">
        <v>3</v>
      </c>
      <c r="C3470" s="7" t="s">
        <v>4</v>
      </c>
      <c r="D3470" s="7" t="s">
        <v>5</v>
      </c>
      <c r="E3470" s="7" t="s">
        <v>6</v>
      </c>
      <c r="F3470" s="8" t="s">
        <v>7</v>
      </c>
      <c r="G3470" s="7" t="s">
        <v>8</v>
      </c>
      <c r="H3470" s="9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</row>
    <row r="3471">
      <c r="A3471" s="10">
        <v>1.0</v>
      </c>
      <c r="B3471" s="33" t="s">
        <v>832</v>
      </c>
      <c r="C3471" s="34" t="s">
        <v>833</v>
      </c>
      <c r="D3471" s="13" t="s">
        <v>11</v>
      </c>
      <c r="E3471" s="35">
        <v>1.45</v>
      </c>
      <c r="F3471" s="15">
        <v>293000.0</v>
      </c>
      <c r="G3471" s="16">
        <f t="shared" ref="G3471:G3473" si="230">IFERROR(E3471*F3471,0)</f>
        <v>424850</v>
      </c>
      <c r="H3471" s="17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</row>
    <row r="3472">
      <c r="A3472" s="10">
        <v>2.0</v>
      </c>
      <c r="B3472" s="36" t="s">
        <v>151</v>
      </c>
      <c r="C3472" s="37" t="s">
        <v>822</v>
      </c>
      <c r="D3472" s="20" t="s">
        <v>13</v>
      </c>
      <c r="E3472" s="38">
        <v>2.0</v>
      </c>
      <c r="F3472" s="22">
        <v>435000.0</v>
      </c>
      <c r="G3472" s="16">
        <f t="shared" si="230"/>
        <v>870000</v>
      </c>
      <c r="H3472" s="17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</row>
    <row r="3473">
      <c r="A3473" s="10">
        <v>3.0</v>
      </c>
      <c r="B3473" s="23" t="s">
        <v>14</v>
      </c>
      <c r="C3473" s="17"/>
      <c r="D3473" s="17"/>
      <c r="E3473" s="17"/>
      <c r="F3473" s="17"/>
      <c r="G3473" s="24">
        <f t="shared" si="230"/>
        <v>0</v>
      </c>
      <c r="H3473" s="17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</row>
    <row r="3474">
      <c r="A3474" s="25" t="s">
        <v>15</v>
      </c>
      <c r="B3474" s="2"/>
      <c r="C3474" s="2"/>
      <c r="D3474" s="2"/>
      <c r="E3474" s="2"/>
      <c r="F3474" s="2"/>
      <c r="G3474" s="3"/>
      <c r="H3474" s="26">
        <f>SUM(G3471:G3473)</f>
        <v>1294850</v>
      </c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</row>
    <row r="3475">
      <c r="A3475" s="25" t="s">
        <v>16</v>
      </c>
      <c r="B3475" s="2"/>
      <c r="C3475" s="2"/>
      <c r="D3475" s="2"/>
      <c r="E3475" s="2"/>
      <c r="F3475" s="2"/>
      <c r="G3475" s="3"/>
      <c r="H3475" s="26">
        <f>MAX(0,H3474-648000)</f>
        <v>646850</v>
      </c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</row>
    <row r="3476">
      <c r="A3476" s="27" t="s">
        <v>17</v>
      </c>
      <c r="B3476" s="2"/>
      <c r="C3476" s="2"/>
      <c r="D3476" s="2"/>
      <c r="E3476" s="2"/>
      <c r="F3476" s="2"/>
      <c r="G3476" s="3"/>
      <c r="H3476" s="28">
        <v>649000.0</v>
      </c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</row>
    <row r="3477">
      <c r="A3477" s="1" t="s">
        <v>18</v>
      </c>
      <c r="B3477" s="2"/>
      <c r="C3477" s="2"/>
      <c r="D3477" s="2"/>
      <c r="E3477" s="2"/>
      <c r="F3477" s="2"/>
      <c r="G3477" s="2"/>
      <c r="H3477" s="3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</row>
    <row r="3485" ht="29.25" customHeight="1">
      <c r="A3485" s="1" t="s">
        <v>0</v>
      </c>
      <c r="B3485" s="2"/>
      <c r="C3485" s="2"/>
      <c r="D3485" s="2"/>
      <c r="E3485" s="2"/>
      <c r="F3485" s="2"/>
      <c r="G3485" s="2"/>
      <c r="H3485" s="3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</row>
    <row r="3486">
      <c r="A3486" s="6" t="s">
        <v>834</v>
      </c>
      <c r="B3486" s="2"/>
      <c r="C3486" s="2"/>
      <c r="D3486" s="2"/>
      <c r="E3486" s="2"/>
      <c r="F3486" s="2"/>
      <c r="G3486" s="2"/>
      <c r="H3486" s="3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</row>
    <row r="3487">
      <c r="A3487" s="7" t="s">
        <v>2</v>
      </c>
      <c r="B3487" s="7" t="s">
        <v>3</v>
      </c>
      <c r="C3487" s="7" t="s">
        <v>4</v>
      </c>
      <c r="D3487" s="7" t="s">
        <v>5</v>
      </c>
      <c r="E3487" s="7" t="s">
        <v>6</v>
      </c>
      <c r="F3487" s="8" t="s">
        <v>7</v>
      </c>
      <c r="G3487" s="7" t="s">
        <v>8</v>
      </c>
      <c r="H3487" s="9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</row>
    <row r="3488">
      <c r="A3488" s="10">
        <v>1.0</v>
      </c>
      <c r="B3488" s="33" t="s">
        <v>835</v>
      </c>
      <c r="C3488" s="34" t="s">
        <v>836</v>
      </c>
      <c r="D3488" s="13" t="s">
        <v>11</v>
      </c>
      <c r="E3488" s="35">
        <v>1.55</v>
      </c>
      <c r="F3488" s="15">
        <v>293000.0</v>
      </c>
      <c r="G3488" s="16">
        <f t="shared" ref="G3488:G3490" si="231">IFERROR(E3488*F3488,0)</f>
        <v>454150</v>
      </c>
      <c r="H3488" s="17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</row>
    <row r="3489">
      <c r="A3489" s="10">
        <v>2.0</v>
      </c>
      <c r="B3489" s="36" t="s">
        <v>151</v>
      </c>
      <c r="C3489" s="37" t="s">
        <v>822</v>
      </c>
      <c r="D3489" s="20" t="s">
        <v>13</v>
      </c>
      <c r="E3489" s="38">
        <v>2.0</v>
      </c>
      <c r="F3489" s="22">
        <v>435000.0</v>
      </c>
      <c r="G3489" s="16">
        <f t="shared" si="231"/>
        <v>870000</v>
      </c>
      <c r="H3489" s="17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</row>
    <row r="3490">
      <c r="A3490" s="10">
        <v>3.0</v>
      </c>
      <c r="B3490" s="23" t="s">
        <v>14</v>
      </c>
      <c r="C3490" s="17"/>
      <c r="D3490" s="17"/>
      <c r="E3490" s="17"/>
      <c r="F3490" s="17"/>
      <c r="G3490" s="24">
        <f t="shared" si="231"/>
        <v>0</v>
      </c>
      <c r="H3490" s="17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</row>
    <row r="3491">
      <c r="A3491" s="25" t="s">
        <v>15</v>
      </c>
      <c r="B3491" s="2"/>
      <c r="C3491" s="2"/>
      <c r="D3491" s="2"/>
      <c r="E3491" s="2"/>
      <c r="F3491" s="2"/>
      <c r="G3491" s="3"/>
      <c r="H3491" s="26">
        <f>SUM(G3488:G3490)</f>
        <v>1324150</v>
      </c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</row>
    <row r="3492">
      <c r="A3492" s="25" t="s">
        <v>16</v>
      </c>
      <c r="B3492" s="2"/>
      <c r="C3492" s="2"/>
      <c r="D3492" s="2"/>
      <c r="E3492" s="2"/>
      <c r="F3492" s="2"/>
      <c r="G3492" s="3"/>
      <c r="H3492" s="26">
        <f>MAX(0,H3491-648000)</f>
        <v>676150</v>
      </c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</row>
    <row r="3493">
      <c r="A3493" s="27" t="s">
        <v>17</v>
      </c>
      <c r="B3493" s="2"/>
      <c r="C3493" s="2"/>
      <c r="D3493" s="2"/>
      <c r="E3493" s="2"/>
      <c r="F3493" s="2"/>
      <c r="G3493" s="3"/>
      <c r="H3493" s="28">
        <v>649000.0</v>
      </c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</row>
    <row r="3494">
      <c r="A3494" s="1" t="s">
        <v>18</v>
      </c>
      <c r="B3494" s="2"/>
      <c r="C3494" s="2"/>
      <c r="D3494" s="2"/>
      <c r="E3494" s="2"/>
      <c r="F3494" s="2"/>
      <c r="G3494" s="2"/>
      <c r="H3494" s="3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</row>
    <row r="3501" ht="29.25" customHeight="1">
      <c r="A3501" s="1" t="s">
        <v>0</v>
      </c>
      <c r="B3501" s="2"/>
      <c r="C3501" s="2"/>
      <c r="D3501" s="2"/>
      <c r="E3501" s="2"/>
      <c r="F3501" s="2"/>
      <c r="G3501" s="2"/>
      <c r="H3501" s="3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</row>
    <row r="3502">
      <c r="A3502" s="6" t="s">
        <v>837</v>
      </c>
      <c r="B3502" s="2"/>
      <c r="C3502" s="2"/>
      <c r="D3502" s="2"/>
      <c r="E3502" s="2"/>
      <c r="F3502" s="2"/>
      <c r="G3502" s="2"/>
      <c r="H3502" s="3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</row>
    <row r="3503">
      <c r="A3503" s="7" t="s">
        <v>2</v>
      </c>
      <c r="B3503" s="7" t="s">
        <v>3</v>
      </c>
      <c r="C3503" s="7" t="s">
        <v>4</v>
      </c>
      <c r="D3503" s="7" t="s">
        <v>5</v>
      </c>
      <c r="E3503" s="7" t="s">
        <v>6</v>
      </c>
      <c r="F3503" s="8" t="s">
        <v>7</v>
      </c>
      <c r="G3503" s="7" t="s">
        <v>8</v>
      </c>
      <c r="H3503" s="9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</row>
    <row r="3504">
      <c r="A3504" s="10">
        <v>1.0</v>
      </c>
      <c r="B3504" s="33" t="s">
        <v>58</v>
      </c>
      <c r="C3504" s="34" t="s">
        <v>838</v>
      </c>
      <c r="D3504" s="13" t="s">
        <v>11</v>
      </c>
      <c r="E3504" s="35">
        <v>2.0</v>
      </c>
      <c r="F3504" s="15">
        <v>293000.0</v>
      </c>
      <c r="G3504" s="16">
        <f t="shared" ref="G3504:G3506" si="232">IFERROR(E3504*F3504,0)</f>
        <v>586000</v>
      </c>
      <c r="H3504" s="17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</row>
    <row r="3505">
      <c r="A3505" s="10">
        <v>2.0</v>
      </c>
      <c r="B3505" s="36" t="s">
        <v>539</v>
      </c>
      <c r="C3505" s="37" t="s">
        <v>839</v>
      </c>
      <c r="D3505" s="20" t="s">
        <v>13</v>
      </c>
      <c r="E3505" s="38">
        <v>1.4</v>
      </c>
      <c r="F3505" s="22">
        <v>435000.0</v>
      </c>
      <c r="G3505" s="16">
        <f t="shared" si="232"/>
        <v>609000</v>
      </c>
      <c r="H3505" s="17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</row>
    <row r="3506">
      <c r="A3506" s="10">
        <v>3.0</v>
      </c>
      <c r="B3506" s="23" t="s">
        <v>14</v>
      </c>
      <c r="C3506" s="17"/>
      <c r="D3506" s="17"/>
      <c r="E3506" s="17"/>
      <c r="F3506" s="17"/>
      <c r="G3506" s="24">
        <f t="shared" si="232"/>
        <v>0</v>
      </c>
      <c r="H3506" s="17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</row>
    <row r="3507">
      <c r="A3507" s="25" t="s">
        <v>15</v>
      </c>
      <c r="B3507" s="2"/>
      <c r="C3507" s="2"/>
      <c r="D3507" s="2"/>
      <c r="E3507" s="2"/>
      <c r="F3507" s="2"/>
      <c r="G3507" s="3"/>
      <c r="H3507" s="26">
        <f>SUM(G3504:G3506)</f>
        <v>1195000</v>
      </c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</row>
    <row r="3508">
      <c r="A3508" s="25" t="s">
        <v>16</v>
      </c>
      <c r="B3508" s="2"/>
      <c r="C3508" s="2"/>
      <c r="D3508" s="2"/>
      <c r="E3508" s="2"/>
      <c r="F3508" s="2"/>
      <c r="G3508" s="3"/>
      <c r="H3508" s="26">
        <f>MAX(0,H3507-648000)</f>
        <v>547000</v>
      </c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</row>
    <row r="3509">
      <c r="A3509" s="27" t="s">
        <v>17</v>
      </c>
      <c r="B3509" s="2"/>
      <c r="C3509" s="2"/>
      <c r="D3509" s="2"/>
      <c r="E3509" s="2"/>
      <c r="F3509" s="2"/>
      <c r="G3509" s="3"/>
      <c r="H3509" s="28">
        <v>649000.0</v>
      </c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</row>
    <row r="3510">
      <c r="A3510" s="1" t="s">
        <v>18</v>
      </c>
      <c r="B3510" s="2"/>
      <c r="C3510" s="2"/>
      <c r="D3510" s="2"/>
      <c r="E3510" s="2"/>
      <c r="F3510" s="2"/>
      <c r="G3510" s="2"/>
      <c r="H3510" s="3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</row>
    <row r="3517" ht="29.25" customHeight="1">
      <c r="A3517" s="1" t="s">
        <v>0</v>
      </c>
      <c r="B3517" s="2"/>
      <c r="C3517" s="2"/>
      <c r="D3517" s="2"/>
      <c r="E3517" s="2"/>
      <c r="F3517" s="2"/>
      <c r="G3517" s="2"/>
      <c r="H3517" s="3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</row>
    <row r="3518">
      <c r="A3518" s="6" t="s">
        <v>840</v>
      </c>
      <c r="B3518" s="2"/>
      <c r="C3518" s="2"/>
      <c r="D3518" s="2"/>
      <c r="E3518" s="2"/>
      <c r="F3518" s="2"/>
      <c r="G3518" s="2"/>
      <c r="H3518" s="3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</row>
    <row r="3519">
      <c r="A3519" s="7" t="s">
        <v>2</v>
      </c>
      <c r="B3519" s="7" t="s">
        <v>3</v>
      </c>
      <c r="C3519" s="7" t="s">
        <v>4</v>
      </c>
      <c r="D3519" s="7" t="s">
        <v>5</v>
      </c>
      <c r="E3519" s="7" t="s">
        <v>6</v>
      </c>
      <c r="F3519" s="8" t="s">
        <v>7</v>
      </c>
      <c r="G3519" s="7" t="s">
        <v>8</v>
      </c>
      <c r="H3519" s="9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</row>
    <row r="3520">
      <c r="A3520" s="10">
        <v>1.0</v>
      </c>
      <c r="B3520" s="33" t="s">
        <v>841</v>
      </c>
      <c r="C3520" s="34" t="s">
        <v>438</v>
      </c>
      <c r="D3520" s="13" t="s">
        <v>11</v>
      </c>
      <c r="E3520" s="35">
        <v>2.0</v>
      </c>
      <c r="F3520" s="15">
        <v>293000.0</v>
      </c>
      <c r="G3520" s="16">
        <f t="shared" ref="G3520:G3522" si="233">IFERROR(E3520*F3520,0)</f>
        <v>586000</v>
      </c>
      <c r="H3520" s="17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</row>
    <row r="3521">
      <c r="A3521" s="10">
        <v>2.0</v>
      </c>
      <c r="B3521" s="36" t="s">
        <v>703</v>
      </c>
      <c r="C3521" s="37" t="s">
        <v>842</v>
      </c>
      <c r="D3521" s="20" t="s">
        <v>13</v>
      </c>
      <c r="E3521" s="38">
        <v>1.45</v>
      </c>
      <c r="F3521" s="22">
        <v>435000.0</v>
      </c>
      <c r="G3521" s="16">
        <f t="shared" si="233"/>
        <v>630750</v>
      </c>
      <c r="H3521" s="17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</row>
    <row r="3522">
      <c r="A3522" s="10">
        <v>3.0</v>
      </c>
      <c r="B3522" s="23" t="s">
        <v>14</v>
      </c>
      <c r="C3522" s="17"/>
      <c r="D3522" s="17"/>
      <c r="E3522" s="17"/>
      <c r="F3522" s="17"/>
      <c r="G3522" s="24">
        <f t="shared" si="233"/>
        <v>0</v>
      </c>
      <c r="H3522" s="17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</row>
    <row r="3523">
      <c r="A3523" s="25" t="s">
        <v>15</v>
      </c>
      <c r="B3523" s="2"/>
      <c r="C3523" s="2"/>
      <c r="D3523" s="2"/>
      <c r="E3523" s="2"/>
      <c r="F3523" s="2"/>
      <c r="G3523" s="3"/>
      <c r="H3523" s="26">
        <f>SUM(G3520:G3522)</f>
        <v>1216750</v>
      </c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</row>
    <row r="3524">
      <c r="A3524" s="25" t="s">
        <v>16</v>
      </c>
      <c r="B3524" s="2"/>
      <c r="C3524" s="2"/>
      <c r="D3524" s="2"/>
      <c r="E3524" s="2"/>
      <c r="F3524" s="2"/>
      <c r="G3524" s="3"/>
      <c r="H3524" s="26">
        <f>MAX(0,H3523-648000)</f>
        <v>568750</v>
      </c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</row>
    <row r="3525">
      <c r="A3525" s="27" t="s">
        <v>17</v>
      </c>
      <c r="B3525" s="2"/>
      <c r="C3525" s="2"/>
      <c r="D3525" s="2"/>
      <c r="E3525" s="2"/>
      <c r="F3525" s="2"/>
      <c r="G3525" s="3"/>
      <c r="H3525" s="28">
        <v>649000.0</v>
      </c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</row>
    <row r="3526">
      <c r="A3526" s="1" t="s">
        <v>18</v>
      </c>
      <c r="B3526" s="2"/>
      <c r="C3526" s="2"/>
      <c r="D3526" s="2"/>
      <c r="E3526" s="2"/>
      <c r="F3526" s="2"/>
      <c r="G3526" s="2"/>
      <c r="H3526" s="3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</row>
    <row r="3532" ht="29.25" customHeight="1">
      <c r="A3532" s="1" t="s">
        <v>0</v>
      </c>
      <c r="B3532" s="2"/>
      <c r="C3532" s="2"/>
      <c r="D3532" s="2"/>
      <c r="E3532" s="2"/>
      <c r="F3532" s="2"/>
      <c r="G3532" s="2"/>
      <c r="H3532" s="3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</row>
    <row r="3533">
      <c r="A3533" s="6" t="s">
        <v>843</v>
      </c>
      <c r="B3533" s="2"/>
      <c r="C3533" s="2"/>
      <c r="D3533" s="2"/>
      <c r="E3533" s="2"/>
      <c r="F3533" s="2"/>
      <c r="G3533" s="2"/>
      <c r="H3533" s="3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</row>
    <row r="3534">
      <c r="A3534" s="7" t="s">
        <v>2</v>
      </c>
      <c r="B3534" s="7" t="s">
        <v>3</v>
      </c>
      <c r="C3534" s="7" t="s">
        <v>4</v>
      </c>
      <c r="D3534" s="7" t="s">
        <v>5</v>
      </c>
      <c r="E3534" s="7" t="s">
        <v>6</v>
      </c>
      <c r="F3534" s="8" t="s">
        <v>7</v>
      </c>
      <c r="G3534" s="7" t="s">
        <v>8</v>
      </c>
      <c r="H3534" s="9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</row>
    <row r="3535">
      <c r="A3535" s="10">
        <v>1.0</v>
      </c>
      <c r="B3535" s="33" t="s">
        <v>544</v>
      </c>
      <c r="C3535" s="34" t="s">
        <v>844</v>
      </c>
      <c r="D3535" s="13" t="s">
        <v>11</v>
      </c>
      <c r="E3535" s="35">
        <v>2.0</v>
      </c>
      <c r="F3535" s="15">
        <v>293000.0</v>
      </c>
      <c r="G3535" s="16">
        <f t="shared" ref="G3535:G3537" si="234">IFERROR(E3535*F3535,0)</f>
        <v>586000</v>
      </c>
      <c r="H3535" s="17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</row>
    <row r="3536">
      <c r="A3536" s="10">
        <v>2.0</v>
      </c>
      <c r="B3536" s="36" t="s">
        <v>25</v>
      </c>
      <c r="C3536" s="37" t="s">
        <v>845</v>
      </c>
      <c r="D3536" s="20" t="s">
        <v>13</v>
      </c>
      <c r="E3536" s="38">
        <v>1.44</v>
      </c>
      <c r="F3536" s="22">
        <v>435000.0</v>
      </c>
      <c r="G3536" s="16">
        <f t="shared" si="234"/>
        <v>626400</v>
      </c>
      <c r="H3536" s="17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</row>
    <row r="3537">
      <c r="A3537" s="10">
        <v>3.0</v>
      </c>
      <c r="B3537" s="23" t="s">
        <v>14</v>
      </c>
      <c r="C3537" s="17"/>
      <c r="D3537" s="17"/>
      <c r="E3537" s="17"/>
      <c r="F3537" s="17"/>
      <c r="G3537" s="24">
        <f t="shared" si="234"/>
        <v>0</v>
      </c>
      <c r="H3537" s="17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</row>
    <row r="3538">
      <c r="A3538" s="25" t="s">
        <v>15</v>
      </c>
      <c r="B3538" s="2"/>
      <c r="C3538" s="2"/>
      <c r="D3538" s="2"/>
      <c r="E3538" s="2"/>
      <c r="F3538" s="2"/>
      <c r="G3538" s="3"/>
      <c r="H3538" s="26">
        <f>SUM(G3535:G3537)</f>
        <v>1212400</v>
      </c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</row>
    <row r="3539">
      <c r="A3539" s="25" t="s">
        <v>16</v>
      </c>
      <c r="B3539" s="2"/>
      <c r="C3539" s="2"/>
      <c r="D3539" s="2"/>
      <c r="E3539" s="2"/>
      <c r="F3539" s="2"/>
      <c r="G3539" s="3"/>
      <c r="H3539" s="26">
        <f>MAX(0,H3538-648000)</f>
        <v>564400</v>
      </c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</row>
    <row r="3540">
      <c r="A3540" s="27" t="s">
        <v>17</v>
      </c>
      <c r="B3540" s="2"/>
      <c r="C3540" s="2"/>
      <c r="D3540" s="2"/>
      <c r="E3540" s="2"/>
      <c r="F3540" s="2"/>
      <c r="G3540" s="3"/>
      <c r="H3540" s="28">
        <v>649000.0</v>
      </c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</row>
    <row r="3541">
      <c r="A3541" s="1" t="s">
        <v>18</v>
      </c>
      <c r="B3541" s="2"/>
      <c r="C3541" s="2"/>
      <c r="D3541" s="2"/>
      <c r="E3541" s="2"/>
      <c r="F3541" s="2"/>
      <c r="G3541" s="2"/>
      <c r="H3541" s="3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</row>
    <row r="3549" ht="29.25" customHeight="1">
      <c r="A3549" s="1" t="s">
        <v>0</v>
      </c>
      <c r="B3549" s="2"/>
      <c r="C3549" s="2"/>
      <c r="D3549" s="2"/>
      <c r="E3549" s="2"/>
      <c r="F3549" s="2"/>
      <c r="G3549" s="2"/>
      <c r="H3549" s="3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</row>
    <row r="3550">
      <c r="A3550" s="6" t="s">
        <v>846</v>
      </c>
      <c r="B3550" s="2"/>
      <c r="C3550" s="2"/>
      <c r="D3550" s="2"/>
      <c r="E3550" s="2"/>
      <c r="F3550" s="2"/>
      <c r="G3550" s="2"/>
      <c r="H3550" s="3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</row>
    <row r="3551">
      <c r="A3551" s="32">
        <v>6.0</v>
      </c>
      <c r="B3551" s="7" t="s">
        <v>3</v>
      </c>
      <c r="C3551" s="7" t="s">
        <v>4</v>
      </c>
      <c r="D3551" s="7" t="s">
        <v>5</v>
      </c>
      <c r="E3551" s="7" t="s">
        <v>6</v>
      </c>
      <c r="F3551" s="8" t="s">
        <v>7</v>
      </c>
      <c r="G3551" s="7" t="s">
        <v>8</v>
      </c>
      <c r="H3551" s="9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</row>
    <row r="3552">
      <c r="A3552" s="10">
        <v>1.0</v>
      </c>
      <c r="B3552" s="33" t="s">
        <v>847</v>
      </c>
      <c r="C3552" s="34" t="s">
        <v>848</v>
      </c>
      <c r="D3552" s="13" t="s">
        <v>11</v>
      </c>
      <c r="E3552" s="35">
        <v>1.4</v>
      </c>
      <c r="F3552" s="15">
        <v>293000.0</v>
      </c>
      <c r="G3552" s="16">
        <f t="shared" ref="G3552:G3554" si="235">IFERROR(E3552*F3552,0)</f>
        <v>410200</v>
      </c>
      <c r="H3552" s="17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</row>
    <row r="3553">
      <c r="A3553" s="10">
        <v>2.0</v>
      </c>
      <c r="B3553" s="36" t="s">
        <v>849</v>
      </c>
      <c r="C3553" s="37" t="s">
        <v>850</v>
      </c>
      <c r="D3553" s="20" t="s">
        <v>13</v>
      </c>
      <c r="E3553" s="38">
        <v>1.92</v>
      </c>
      <c r="F3553" s="22">
        <v>435000.0</v>
      </c>
      <c r="G3553" s="16">
        <f t="shared" si="235"/>
        <v>835200</v>
      </c>
      <c r="H3553" s="17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</row>
    <row r="3554">
      <c r="A3554" s="10">
        <v>3.0</v>
      </c>
      <c r="B3554" s="23" t="s">
        <v>14</v>
      </c>
      <c r="C3554" s="17"/>
      <c r="D3554" s="17"/>
      <c r="E3554" s="17"/>
      <c r="F3554" s="17"/>
      <c r="G3554" s="24">
        <f t="shared" si="235"/>
        <v>0</v>
      </c>
      <c r="H3554" s="17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</row>
    <row r="3555">
      <c r="A3555" s="25" t="s">
        <v>15</v>
      </c>
      <c r="B3555" s="2"/>
      <c r="C3555" s="2"/>
      <c r="D3555" s="2"/>
      <c r="E3555" s="2"/>
      <c r="F3555" s="2"/>
      <c r="G3555" s="3"/>
      <c r="H3555" s="26">
        <f>SUM(G3552:G3554)</f>
        <v>1245400</v>
      </c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</row>
    <row r="3556">
      <c r="A3556" s="25" t="s">
        <v>16</v>
      </c>
      <c r="B3556" s="2"/>
      <c r="C3556" s="2"/>
      <c r="D3556" s="2"/>
      <c r="E3556" s="2"/>
      <c r="F3556" s="2"/>
      <c r="G3556" s="3"/>
      <c r="H3556" s="26">
        <f>MAX(0,H3555-648000)</f>
        <v>597400</v>
      </c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</row>
    <row r="3557">
      <c r="A3557" s="27" t="s">
        <v>17</v>
      </c>
      <c r="B3557" s="2"/>
      <c r="C3557" s="2"/>
      <c r="D3557" s="2"/>
      <c r="E3557" s="2"/>
      <c r="F3557" s="2"/>
      <c r="G3557" s="3"/>
      <c r="H3557" s="28">
        <v>649000.0</v>
      </c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</row>
    <row r="3558">
      <c r="A3558" s="1" t="s">
        <v>18</v>
      </c>
      <c r="B3558" s="2"/>
      <c r="C3558" s="2"/>
      <c r="D3558" s="2"/>
      <c r="E3558" s="2"/>
      <c r="F3558" s="2"/>
      <c r="G3558" s="2"/>
      <c r="H3558" s="3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</row>
    <row r="3567" ht="29.25" customHeight="1">
      <c r="A3567" s="1" t="s">
        <v>0</v>
      </c>
      <c r="B3567" s="2"/>
      <c r="C3567" s="2"/>
      <c r="D3567" s="2"/>
      <c r="E3567" s="2"/>
      <c r="F3567" s="2"/>
      <c r="G3567" s="2"/>
      <c r="H3567" s="3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</row>
    <row r="3568">
      <c r="A3568" s="6" t="s">
        <v>851</v>
      </c>
      <c r="B3568" s="2"/>
      <c r="C3568" s="2"/>
      <c r="D3568" s="2"/>
      <c r="E3568" s="2"/>
      <c r="F3568" s="2"/>
      <c r="G3568" s="2"/>
      <c r="H3568" s="3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</row>
    <row r="3569">
      <c r="A3569" s="7" t="s">
        <v>2</v>
      </c>
      <c r="B3569" s="7" t="s">
        <v>3</v>
      </c>
      <c r="C3569" s="7" t="s">
        <v>4</v>
      </c>
      <c r="D3569" s="7" t="s">
        <v>5</v>
      </c>
      <c r="E3569" s="7" t="s">
        <v>6</v>
      </c>
      <c r="F3569" s="8" t="s">
        <v>7</v>
      </c>
      <c r="G3569" s="7" t="s">
        <v>8</v>
      </c>
      <c r="H3569" s="9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</row>
    <row r="3570">
      <c r="A3570" s="10">
        <v>1.0</v>
      </c>
      <c r="B3570" s="33" t="s">
        <v>852</v>
      </c>
      <c r="C3570" s="34" t="s">
        <v>641</v>
      </c>
      <c r="D3570" s="13" t="s">
        <v>11</v>
      </c>
      <c r="E3570" s="35">
        <v>2.0</v>
      </c>
      <c r="F3570" s="15">
        <v>293000.0</v>
      </c>
      <c r="G3570" s="16">
        <f t="shared" ref="G3570:G3572" si="236">IFERROR(E3570*F3570,0)</f>
        <v>586000</v>
      </c>
      <c r="H3570" s="17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</row>
    <row r="3571">
      <c r="A3571" s="10">
        <v>2.0</v>
      </c>
      <c r="B3571" s="36" t="s">
        <v>60</v>
      </c>
      <c r="C3571" s="37" t="s">
        <v>853</v>
      </c>
      <c r="D3571" s="20" t="s">
        <v>13</v>
      </c>
      <c r="E3571" s="38">
        <v>1.55</v>
      </c>
      <c r="F3571" s="22">
        <v>435000.0</v>
      </c>
      <c r="G3571" s="16">
        <f t="shared" si="236"/>
        <v>674250</v>
      </c>
      <c r="H3571" s="17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</row>
    <row r="3572">
      <c r="A3572" s="10">
        <v>3.0</v>
      </c>
      <c r="B3572" s="23" t="s">
        <v>14</v>
      </c>
      <c r="C3572" s="17"/>
      <c r="D3572" s="17"/>
      <c r="E3572" s="17"/>
      <c r="F3572" s="17"/>
      <c r="G3572" s="24">
        <f t="shared" si="236"/>
        <v>0</v>
      </c>
      <c r="H3572" s="17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</row>
    <row r="3573">
      <c r="A3573" s="25" t="s">
        <v>15</v>
      </c>
      <c r="B3573" s="2"/>
      <c r="C3573" s="2"/>
      <c r="D3573" s="2"/>
      <c r="E3573" s="2"/>
      <c r="F3573" s="2"/>
      <c r="G3573" s="3"/>
      <c r="H3573" s="26">
        <f>SUM(G3570:G3572)</f>
        <v>1260250</v>
      </c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</row>
    <row r="3574">
      <c r="A3574" s="25" t="s">
        <v>16</v>
      </c>
      <c r="B3574" s="2"/>
      <c r="C3574" s="2"/>
      <c r="D3574" s="2"/>
      <c r="E3574" s="2"/>
      <c r="F3574" s="2"/>
      <c r="G3574" s="3"/>
      <c r="H3574" s="26">
        <f>MAX(0,H3573-648000)</f>
        <v>612250</v>
      </c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</row>
    <row r="3575">
      <c r="A3575" s="27" t="s">
        <v>17</v>
      </c>
      <c r="B3575" s="2"/>
      <c r="C3575" s="2"/>
      <c r="D3575" s="2"/>
      <c r="E3575" s="2"/>
      <c r="F3575" s="2"/>
      <c r="G3575" s="3"/>
      <c r="H3575" s="28">
        <v>649000.0</v>
      </c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</row>
    <row r="3576">
      <c r="A3576" s="1" t="s">
        <v>18</v>
      </c>
      <c r="B3576" s="2"/>
      <c r="C3576" s="2"/>
      <c r="D3576" s="2"/>
      <c r="E3576" s="2"/>
      <c r="F3576" s="2"/>
      <c r="G3576" s="2"/>
      <c r="H3576" s="3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</row>
    <row r="3582" ht="29.25" customHeight="1">
      <c r="A3582" s="1" t="s">
        <v>0</v>
      </c>
      <c r="B3582" s="2"/>
      <c r="C3582" s="2"/>
      <c r="D3582" s="2"/>
      <c r="E3582" s="2"/>
      <c r="F3582" s="2"/>
      <c r="G3582" s="2"/>
      <c r="H3582" s="3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</row>
    <row r="3583">
      <c r="A3583" s="6" t="s">
        <v>854</v>
      </c>
      <c r="B3583" s="2"/>
      <c r="C3583" s="2"/>
      <c r="D3583" s="2"/>
      <c r="E3583" s="2"/>
      <c r="F3583" s="2"/>
      <c r="G3583" s="2"/>
      <c r="H3583" s="3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</row>
    <row r="3584">
      <c r="A3584" s="7" t="s">
        <v>2</v>
      </c>
      <c r="B3584" s="7" t="s">
        <v>3</v>
      </c>
      <c r="C3584" s="7" t="s">
        <v>4</v>
      </c>
      <c r="D3584" s="7" t="s">
        <v>5</v>
      </c>
      <c r="E3584" s="7" t="s">
        <v>6</v>
      </c>
      <c r="F3584" s="8" t="s">
        <v>7</v>
      </c>
      <c r="G3584" s="7" t="s">
        <v>8</v>
      </c>
      <c r="H3584" s="9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</row>
    <row r="3585">
      <c r="A3585" s="10">
        <v>1.0</v>
      </c>
      <c r="B3585" s="33" t="s">
        <v>855</v>
      </c>
      <c r="C3585" s="34" t="s">
        <v>856</v>
      </c>
      <c r="D3585" s="13" t="s">
        <v>11</v>
      </c>
      <c r="E3585" s="35">
        <v>2.0</v>
      </c>
      <c r="F3585" s="15">
        <v>293000.0</v>
      </c>
      <c r="G3585" s="16">
        <f t="shared" ref="G3585:G3587" si="237">IFERROR(E3585*F3585,0)</f>
        <v>586000</v>
      </c>
      <c r="H3585" s="17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</row>
    <row r="3586">
      <c r="A3586" s="10">
        <v>2.0</v>
      </c>
      <c r="B3586" s="36" t="s">
        <v>218</v>
      </c>
      <c r="C3586" s="37" t="s">
        <v>857</v>
      </c>
      <c r="D3586" s="20" t="s">
        <v>13</v>
      </c>
      <c r="E3586" s="38">
        <v>1.45</v>
      </c>
      <c r="F3586" s="22">
        <v>435000.0</v>
      </c>
      <c r="G3586" s="16">
        <f t="shared" si="237"/>
        <v>630750</v>
      </c>
      <c r="H3586" s="17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</row>
    <row r="3587">
      <c r="A3587" s="10">
        <v>3.0</v>
      </c>
      <c r="B3587" s="23" t="s">
        <v>14</v>
      </c>
      <c r="C3587" s="17"/>
      <c r="D3587" s="17"/>
      <c r="E3587" s="17"/>
      <c r="F3587" s="17"/>
      <c r="G3587" s="24">
        <f t="shared" si="237"/>
        <v>0</v>
      </c>
      <c r="H3587" s="17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</row>
    <row r="3588">
      <c r="A3588" s="25" t="s">
        <v>15</v>
      </c>
      <c r="B3588" s="2"/>
      <c r="C3588" s="2"/>
      <c r="D3588" s="2"/>
      <c r="E3588" s="2"/>
      <c r="F3588" s="2"/>
      <c r="G3588" s="3"/>
      <c r="H3588" s="26">
        <f>SUM(G3585:G3587)</f>
        <v>1216750</v>
      </c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</row>
    <row r="3589">
      <c r="A3589" s="25" t="s">
        <v>16</v>
      </c>
      <c r="B3589" s="2"/>
      <c r="C3589" s="2"/>
      <c r="D3589" s="2"/>
      <c r="E3589" s="2"/>
      <c r="F3589" s="2"/>
      <c r="G3589" s="3"/>
      <c r="H3589" s="26">
        <f>MAX(0,H3588-648000)</f>
        <v>568750</v>
      </c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</row>
    <row r="3590">
      <c r="A3590" s="27" t="s">
        <v>17</v>
      </c>
      <c r="B3590" s="2"/>
      <c r="C3590" s="2"/>
      <c r="D3590" s="2"/>
      <c r="E3590" s="2"/>
      <c r="F3590" s="2"/>
      <c r="G3590" s="3"/>
      <c r="H3590" s="28">
        <v>649000.0</v>
      </c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</row>
    <row r="3591">
      <c r="A3591" s="1" t="s">
        <v>18</v>
      </c>
      <c r="B3591" s="2"/>
      <c r="C3591" s="2"/>
      <c r="D3591" s="2"/>
      <c r="E3591" s="2"/>
      <c r="F3591" s="2"/>
      <c r="G3591" s="2"/>
      <c r="H3591" s="3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</row>
    <row r="3596" ht="29.25" customHeight="1">
      <c r="A3596" s="1" t="s">
        <v>0</v>
      </c>
      <c r="B3596" s="2"/>
      <c r="C3596" s="2"/>
      <c r="D3596" s="2"/>
      <c r="E3596" s="2"/>
      <c r="F3596" s="2"/>
      <c r="G3596" s="2"/>
      <c r="H3596" s="3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</row>
    <row r="3597">
      <c r="A3597" s="6" t="s">
        <v>858</v>
      </c>
      <c r="B3597" s="2"/>
      <c r="C3597" s="2"/>
      <c r="D3597" s="2"/>
      <c r="E3597" s="2"/>
      <c r="F3597" s="2"/>
      <c r="G3597" s="2"/>
      <c r="H3597" s="3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</row>
    <row r="3598">
      <c r="A3598" s="7" t="s">
        <v>2</v>
      </c>
      <c r="B3598" s="7" t="s">
        <v>3</v>
      </c>
      <c r="C3598" s="7" t="s">
        <v>4</v>
      </c>
      <c r="D3598" s="7" t="s">
        <v>5</v>
      </c>
      <c r="E3598" s="7" t="s">
        <v>6</v>
      </c>
      <c r="F3598" s="8" t="s">
        <v>7</v>
      </c>
      <c r="G3598" s="7" t="s">
        <v>8</v>
      </c>
      <c r="H3598" s="9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</row>
    <row r="3599">
      <c r="A3599" s="10">
        <v>1.0</v>
      </c>
      <c r="B3599" s="33" t="s">
        <v>544</v>
      </c>
      <c r="C3599" s="34" t="s">
        <v>859</v>
      </c>
      <c r="D3599" s="13" t="s">
        <v>11</v>
      </c>
      <c r="E3599" s="35">
        <v>2.7</v>
      </c>
      <c r="F3599" s="15">
        <v>293000.0</v>
      </c>
      <c r="G3599" s="16">
        <f t="shared" ref="G3599:G3601" si="238">IFERROR(E3599*F3599,0)</f>
        <v>791100</v>
      </c>
      <c r="H3599" s="17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</row>
    <row r="3600">
      <c r="A3600" s="10">
        <v>2.0</v>
      </c>
      <c r="B3600" s="36" t="s">
        <v>214</v>
      </c>
      <c r="C3600" s="37" t="s">
        <v>860</v>
      </c>
      <c r="D3600" s="20" t="s">
        <v>13</v>
      </c>
      <c r="E3600" s="38">
        <v>1.0</v>
      </c>
      <c r="F3600" s="22">
        <v>435000.0</v>
      </c>
      <c r="G3600" s="16">
        <f t="shared" si="238"/>
        <v>435000</v>
      </c>
      <c r="H3600" s="17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</row>
    <row r="3601">
      <c r="A3601" s="10">
        <v>3.0</v>
      </c>
      <c r="B3601" s="23" t="s">
        <v>14</v>
      </c>
      <c r="C3601" s="17"/>
      <c r="D3601" s="17"/>
      <c r="E3601" s="17"/>
      <c r="F3601" s="17"/>
      <c r="G3601" s="24">
        <f t="shared" si="238"/>
        <v>0</v>
      </c>
      <c r="H3601" s="17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</row>
    <row r="3602">
      <c r="A3602" s="25" t="s">
        <v>15</v>
      </c>
      <c r="B3602" s="2"/>
      <c r="C3602" s="2"/>
      <c r="D3602" s="2"/>
      <c r="E3602" s="2"/>
      <c r="F3602" s="2"/>
      <c r="G3602" s="3"/>
      <c r="H3602" s="26">
        <f>SUM(G3599:G3601)</f>
        <v>1226100</v>
      </c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</row>
    <row r="3603">
      <c r="A3603" s="25" t="s">
        <v>16</v>
      </c>
      <c r="B3603" s="2"/>
      <c r="C3603" s="2"/>
      <c r="D3603" s="2"/>
      <c r="E3603" s="2"/>
      <c r="F3603" s="2"/>
      <c r="G3603" s="3"/>
      <c r="H3603" s="26">
        <f>MAX(0,H3602-648000)</f>
        <v>578100</v>
      </c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</row>
    <row r="3604">
      <c r="A3604" s="27" t="s">
        <v>17</v>
      </c>
      <c r="B3604" s="2"/>
      <c r="C3604" s="2"/>
      <c r="D3604" s="2"/>
      <c r="E3604" s="2"/>
      <c r="F3604" s="2"/>
      <c r="G3604" s="3"/>
      <c r="H3604" s="28">
        <v>649000.0</v>
      </c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</row>
    <row r="3605">
      <c r="A3605" s="1" t="s">
        <v>18</v>
      </c>
      <c r="B3605" s="2"/>
      <c r="C3605" s="2"/>
      <c r="D3605" s="2"/>
      <c r="E3605" s="2"/>
      <c r="F3605" s="2"/>
      <c r="G3605" s="2"/>
      <c r="H3605" s="3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</row>
    <row r="3610" ht="29.25" customHeight="1">
      <c r="A3610" s="1" t="s">
        <v>0</v>
      </c>
      <c r="B3610" s="2"/>
      <c r="C3610" s="2"/>
      <c r="D3610" s="2"/>
      <c r="E3610" s="2"/>
      <c r="F3610" s="2"/>
      <c r="G3610" s="2"/>
      <c r="H3610" s="3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</row>
    <row r="3611">
      <c r="A3611" s="6" t="s">
        <v>861</v>
      </c>
      <c r="B3611" s="2"/>
      <c r="C3611" s="2"/>
      <c r="D3611" s="2"/>
      <c r="E3611" s="2"/>
      <c r="F3611" s="2"/>
      <c r="G3611" s="2"/>
      <c r="H3611" s="3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</row>
    <row r="3612">
      <c r="A3612" s="7" t="s">
        <v>2</v>
      </c>
      <c r="B3612" s="7" t="s">
        <v>3</v>
      </c>
      <c r="C3612" s="7" t="s">
        <v>4</v>
      </c>
      <c r="D3612" s="7" t="s">
        <v>5</v>
      </c>
      <c r="E3612" s="7" t="s">
        <v>6</v>
      </c>
      <c r="F3612" s="8" t="s">
        <v>7</v>
      </c>
      <c r="G3612" s="7" t="s">
        <v>8</v>
      </c>
      <c r="H3612" s="9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</row>
    <row r="3613">
      <c r="A3613" s="10">
        <v>1.0</v>
      </c>
      <c r="B3613" s="33" t="s">
        <v>862</v>
      </c>
      <c r="C3613" s="34" t="s">
        <v>863</v>
      </c>
      <c r="D3613" s="13" t="s">
        <v>11</v>
      </c>
      <c r="E3613" s="35">
        <v>1.5</v>
      </c>
      <c r="F3613" s="15">
        <v>293000.0</v>
      </c>
      <c r="G3613" s="16">
        <f t="shared" ref="G3613:G3615" si="239">IFERROR(E3613*F3613,0)</f>
        <v>439500</v>
      </c>
      <c r="H3613" s="17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</row>
    <row r="3614">
      <c r="A3614" s="10">
        <v>2.0</v>
      </c>
      <c r="B3614" s="36" t="s">
        <v>151</v>
      </c>
      <c r="C3614" s="37" t="s">
        <v>166</v>
      </c>
      <c r="D3614" s="20" t="s">
        <v>13</v>
      </c>
      <c r="E3614" s="38">
        <v>2.0</v>
      </c>
      <c r="F3614" s="22">
        <v>435000.0</v>
      </c>
      <c r="G3614" s="16">
        <f t="shared" si="239"/>
        <v>870000</v>
      </c>
      <c r="H3614" s="17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</row>
    <row r="3615">
      <c r="A3615" s="10">
        <v>3.0</v>
      </c>
      <c r="B3615" s="23" t="s">
        <v>14</v>
      </c>
      <c r="C3615" s="17"/>
      <c r="D3615" s="17"/>
      <c r="E3615" s="17"/>
      <c r="F3615" s="17"/>
      <c r="G3615" s="24">
        <f t="shared" si="239"/>
        <v>0</v>
      </c>
      <c r="H3615" s="17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</row>
    <row r="3616">
      <c r="A3616" s="25" t="s">
        <v>15</v>
      </c>
      <c r="B3616" s="2"/>
      <c r="C3616" s="2"/>
      <c r="D3616" s="2"/>
      <c r="E3616" s="2"/>
      <c r="F3616" s="2"/>
      <c r="G3616" s="3"/>
      <c r="H3616" s="26">
        <f>SUM(G3613:G3615)</f>
        <v>1309500</v>
      </c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</row>
    <row r="3617">
      <c r="A3617" s="25" t="s">
        <v>16</v>
      </c>
      <c r="B3617" s="2"/>
      <c r="C3617" s="2"/>
      <c r="D3617" s="2"/>
      <c r="E3617" s="2"/>
      <c r="F3617" s="2"/>
      <c r="G3617" s="3"/>
      <c r="H3617" s="26">
        <f>MAX(0,H3616-648000)</f>
        <v>661500</v>
      </c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</row>
    <row r="3618">
      <c r="A3618" s="27" t="s">
        <v>17</v>
      </c>
      <c r="B3618" s="2"/>
      <c r="C3618" s="2"/>
      <c r="D3618" s="2"/>
      <c r="E3618" s="2"/>
      <c r="F3618" s="2"/>
      <c r="G3618" s="3"/>
      <c r="H3618" s="28">
        <v>649000.0</v>
      </c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</row>
    <row r="3619">
      <c r="A3619" s="1" t="s">
        <v>18</v>
      </c>
      <c r="B3619" s="2"/>
      <c r="C3619" s="2"/>
      <c r="D3619" s="2"/>
      <c r="E3619" s="2"/>
      <c r="F3619" s="2"/>
      <c r="G3619" s="2"/>
      <c r="H3619" s="3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</row>
    <row r="3624" ht="29.25" customHeight="1">
      <c r="A3624" s="1" t="s">
        <v>0</v>
      </c>
      <c r="B3624" s="2"/>
      <c r="C3624" s="2"/>
      <c r="D3624" s="2"/>
      <c r="E3624" s="2"/>
      <c r="F3624" s="2"/>
      <c r="G3624" s="2"/>
      <c r="H3624" s="3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</row>
    <row r="3625">
      <c r="A3625" s="6" t="s">
        <v>864</v>
      </c>
      <c r="B3625" s="2"/>
      <c r="C3625" s="2"/>
      <c r="D3625" s="2"/>
      <c r="E3625" s="2"/>
      <c r="F3625" s="2"/>
      <c r="G3625" s="2"/>
      <c r="H3625" s="3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</row>
    <row r="3626">
      <c r="A3626" s="7" t="s">
        <v>2</v>
      </c>
      <c r="B3626" s="7" t="s">
        <v>3</v>
      </c>
      <c r="C3626" s="7" t="s">
        <v>4</v>
      </c>
      <c r="D3626" s="7" t="s">
        <v>5</v>
      </c>
      <c r="E3626" s="7" t="s">
        <v>6</v>
      </c>
      <c r="F3626" s="8" t="s">
        <v>7</v>
      </c>
      <c r="G3626" s="7" t="s">
        <v>8</v>
      </c>
      <c r="H3626" s="9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</row>
    <row r="3627">
      <c r="A3627" s="10">
        <v>1.0</v>
      </c>
      <c r="B3627" s="33" t="s">
        <v>776</v>
      </c>
      <c r="C3627" s="34" t="s">
        <v>865</v>
      </c>
      <c r="D3627" s="13" t="s">
        <v>11</v>
      </c>
      <c r="E3627" s="35">
        <v>0.88</v>
      </c>
      <c r="F3627" s="15">
        <v>293000.0</v>
      </c>
      <c r="G3627" s="16">
        <f t="shared" ref="G3627:G3629" si="240">IFERROR(E3627*F3627,0)</f>
        <v>257840</v>
      </c>
      <c r="H3627" s="17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</row>
    <row r="3628">
      <c r="A3628" s="10">
        <v>2.0</v>
      </c>
      <c r="B3628" s="36" t="s">
        <v>98</v>
      </c>
      <c r="C3628" s="37" t="s">
        <v>203</v>
      </c>
      <c r="D3628" s="20" t="s">
        <v>13</v>
      </c>
      <c r="E3628" s="38">
        <v>2.7</v>
      </c>
      <c r="F3628" s="22">
        <v>435000.0</v>
      </c>
      <c r="G3628" s="16">
        <f t="shared" si="240"/>
        <v>1174500</v>
      </c>
      <c r="H3628" s="17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</row>
    <row r="3629">
      <c r="A3629" s="10">
        <v>3.0</v>
      </c>
      <c r="B3629" s="23" t="s">
        <v>14</v>
      </c>
      <c r="C3629" s="17"/>
      <c r="D3629" s="17"/>
      <c r="E3629" s="17"/>
      <c r="F3629" s="17"/>
      <c r="G3629" s="24">
        <f t="shared" si="240"/>
        <v>0</v>
      </c>
      <c r="H3629" s="17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</row>
    <row r="3630">
      <c r="A3630" s="25" t="s">
        <v>15</v>
      </c>
      <c r="B3630" s="2"/>
      <c r="C3630" s="2"/>
      <c r="D3630" s="2"/>
      <c r="E3630" s="2"/>
      <c r="F3630" s="2"/>
      <c r="G3630" s="3"/>
      <c r="H3630" s="26">
        <f>SUM(G3627:G3629)</f>
        <v>1432340</v>
      </c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</row>
    <row r="3631">
      <c r="A3631" s="25" t="s">
        <v>16</v>
      </c>
      <c r="B3631" s="2"/>
      <c r="C3631" s="2"/>
      <c r="D3631" s="2"/>
      <c r="E3631" s="2"/>
      <c r="F3631" s="2"/>
      <c r="G3631" s="3"/>
      <c r="H3631" s="26">
        <f>MAX(0,H3630-648000)</f>
        <v>784340</v>
      </c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</row>
    <row r="3632">
      <c r="A3632" s="27" t="s">
        <v>17</v>
      </c>
      <c r="B3632" s="2"/>
      <c r="C3632" s="2"/>
      <c r="D3632" s="2"/>
      <c r="E3632" s="2"/>
      <c r="F3632" s="2"/>
      <c r="G3632" s="3"/>
      <c r="H3632" s="28">
        <v>649000.0</v>
      </c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</row>
    <row r="3633">
      <c r="A3633" s="1" t="s">
        <v>18</v>
      </c>
      <c r="B3633" s="2"/>
      <c r="C3633" s="2"/>
      <c r="D3633" s="2"/>
      <c r="E3633" s="2"/>
      <c r="F3633" s="2"/>
      <c r="G3633" s="2"/>
      <c r="H3633" s="3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</row>
    <row r="3643" ht="29.25" customHeight="1">
      <c r="A3643" s="1" t="s">
        <v>0</v>
      </c>
      <c r="B3643" s="2"/>
      <c r="C3643" s="2"/>
      <c r="D3643" s="2"/>
      <c r="E3643" s="2"/>
      <c r="F3643" s="2"/>
      <c r="G3643" s="2"/>
      <c r="H3643" s="3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</row>
    <row r="3644">
      <c r="A3644" s="6" t="s">
        <v>866</v>
      </c>
      <c r="B3644" s="2"/>
      <c r="C3644" s="2"/>
      <c r="D3644" s="2"/>
      <c r="E3644" s="2"/>
      <c r="F3644" s="2"/>
      <c r="G3644" s="2"/>
      <c r="H3644" s="3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</row>
    <row r="3645">
      <c r="A3645" s="7" t="s">
        <v>2</v>
      </c>
      <c r="B3645" s="7" t="s">
        <v>3</v>
      </c>
      <c r="C3645" s="7" t="s">
        <v>4</v>
      </c>
      <c r="D3645" s="7" t="s">
        <v>5</v>
      </c>
      <c r="E3645" s="7" t="s">
        <v>6</v>
      </c>
      <c r="F3645" s="8" t="s">
        <v>7</v>
      </c>
      <c r="G3645" s="7" t="s">
        <v>8</v>
      </c>
      <c r="H3645" s="9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</row>
    <row r="3646">
      <c r="A3646" s="10">
        <v>1.0</v>
      </c>
      <c r="B3646" s="33" t="s">
        <v>544</v>
      </c>
      <c r="C3646" s="34" t="s">
        <v>844</v>
      </c>
      <c r="D3646" s="13" t="s">
        <v>11</v>
      </c>
      <c r="E3646" s="35">
        <v>2.0</v>
      </c>
      <c r="F3646" s="15">
        <v>293000.0</v>
      </c>
      <c r="G3646" s="16">
        <f t="shared" ref="G3646:G3648" si="241">IFERROR(E3646*F3646,0)</f>
        <v>586000</v>
      </c>
      <c r="H3646" s="17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</row>
    <row r="3647">
      <c r="A3647" s="10">
        <v>2.0</v>
      </c>
      <c r="B3647" s="36" t="s">
        <v>94</v>
      </c>
      <c r="C3647" s="37" t="s">
        <v>867</v>
      </c>
      <c r="D3647" s="20" t="s">
        <v>13</v>
      </c>
      <c r="E3647" s="38">
        <v>1.55</v>
      </c>
      <c r="F3647" s="22">
        <v>435000.0</v>
      </c>
      <c r="G3647" s="16">
        <f t="shared" si="241"/>
        <v>674250</v>
      </c>
      <c r="H3647" s="17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</row>
    <row r="3648">
      <c r="A3648" s="10">
        <v>3.0</v>
      </c>
      <c r="B3648" s="23" t="s">
        <v>14</v>
      </c>
      <c r="C3648" s="17"/>
      <c r="D3648" s="17"/>
      <c r="E3648" s="17"/>
      <c r="F3648" s="17"/>
      <c r="G3648" s="24">
        <f t="shared" si="241"/>
        <v>0</v>
      </c>
      <c r="H3648" s="17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</row>
    <row r="3649">
      <c r="A3649" s="25" t="s">
        <v>15</v>
      </c>
      <c r="B3649" s="2"/>
      <c r="C3649" s="2"/>
      <c r="D3649" s="2"/>
      <c r="E3649" s="2"/>
      <c r="F3649" s="2"/>
      <c r="G3649" s="3"/>
      <c r="H3649" s="26">
        <f>SUM(G3646:G3648)</f>
        <v>1260250</v>
      </c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</row>
    <row r="3650">
      <c r="A3650" s="25" t="s">
        <v>16</v>
      </c>
      <c r="B3650" s="2"/>
      <c r="C3650" s="2"/>
      <c r="D3650" s="2"/>
      <c r="E3650" s="2"/>
      <c r="F3650" s="2"/>
      <c r="G3650" s="3"/>
      <c r="H3650" s="26">
        <f>MAX(0,H3649-648000)</f>
        <v>612250</v>
      </c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</row>
    <row r="3651">
      <c r="A3651" s="27" t="s">
        <v>17</v>
      </c>
      <c r="B3651" s="2"/>
      <c r="C3651" s="2"/>
      <c r="D3651" s="2"/>
      <c r="E3651" s="2"/>
      <c r="F3651" s="2"/>
      <c r="G3651" s="3"/>
      <c r="H3651" s="28">
        <v>649000.0</v>
      </c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</row>
    <row r="3652">
      <c r="A3652" s="1" t="s">
        <v>18</v>
      </c>
      <c r="B3652" s="2"/>
      <c r="C3652" s="2"/>
      <c r="D3652" s="2"/>
      <c r="E3652" s="2"/>
      <c r="F3652" s="2"/>
      <c r="G3652" s="2"/>
      <c r="H3652" s="3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</row>
    <row r="3658" ht="29.25" customHeight="1">
      <c r="A3658" s="1" t="s">
        <v>0</v>
      </c>
      <c r="B3658" s="2"/>
      <c r="C3658" s="2"/>
      <c r="D3658" s="2"/>
      <c r="E3658" s="2"/>
      <c r="F3658" s="2"/>
      <c r="G3658" s="2"/>
      <c r="H3658" s="3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</row>
    <row r="3659">
      <c r="A3659" s="6" t="s">
        <v>868</v>
      </c>
      <c r="B3659" s="2"/>
      <c r="C3659" s="2"/>
      <c r="D3659" s="2"/>
      <c r="E3659" s="2"/>
      <c r="F3659" s="2"/>
      <c r="G3659" s="2"/>
      <c r="H3659" s="3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</row>
    <row r="3660">
      <c r="A3660" s="7" t="s">
        <v>2</v>
      </c>
      <c r="B3660" s="7" t="s">
        <v>3</v>
      </c>
      <c r="C3660" s="7" t="s">
        <v>4</v>
      </c>
      <c r="D3660" s="7" t="s">
        <v>5</v>
      </c>
      <c r="E3660" s="7" t="s">
        <v>6</v>
      </c>
      <c r="F3660" s="8" t="s">
        <v>7</v>
      </c>
      <c r="G3660" s="7" t="s">
        <v>8</v>
      </c>
      <c r="H3660" s="9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</row>
    <row r="3661">
      <c r="A3661" s="10">
        <v>1.0</v>
      </c>
      <c r="B3661" s="33" t="s">
        <v>511</v>
      </c>
      <c r="C3661" s="34" t="s">
        <v>869</v>
      </c>
      <c r="D3661" s="13" t="s">
        <v>11</v>
      </c>
      <c r="E3661" s="35">
        <v>1.5</v>
      </c>
      <c r="F3661" s="15">
        <v>293000.0</v>
      </c>
      <c r="G3661" s="16">
        <f t="shared" ref="G3661:G3663" si="242">IFERROR(E3661*F3661,0)</f>
        <v>439500</v>
      </c>
      <c r="H3661" s="17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</row>
    <row r="3662">
      <c r="A3662" s="10">
        <v>2.0</v>
      </c>
      <c r="B3662" s="36" t="s">
        <v>870</v>
      </c>
      <c r="C3662" s="37" t="s">
        <v>871</v>
      </c>
      <c r="D3662" s="20" t="s">
        <v>13</v>
      </c>
      <c r="E3662" s="38">
        <v>2.0</v>
      </c>
      <c r="F3662" s="22">
        <v>435000.0</v>
      </c>
      <c r="G3662" s="16">
        <f t="shared" si="242"/>
        <v>870000</v>
      </c>
      <c r="H3662" s="17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</row>
    <row r="3663">
      <c r="A3663" s="10">
        <v>3.0</v>
      </c>
      <c r="B3663" s="23" t="s">
        <v>14</v>
      </c>
      <c r="C3663" s="17"/>
      <c r="D3663" s="17"/>
      <c r="E3663" s="17"/>
      <c r="F3663" s="17"/>
      <c r="G3663" s="24">
        <f t="shared" si="242"/>
        <v>0</v>
      </c>
      <c r="H3663" s="17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</row>
    <row r="3664">
      <c r="A3664" s="25" t="s">
        <v>15</v>
      </c>
      <c r="B3664" s="2"/>
      <c r="C3664" s="2"/>
      <c r="D3664" s="2"/>
      <c r="E3664" s="2"/>
      <c r="F3664" s="2"/>
      <c r="G3664" s="3"/>
      <c r="H3664" s="26">
        <f>SUM(G3661:G3663)</f>
        <v>1309500</v>
      </c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</row>
    <row r="3665">
      <c r="A3665" s="25" t="s">
        <v>16</v>
      </c>
      <c r="B3665" s="2"/>
      <c r="C3665" s="2"/>
      <c r="D3665" s="2"/>
      <c r="E3665" s="2"/>
      <c r="F3665" s="2"/>
      <c r="G3665" s="3"/>
      <c r="H3665" s="26">
        <f>MAX(0,H3664-648000)</f>
        <v>661500</v>
      </c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</row>
    <row r="3666">
      <c r="A3666" s="27" t="s">
        <v>17</v>
      </c>
      <c r="B3666" s="2"/>
      <c r="C3666" s="2"/>
      <c r="D3666" s="2"/>
      <c r="E3666" s="2"/>
      <c r="F3666" s="2"/>
      <c r="G3666" s="3"/>
      <c r="H3666" s="28">
        <v>649000.0</v>
      </c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</row>
    <row r="3667">
      <c r="A3667" s="1" t="s">
        <v>18</v>
      </c>
      <c r="B3667" s="2"/>
      <c r="C3667" s="2"/>
      <c r="D3667" s="2"/>
      <c r="E3667" s="2"/>
      <c r="F3667" s="2"/>
      <c r="G3667" s="2"/>
      <c r="H3667" s="3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</row>
    <row r="3673" ht="29.25" customHeight="1">
      <c r="A3673" s="1" t="s">
        <v>0</v>
      </c>
      <c r="B3673" s="2"/>
      <c r="C3673" s="2"/>
      <c r="D3673" s="2"/>
      <c r="E3673" s="2"/>
      <c r="F3673" s="2"/>
      <c r="G3673" s="2"/>
      <c r="H3673" s="3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</row>
    <row r="3674">
      <c r="A3674" s="6" t="s">
        <v>872</v>
      </c>
      <c r="B3674" s="2"/>
      <c r="C3674" s="2"/>
      <c r="D3674" s="2"/>
      <c r="E3674" s="2"/>
      <c r="F3674" s="2"/>
      <c r="G3674" s="2"/>
      <c r="H3674" s="3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</row>
    <row r="3675">
      <c r="A3675" s="7" t="s">
        <v>2</v>
      </c>
      <c r="B3675" s="7" t="s">
        <v>3</v>
      </c>
      <c r="C3675" s="7" t="s">
        <v>4</v>
      </c>
      <c r="D3675" s="7" t="s">
        <v>5</v>
      </c>
      <c r="E3675" s="7" t="s">
        <v>6</v>
      </c>
      <c r="F3675" s="8" t="s">
        <v>7</v>
      </c>
      <c r="G3675" s="7" t="s">
        <v>8</v>
      </c>
      <c r="H3675" s="9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</row>
    <row r="3676">
      <c r="A3676" s="10">
        <v>1.0</v>
      </c>
      <c r="B3676" s="33" t="s">
        <v>873</v>
      </c>
      <c r="C3676" s="34" t="s">
        <v>874</v>
      </c>
      <c r="D3676" s="13" t="s">
        <v>11</v>
      </c>
      <c r="E3676" s="35">
        <v>1.5</v>
      </c>
      <c r="F3676" s="15">
        <v>293000.0</v>
      </c>
      <c r="G3676" s="16">
        <f t="shared" ref="G3676:G3678" si="243">IFERROR(E3676*F3676,0)</f>
        <v>439500</v>
      </c>
      <c r="H3676" s="17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</row>
    <row r="3677">
      <c r="A3677" s="10">
        <v>2.0</v>
      </c>
      <c r="B3677" s="36" t="s">
        <v>151</v>
      </c>
      <c r="C3677" s="37" t="s">
        <v>452</v>
      </c>
      <c r="D3677" s="20" t="s">
        <v>13</v>
      </c>
      <c r="E3677" s="38">
        <v>2.0</v>
      </c>
      <c r="F3677" s="22">
        <v>435000.0</v>
      </c>
      <c r="G3677" s="16">
        <f t="shared" si="243"/>
        <v>870000</v>
      </c>
      <c r="H3677" s="17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</row>
    <row r="3678">
      <c r="A3678" s="10">
        <v>3.0</v>
      </c>
      <c r="B3678" s="23" t="s">
        <v>14</v>
      </c>
      <c r="C3678" s="17"/>
      <c r="D3678" s="17"/>
      <c r="E3678" s="17"/>
      <c r="F3678" s="17"/>
      <c r="G3678" s="24">
        <f t="shared" si="243"/>
        <v>0</v>
      </c>
      <c r="H3678" s="17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</row>
    <row r="3679">
      <c r="A3679" s="25" t="s">
        <v>15</v>
      </c>
      <c r="B3679" s="2"/>
      <c r="C3679" s="2"/>
      <c r="D3679" s="2"/>
      <c r="E3679" s="2"/>
      <c r="F3679" s="2"/>
      <c r="G3679" s="3"/>
      <c r="H3679" s="26">
        <f>SUM(G3676:G3678)</f>
        <v>1309500</v>
      </c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</row>
    <row r="3680">
      <c r="A3680" s="25" t="s">
        <v>16</v>
      </c>
      <c r="B3680" s="2"/>
      <c r="C3680" s="2"/>
      <c r="D3680" s="2"/>
      <c r="E3680" s="2"/>
      <c r="F3680" s="2"/>
      <c r="G3680" s="3"/>
      <c r="H3680" s="26">
        <f>MAX(0,H3679-648000)</f>
        <v>661500</v>
      </c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</row>
    <row r="3681">
      <c r="A3681" s="27" t="s">
        <v>17</v>
      </c>
      <c r="B3681" s="2"/>
      <c r="C3681" s="2"/>
      <c r="D3681" s="2"/>
      <c r="E3681" s="2"/>
      <c r="F3681" s="2"/>
      <c r="G3681" s="3"/>
      <c r="H3681" s="28">
        <v>649000.0</v>
      </c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</row>
    <row r="3682">
      <c r="A3682" s="1" t="s">
        <v>18</v>
      </c>
      <c r="B3682" s="2"/>
      <c r="C3682" s="2"/>
      <c r="D3682" s="2"/>
      <c r="E3682" s="2"/>
      <c r="F3682" s="2"/>
      <c r="G3682" s="2"/>
      <c r="H3682" s="3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</row>
    <row r="3687" ht="29.25" customHeight="1">
      <c r="A3687" s="1" t="s">
        <v>0</v>
      </c>
      <c r="B3687" s="2"/>
      <c r="C3687" s="2"/>
      <c r="D3687" s="2"/>
      <c r="E3687" s="2"/>
      <c r="F3687" s="2"/>
      <c r="G3687" s="2"/>
      <c r="H3687" s="3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</row>
    <row r="3688">
      <c r="A3688" s="6" t="s">
        <v>875</v>
      </c>
      <c r="B3688" s="2"/>
      <c r="C3688" s="2"/>
      <c r="D3688" s="2"/>
      <c r="E3688" s="2"/>
      <c r="F3688" s="2"/>
      <c r="G3688" s="2"/>
      <c r="H3688" s="3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</row>
    <row r="3689">
      <c r="A3689" s="7" t="s">
        <v>2</v>
      </c>
      <c r="B3689" s="7" t="s">
        <v>3</v>
      </c>
      <c r="C3689" s="7" t="s">
        <v>4</v>
      </c>
      <c r="D3689" s="7" t="s">
        <v>5</v>
      </c>
      <c r="E3689" s="7" t="s">
        <v>6</v>
      </c>
      <c r="F3689" s="8" t="s">
        <v>7</v>
      </c>
      <c r="G3689" s="7" t="s">
        <v>8</v>
      </c>
      <c r="H3689" s="9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</row>
    <row r="3690">
      <c r="A3690" s="10">
        <v>1.0</v>
      </c>
      <c r="B3690" s="33" t="s">
        <v>12</v>
      </c>
      <c r="C3690" s="34" t="s">
        <v>876</v>
      </c>
      <c r="D3690" s="13" t="s">
        <v>11</v>
      </c>
      <c r="E3690" s="35">
        <v>2.17</v>
      </c>
      <c r="F3690" s="15">
        <v>293000.0</v>
      </c>
      <c r="G3690" s="16">
        <f t="shared" ref="G3690:G3692" si="244">IFERROR(E3690*F3690,0)</f>
        <v>635810</v>
      </c>
      <c r="H3690" s="17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</row>
    <row r="3691">
      <c r="A3691" s="10">
        <v>2.0</v>
      </c>
      <c r="B3691" s="36" t="s">
        <v>27</v>
      </c>
      <c r="C3691" s="37" t="s">
        <v>877</v>
      </c>
      <c r="D3691" s="20" t="s">
        <v>13</v>
      </c>
      <c r="E3691" s="38">
        <v>1.45</v>
      </c>
      <c r="F3691" s="22">
        <v>435000.0</v>
      </c>
      <c r="G3691" s="16">
        <f t="shared" si="244"/>
        <v>630750</v>
      </c>
      <c r="H3691" s="17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</row>
    <row r="3692">
      <c r="A3692" s="10">
        <v>3.0</v>
      </c>
      <c r="B3692" s="23" t="s">
        <v>14</v>
      </c>
      <c r="C3692" s="17"/>
      <c r="D3692" s="17"/>
      <c r="E3692" s="17"/>
      <c r="F3692" s="17"/>
      <c r="G3692" s="24">
        <f t="shared" si="244"/>
        <v>0</v>
      </c>
      <c r="H3692" s="17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</row>
    <row r="3693">
      <c r="A3693" s="25" t="s">
        <v>15</v>
      </c>
      <c r="B3693" s="2"/>
      <c r="C3693" s="2"/>
      <c r="D3693" s="2"/>
      <c r="E3693" s="2"/>
      <c r="F3693" s="2"/>
      <c r="G3693" s="3"/>
      <c r="H3693" s="26">
        <f>SUM(G3690:G3692)</f>
        <v>1266560</v>
      </c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</row>
    <row r="3694">
      <c r="A3694" s="25" t="s">
        <v>16</v>
      </c>
      <c r="B3694" s="2"/>
      <c r="C3694" s="2"/>
      <c r="D3694" s="2"/>
      <c r="E3694" s="2"/>
      <c r="F3694" s="2"/>
      <c r="G3694" s="3"/>
      <c r="H3694" s="26">
        <f>MAX(0,H3693-648000)</f>
        <v>618560</v>
      </c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</row>
    <row r="3695">
      <c r="A3695" s="27" t="s">
        <v>17</v>
      </c>
      <c r="B3695" s="2"/>
      <c r="C3695" s="2"/>
      <c r="D3695" s="2"/>
      <c r="E3695" s="2"/>
      <c r="F3695" s="2"/>
      <c r="G3695" s="3"/>
      <c r="H3695" s="28">
        <v>649000.0</v>
      </c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</row>
    <row r="3696">
      <c r="A3696" s="1" t="s">
        <v>18</v>
      </c>
      <c r="B3696" s="2"/>
      <c r="C3696" s="2"/>
      <c r="D3696" s="2"/>
      <c r="E3696" s="2"/>
      <c r="F3696" s="2"/>
      <c r="G3696" s="2"/>
      <c r="H3696" s="3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</row>
    <row r="3701" ht="29.25" customHeight="1">
      <c r="A3701" s="1" t="s">
        <v>0</v>
      </c>
      <c r="B3701" s="2"/>
      <c r="C3701" s="2"/>
      <c r="D3701" s="2"/>
      <c r="E3701" s="2"/>
      <c r="F3701" s="2"/>
      <c r="G3701" s="2"/>
      <c r="H3701" s="3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</row>
    <row r="3702">
      <c r="A3702" s="6" t="s">
        <v>878</v>
      </c>
      <c r="B3702" s="2"/>
      <c r="C3702" s="2"/>
      <c r="D3702" s="2"/>
      <c r="E3702" s="2"/>
      <c r="F3702" s="2"/>
      <c r="G3702" s="2"/>
      <c r="H3702" s="3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</row>
    <row r="3703">
      <c r="A3703" s="7" t="s">
        <v>2</v>
      </c>
      <c r="B3703" s="7" t="s">
        <v>3</v>
      </c>
      <c r="C3703" s="7" t="s">
        <v>4</v>
      </c>
      <c r="D3703" s="7" t="s">
        <v>5</v>
      </c>
      <c r="E3703" s="7" t="s">
        <v>6</v>
      </c>
      <c r="F3703" s="8" t="s">
        <v>7</v>
      </c>
      <c r="G3703" s="7" t="s">
        <v>8</v>
      </c>
      <c r="H3703" s="9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</row>
    <row r="3704">
      <c r="A3704" s="10">
        <v>1.0</v>
      </c>
      <c r="B3704" s="33" t="s">
        <v>879</v>
      </c>
      <c r="C3704" s="34" t="s">
        <v>880</v>
      </c>
      <c r="D3704" s="13" t="s">
        <v>11</v>
      </c>
      <c r="E3704" s="35">
        <v>2.9</v>
      </c>
      <c r="F3704" s="15">
        <v>293000.0</v>
      </c>
      <c r="G3704" s="16">
        <f t="shared" ref="G3704:G3706" si="245">IFERROR(E3704*F3704,0)</f>
        <v>849700</v>
      </c>
      <c r="H3704" s="17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</row>
    <row r="3705">
      <c r="A3705" s="10">
        <v>2.0</v>
      </c>
      <c r="B3705" s="36" t="s">
        <v>27</v>
      </c>
      <c r="C3705" s="37" t="s">
        <v>881</v>
      </c>
      <c r="D3705" s="20" t="s">
        <v>13</v>
      </c>
      <c r="E3705" s="38">
        <v>0.8</v>
      </c>
      <c r="F3705" s="22">
        <v>435000.0</v>
      </c>
      <c r="G3705" s="16">
        <f t="shared" si="245"/>
        <v>348000</v>
      </c>
      <c r="H3705" s="17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</row>
    <row r="3706">
      <c r="A3706" s="10">
        <v>3.0</v>
      </c>
      <c r="B3706" s="23" t="s">
        <v>14</v>
      </c>
      <c r="C3706" s="17"/>
      <c r="D3706" s="17"/>
      <c r="E3706" s="17"/>
      <c r="F3706" s="17"/>
      <c r="G3706" s="24">
        <f t="shared" si="245"/>
        <v>0</v>
      </c>
      <c r="H3706" s="17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</row>
    <row r="3707">
      <c r="A3707" s="25" t="s">
        <v>15</v>
      </c>
      <c r="B3707" s="2"/>
      <c r="C3707" s="2"/>
      <c r="D3707" s="2"/>
      <c r="E3707" s="2"/>
      <c r="F3707" s="2"/>
      <c r="G3707" s="3"/>
      <c r="H3707" s="26">
        <f>SUM(G3704:G3706)</f>
        <v>1197700</v>
      </c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</row>
    <row r="3708">
      <c r="A3708" s="25" t="s">
        <v>16</v>
      </c>
      <c r="B3708" s="2"/>
      <c r="C3708" s="2"/>
      <c r="D3708" s="2"/>
      <c r="E3708" s="2"/>
      <c r="F3708" s="2"/>
      <c r="G3708" s="3"/>
      <c r="H3708" s="26">
        <f>MAX(0,H3707-648000)</f>
        <v>549700</v>
      </c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</row>
    <row r="3709">
      <c r="A3709" s="27" t="s">
        <v>17</v>
      </c>
      <c r="B3709" s="2"/>
      <c r="C3709" s="2"/>
      <c r="D3709" s="2"/>
      <c r="E3709" s="2"/>
      <c r="F3709" s="2"/>
      <c r="G3709" s="3"/>
      <c r="H3709" s="28">
        <v>649000.0</v>
      </c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</row>
    <row r="3710">
      <c r="A3710" s="1" t="s">
        <v>18</v>
      </c>
      <c r="B3710" s="2"/>
      <c r="C3710" s="2"/>
      <c r="D3710" s="2"/>
      <c r="E3710" s="2"/>
      <c r="F3710" s="2"/>
      <c r="G3710" s="2"/>
      <c r="H3710" s="3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</row>
    <row r="3715" ht="29.25" customHeight="1">
      <c r="A3715" s="1" t="s">
        <v>0</v>
      </c>
      <c r="B3715" s="2"/>
      <c r="C3715" s="2"/>
      <c r="D3715" s="2"/>
      <c r="E3715" s="2"/>
      <c r="F3715" s="2"/>
      <c r="G3715" s="2"/>
      <c r="H3715" s="3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</row>
    <row r="3716">
      <c r="A3716" s="6" t="s">
        <v>882</v>
      </c>
      <c r="B3716" s="2"/>
      <c r="C3716" s="2"/>
      <c r="D3716" s="2"/>
      <c r="E3716" s="2"/>
      <c r="F3716" s="2"/>
      <c r="G3716" s="2"/>
      <c r="H3716" s="3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</row>
    <row r="3717">
      <c r="A3717" s="7" t="s">
        <v>2</v>
      </c>
      <c r="B3717" s="7" t="s">
        <v>3</v>
      </c>
      <c r="C3717" s="7" t="s">
        <v>4</v>
      </c>
      <c r="D3717" s="7" t="s">
        <v>5</v>
      </c>
      <c r="E3717" s="7" t="s">
        <v>6</v>
      </c>
      <c r="F3717" s="8" t="s">
        <v>7</v>
      </c>
      <c r="G3717" s="7" t="s">
        <v>8</v>
      </c>
      <c r="H3717" s="9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</row>
    <row r="3718">
      <c r="A3718" s="10">
        <v>1.0</v>
      </c>
      <c r="B3718" s="33" t="s">
        <v>883</v>
      </c>
      <c r="C3718" s="34" t="s">
        <v>884</v>
      </c>
      <c r="D3718" s="13" t="s">
        <v>11</v>
      </c>
      <c r="E3718" s="35">
        <v>1.5</v>
      </c>
      <c r="F3718" s="15">
        <v>293000.0</v>
      </c>
      <c r="G3718" s="16">
        <f t="shared" ref="G3718:G3720" si="246">IFERROR(E3718*F3718,0)</f>
        <v>439500</v>
      </c>
      <c r="H3718" s="17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</row>
    <row r="3719">
      <c r="A3719" s="10">
        <v>2.0</v>
      </c>
      <c r="B3719" s="36" t="s">
        <v>151</v>
      </c>
      <c r="C3719" s="37" t="s">
        <v>885</v>
      </c>
      <c r="D3719" s="20" t="s">
        <v>13</v>
      </c>
      <c r="E3719" s="38">
        <v>2.0</v>
      </c>
      <c r="F3719" s="22">
        <v>435000.0</v>
      </c>
      <c r="G3719" s="16">
        <f t="shared" si="246"/>
        <v>870000</v>
      </c>
      <c r="H3719" s="17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</row>
    <row r="3720">
      <c r="A3720" s="10">
        <v>3.0</v>
      </c>
      <c r="B3720" s="23" t="s">
        <v>14</v>
      </c>
      <c r="C3720" s="17"/>
      <c r="D3720" s="17"/>
      <c r="E3720" s="17"/>
      <c r="F3720" s="17"/>
      <c r="G3720" s="24">
        <f t="shared" si="246"/>
        <v>0</v>
      </c>
      <c r="H3720" s="17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</row>
    <row r="3721">
      <c r="A3721" s="25" t="s">
        <v>15</v>
      </c>
      <c r="B3721" s="2"/>
      <c r="C3721" s="2"/>
      <c r="D3721" s="2"/>
      <c r="E3721" s="2"/>
      <c r="F3721" s="2"/>
      <c r="G3721" s="3"/>
      <c r="H3721" s="26">
        <f>SUM(G3718:G3720)</f>
        <v>1309500</v>
      </c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</row>
    <row r="3722">
      <c r="A3722" s="25" t="s">
        <v>16</v>
      </c>
      <c r="B3722" s="2"/>
      <c r="C3722" s="2"/>
      <c r="D3722" s="2"/>
      <c r="E3722" s="2"/>
      <c r="F3722" s="2"/>
      <c r="G3722" s="3"/>
      <c r="H3722" s="26">
        <f>MAX(0,H3721-648000)</f>
        <v>661500</v>
      </c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</row>
    <row r="3723">
      <c r="A3723" s="27" t="s">
        <v>17</v>
      </c>
      <c r="B3723" s="2"/>
      <c r="C3723" s="2"/>
      <c r="D3723" s="2"/>
      <c r="E3723" s="2"/>
      <c r="F3723" s="2"/>
      <c r="G3723" s="3"/>
      <c r="H3723" s="28">
        <v>649000.0</v>
      </c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</row>
    <row r="3724">
      <c r="A3724" s="1" t="s">
        <v>18</v>
      </c>
      <c r="B3724" s="2"/>
      <c r="C3724" s="2"/>
      <c r="D3724" s="2"/>
      <c r="E3724" s="2"/>
      <c r="F3724" s="2"/>
      <c r="G3724" s="2"/>
      <c r="H3724" s="3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</row>
    <row r="3731" ht="29.25" customHeight="1">
      <c r="A3731" s="1" t="s">
        <v>0</v>
      </c>
      <c r="B3731" s="2"/>
      <c r="C3731" s="2"/>
      <c r="D3731" s="2"/>
      <c r="E3731" s="2"/>
      <c r="F3731" s="2"/>
      <c r="G3731" s="2"/>
      <c r="H3731" s="3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</row>
    <row r="3732">
      <c r="A3732" s="6" t="s">
        <v>886</v>
      </c>
      <c r="B3732" s="2"/>
      <c r="C3732" s="2"/>
      <c r="D3732" s="2"/>
      <c r="E3732" s="2"/>
      <c r="F3732" s="2"/>
      <c r="G3732" s="2"/>
      <c r="H3732" s="3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</row>
    <row r="3733">
      <c r="A3733" s="7" t="s">
        <v>2</v>
      </c>
      <c r="B3733" s="7" t="s">
        <v>3</v>
      </c>
      <c r="C3733" s="7" t="s">
        <v>4</v>
      </c>
      <c r="D3733" s="7" t="s">
        <v>5</v>
      </c>
      <c r="E3733" s="7" t="s">
        <v>6</v>
      </c>
      <c r="F3733" s="8" t="s">
        <v>7</v>
      </c>
      <c r="G3733" s="7" t="s">
        <v>8</v>
      </c>
      <c r="H3733" s="9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</row>
    <row r="3734">
      <c r="A3734" s="10">
        <v>1.0</v>
      </c>
      <c r="B3734" s="33" t="s">
        <v>887</v>
      </c>
      <c r="C3734" s="34" t="s">
        <v>888</v>
      </c>
      <c r="D3734" s="13" t="s">
        <v>11</v>
      </c>
      <c r="E3734" s="35">
        <v>2.0</v>
      </c>
      <c r="F3734" s="15">
        <v>293000.0</v>
      </c>
      <c r="G3734" s="16">
        <f t="shared" ref="G3734:G3736" si="247">IFERROR(E3734*F3734,0)</f>
        <v>586000</v>
      </c>
      <c r="H3734" s="17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</row>
    <row r="3735">
      <c r="A3735" s="10">
        <v>2.0</v>
      </c>
      <c r="B3735" s="36" t="s">
        <v>889</v>
      </c>
      <c r="C3735" s="37" t="s">
        <v>890</v>
      </c>
      <c r="D3735" s="20" t="s">
        <v>13</v>
      </c>
      <c r="E3735" s="38">
        <v>1.47</v>
      </c>
      <c r="F3735" s="22">
        <v>435000.0</v>
      </c>
      <c r="G3735" s="16">
        <f t="shared" si="247"/>
        <v>639450</v>
      </c>
      <c r="H3735" s="17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</row>
    <row r="3736">
      <c r="A3736" s="10">
        <v>3.0</v>
      </c>
      <c r="B3736" s="23" t="s">
        <v>14</v>
      </c>
      <c r="C3736" s="17"/>
      <c r="D3736" s="17"/>
      <c r="E3736" s="17"/>
      <c r="F3736" s="17"/>
      <c r="G3736" s="24">
        <f t="shared" si="247"/>
        <v>0</v>
      </c>
      <c r="H3736" s="17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</row>
    <row r="3737">
      <c r="A3737" s="25" t="s">
        <v>15</v>
      </c>
      <c r="B3737" s="2"/>
      <c r="C3737" s="2"/>
      <c r="D3737" s="2"/>
      <c r="E3737" s="2"/>
      <c r="F3737" s="2"/>
      <c r="G3737" s="3"/>
      <c r="H3737" s="26">
        <f>SUM(G3734:G3736)</f>
        <v>1225450</v>
      </c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</row>
    <row r="3738">
      <c r="A3738" s="25" t="s">
        <v>16</v>
      </c>
      <c r="B3738" s="2"/>
      <c r="C3738" s="2"/>
      <c r="D3738" s="2"/>
      <c r="E3738" s="2"/>
      <c r="F3738" s="2"/>
      <c r="G3738" s="3"/>
      <c r="H3738" s="26">
        <f>MAX(0,H3737-648000)</f>
        <v>577450</v>
      </c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</row>
    <row r="3739">
      <c r="A3739" s="27" t="s">
        <v>17</v>
      </c>
      <c r="B3739" s="2"/>
      <c r="C3739" s="2"/>
      <c r="D3739" s="2"/>
      <c r="E3739" s="2"/>
      <c r="F3739" s="2"/>
      <c r="G3739" s="3"/>
      <c r="H3739" s="28">
        <v>649000.0</v>
      </c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</row>
    <row r="3740">
      <c r="A3740" s="1" t="s">
        <v>18</v>
      </c>
      <c r="B3740" s="2"/>
      <c r="C3740" s="2"/>
      <c r="D3740" s="2"/>
      <c r="E3740" s="2"/>
      <c r="F3740" s="2"/>
      <c r="G3740" s="2"/>
      <c r="H3740" s="3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</row>
    <row r="3744">
      <c r="A3744" s="40"/>
    </row>
    <row r="3745" ht="29.25" customHeight="1">
      <c r="A3745" s="1" t="s">
        <v>0</v>
      </c>
      <c r="B3745" s="2"/>
      <c r="C3745" s="2"/>
      <c r="D3745" s="2"/>
      <c r="E3745" s="2"/>
      <c r="F3745" s="2"/>
      <c r="G3745" s="2"/>
      <c r="H3745" s="3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</row>
    <row r="3746">
      <c r="A3746" s="6" t="s">
        <v>891</v>
      </c>
      <c r="B3746" s="2"/>
      <c r="C3746" s="2"/>
      <c r="D3746" s="2"/>
      <c r="E3746" s="2"/>
      <c r="F3746" s="2"/>
      <c r="G3746" s="2"/>
      <c r="H3746" s="3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</row>
    <row r="3747">
      <c r="A3747" s="7" t="s">
        <v>2</v>
      </c>
      <c r="B3747" s="7" t="s">
        <v>3</v>
      </c>
      <c r="C3747" s="7" t="s">
        <v>4</v>
      </c>
      <c r="D3747" s="7" t="s">
        <v>5</v>
      </c>
      <c r="E3747" s="7" t="s">
        <v>6</v>
      </c>
      <c r="F3747" s="8" t="s">
        <v>7</v>
      </c>
      <c r="G3747" s="7" t="s">
        <v>8</v>
      </c>
      <c r="H3747" s="9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</row>
    <row r="3748">
      <c r="A3748" s="10">
        <v>1.0</v>
      </c>
      <c r="B3748" s="33" t="s">
        <v>12</v>
      </c>
      <c r="C3748" s="34" t="s">
        <v>876</v>
      </c>
      <c r="D3748" s="13" t="s">
        <v>11</v>
      </c>
      <c r="E3748" s="35">
        <v>2.0</v>
      </c>
      <c r="F3748" s="15">
        <v>293000.0</v>
      </c>
      <c r="G3748" s="16">
        <f t="shared" ref="G3748:G3750" si="248">IFERROR(E3748*F3748,0)</f>
        <v>586000</v>
      </c>
      <c r="H3748" s="17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</row>
    <row r="3749">
      <c r="A3749" s="10">
        <v>2.0</v>
      </c>
      <c r="B3749" s="36" t="s">
        <v>892</v>
      </c>
      <c r="C3749" s="37" t="s">
        <v>893</v>
      </c>
      <c r="D3749" s="20" t="s">
        <v>13</v>
      </c>
      <c r="E3749" s="38">
        <v>1.47</v>
      </c>
      <c r="F3749" s="22">
        <v>435000.0</v>
      </c>
      <c r="G3749" s="16">
        <f t="shared" si="248"/>
        <v>639450</v>
      </c>
      <c r="H3749" s="17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</row>
    <row r="3750">
      <c r="A3750" s="10">
        <v>3.0</v>
      </c>
      <c r="B3750" s="23" t="s">
        <v>14</v>
      </c>
      <c r="C3750" s="17"/>
      <c r="D3750" s="17"/>
      <c r="E3750" s="17"/>
      <c r="F3750" s="17"/>
      <c r="G3750" s="24">
        <f t="shared" si="248"/>
        <v>0</v>
      </c>
      <c r="H3750" s="17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</row>
    <row r="3751">
      <c r="A3751" s="25" t="s">
        <v>15</v>
      </c>
      <c r="B3751" s="2"/>
      <c r="C3751" s="2"/>
      <c r="D3751" s="2"/>
      <c r="E3751" s="2"/>
      <c r="F3751" s="2"/>
      <c r="G3751" s="3"/>
      <c r="H3751" s="26">
        <f>SUM(G3748:G3750)</f>
        <v>1225450</v>
      </c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</row>
    <row r="3752">
      <c r="A3752" s="25" t="s">
        <v>16</v>
      </c>
      <c r="B3752" s="2"/>
      <c r="C3752" s="2"/>
      <c r="D3752" s="2"/>
      <c r="E3752" s="2"/>
      <c r="F3752" s="2"/>
      <c r="G3752" s="3"/>
      <c r="H3752" s="26">
        <f>MAX(0,H3751-648000)</f>
        <v>577450</v>
      </c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</row>
    <row r="3753">
      <c r="A3753" s="27" t="s">
        <v>17</v>
      </c>
      <c r="B3753" s="2"/>
      <c r="C3753" s="2"/>
      <c r="D3753" s="2"/>
      <c r="E3753" s="2"/>
      <c r="F3753" s="2"/>
      <c r="G3753" s="3"/>
      <c r="H3753" s="28">
        <v>649000.0</v>
      </c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</row>
    <row r="3754">
      <c r="A3754" s="1" t="s">
        <v>18</v>
      </c>
      <c r="B3754" s="2"/>
      <c r="C3754" s="2"/>
      <c r="D3754" s="2"/>
      <c r="E3754" s="2"/>
      <c r="F3754" s="2"/>
      <c r="G3754" s="2"/>
      <c r="H3754" s="3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</row>
    <row r="3760" ht="29.25" customHeight="1">
      <c r="A3760" s="1" t="s">
        <v>0</v>
      </c>
      <c r="B3760" s="2"/>
      <c r="C3760" s="2"/>
      <c r="D3760" s="2"/>
      <c r="E3760" s="2"/>
      <c r="F3760" s="2"/>
      <c r="G3760" s="2"/>
      <c r="H3760" s="3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</row>
    <row r="3761">
      <c r="A3761" s="6" t="s">
        <v>894</v>
      </c>
      <c r="B3761" s="2"/>
      <c r="C3761" s="2"/>
      <c r="D3761" s="2"/>
      <c r="E3761" s="2"/>
      <c r="F3761" s="2"/>
      <c r="G3761" s="2"/>
      <c r="H3761" s="3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</row>
    <row r="3762">
      <c r="A3762" s="7" t="s">
        <v>2</v>
      </c>
      <c r="B3762" s="7" t="s">
        <v>3</v>
      </c>
      <c r="C3762" s="7" t="s">
        <v>4</v>
      </c>
      <c r="D3762" s="7" t="s">
        <v>5</v>
      </c>
      <c r="E3762" s="7" t="s">
        <v>6</v>
      </c>
      <c r="F3762" s="8" t="s">
        <v>7</v>
      </c>
      <c r="G3762" s="7" t="s">
        <v>8</v>
      </c>
      <c r="H3762" s="9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</row>
    <row r="3763">
      <c r="A3763" s="10">
        <v>1.0</v>
      </c>
      <c r="B3763" s="33" t="s">
        <v>12</v>
      </c>
      <c r="C3763" s="34">
        <v>2079.0</v>
      </c>
      <c r="D3763" s="13" t="s">
        <v>11</v>
      </c>
      <c r="E3763" s="35">
        <v>2.0</v>
      </c>
      <c r="F3763" s="15">
        <v>293000.0</v>
      </c>
      <c r="G3763" s="16">
        <f t="shared" ref="G3763:G3765" si="249">IFERROR(E3763*F3763,0)</f>
        <v>586000</v>
      </c>
      <c r="H3763" s="17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</row>
    <row r="3764">
      <c r="A3764" s="10">
        <v>2.0</v>
      </c>
      <c r="B3764" s="36" t="s">
        <v>895</v>
      </c>
      <c r="C3764" s="37" t="s">
        <v>896</v>
      </c>
      <c r="D3764" s="20" t="s">
        <v>13</v>
      </c>
      <c r="E3764" s="38">
        <v>1.4</v>
      </c>
      <c r="F3764" s="22">
        <v>435000.0</v>
      </c>
      <c r="G3764" s="16">
        <f t="shared" si="249"/>
        <v>609000</v>
      </c>
      <c r="H3764" s="17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</row>
    <row r="3765">
      <c r="A3765" s="10">
        <v>3.0</v>
      </c>
      <c r="B3765" s="23" t="s">
        <v>14</v>
      </c>
      <c r="C3765" s="17"/>
      <c r="D3765" s="17"/>
      <c r="E3765" s="17"/>
      <c r="F3765" s="17"/>
      <c r="G3765" s="24">
        <f t="shared" si="249"/>
        <v>0</v>
      </c>
      <c r="H3765" s="17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</row>
    <row r="3766">
      <c r="A3766" s="25" t="s">
        <v>15</v>
      </c>
      <c r="B3766" s="2"/>
      <c r="C3766" s="2"/>
      <c r="D3766" s="2"/>
      <c r="E3766" s="2"/>
      <c r="F3766" s="2"/>
      <c r="G3766" s="3"/>
      <c r="H3766" s="26">
        <f>SUM(G3763:G3765)</f>
        <v>1195000</v>
      </c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</row>
    <row r="3767">
      <c r="A3767" s="25" t="s">
        <v>16</v>
      </c>
      <c r="B3767" s="2"/>
      <c r="C3767" s="2"/>
      <c r="D3767" s="2"/>
      <c r="E3767" s="2"/>
      <c r="F3767" s="2"/>
      <c r="G3767" s="3"/>
      <c r="H3767" s="26">
        <f>MAX(0,H3766-648000)</f>
        <v>547000</v>
      </c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</row>
    <row r="3768">
      <c r="A3768" s="27" t="s">
        <v>17</v>
      </c>
      <c r="B3768" s="2"/>
      <c r="C3768" s="2"/>
      <c r="D3768" s="2"/>
      <c r="E3768" s="2"/>
      <c r="F3768" s="2"/>
      <c r="G3768" s="3"/>
      <c r="H3768" s="28">
        <v>649000.0</v>
      </c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</row>
    <row r="3769">
      <c r="A3769" s="1" t="s">
        <v>18</v>
      </c>
      <c r="B3769" s="2"/>
      <c r="C3769" s="2"/>
      <c r="D3769" s="2"/>
      <c r="E3769" s="2"/>
      <c r="F3769" s="2"/>
      <c r="G3769" s="2"/>
      <c r="H3769" s="3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</row>
    <row r="3776" ht="29.25" customHeight="1">
      <c r="A3776" s="1" t="s">
        <v>0</v>
      </c>
      <c r="B3776" s="2"/>
      <c r="C3776" s="2"/>
      <c r="D3776" s="2"/>
      <c r="E3776" s="2"/>
      <c r="F3776" s="2"/>
      <c r="G3776" s="2"/>
      <c r="H3776" s="3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</row>
    <row r="3777">
      <c r="A3777" s="6" t="s">
        <v>897</v>
      </c>
      <c r="B3777" s="2"/>
      <c r="C3777" s="2"/>
      <c r="D3777" s="2"/>
      <c r="E3777" s="2"/>
      <c r="F3777" s="2"/>
      <c r="G3777" s="2"/>
      <c r="H3777" s="3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</row>
    <row r="3778">
      <c r="A3778" s="7" t="s">
        <v>2</v>
      </c>
      <c r="B3778" s="7" t="s">
        <v>3</v>
      </c>
      <c r="C3778" s="7" t="s">
        <v>4</v>
      </c>
      <c r="D3778" s="7" t="s">
        <v>5</v>
      </c>
      <c r="E3778" s="7" t="s">
        <v>6</v>
      </c>
      <c r="F3778" s="8" t="s">
        <v>7</v>
      </c>
      <c r="G3778" s="7" t="s">
        <v>8</v>
      </c>
      <c r="H3778" s="9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</row>
    <row r="3779">
      <c r="A3779" s="10">
        <v>1.0</v>
      </c>
      <c r="B3779" s="33" t="s">
        <v>898</v>
      </c>
      <c r="C3779" s="34" t="s">
        <v>899</v>
      </c>
      <c r="D3779" s="13" t="s">
        <v>11</v>
      </c>
      <c r="E3779" s="35">
        <v>1.5</v>
      </c>
      <c r="F3779" s="15">
        <v>293000.0</v>
      </c>
      <c r="G3779" s="16">
        <f t="shared" ref="G3779:G3781" si="250">IFERROR(E3779*F3779,0)</f>
        <v>439500</v>
      </c>
      <c r="H3779" s="17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</row>
    <row r="3780">
      <c r="A3780" s="10">
        <v>2.0</v>
      </c>
      <c r="B3780" s="36" t="s">
        <v>25</v>
      </c>
      <c r="C3780" s="37" t="s">
        <v>900</v>
      </c>
      <c r="D3780" s="20" t="s">
        <v>13</v>
      </c>
      <c r="E3780" s="38">
        <v>2.0</v>
      </c>
      <c r="F3780" s="22">
        <v>435000.0</v>
      </c>
      <c r="G3780" s="16">
        <f t="shared" si="250"/>
        <v>870000</v>
      </c>
      <c r="H3780" s="17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</row>
    <row r="3781">
      <c r="A3781" s="10">
        <v>3.0</v>
      </c>
      <c r="B3781" s="23" t="s">
        <v>14</v>
      </c>
      <c r="C3781" s="17"/>
      <c r="D3781" s="17"/>
      <c r="E3781" s="17"/>
      <c r="F3781" s="17"/>
      <c r="G3781" s="24">
        <f t="shared" si="250"/>
        <v>0</v>
      </c>
      <c r="H3781" s="17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</row>
    <row r="3782">
      <c r="A3782" s="25" t="s">
        <v>15</v>
      </c>
      <c r="B3782" s="2"/>
      <c r="C3782" s="2"/>
      <c r="D3782" s="2"/>
      <c r="E3782" s="2"/>
      <c r="F3782" s="2"/>
      <c r="G3782" s="3"/>
      <c r="H3782" s="26">
        <f>SUM(G3779:G3781)</f>
        <v>1309500</v>
      </c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</row>
    <row r="3783">
      <c r="A3783" s="25" t="s">
        <v>16</v>
      </c>
      <c r="B3783" s="2"/>
      <c r="C3783" s="2"/>
      <c r="D3783" s="2"/>
      <c r="E3783" s="2"/>
      <c r="F3783" s="2"/>
      <c r="G3783" s="3"/>
      <c r="H3783" s="26">
        <f>MAX(0,H3782-648000)</f>
        <v>661500</v>
      </c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</row>
    <row r="3784">
      <c r="A3784" s="27" t="s">
        <v>17</v>
      </c>
      <c r="B3784" s="2"/>
      <c r="C3784" s="2"/>
      <c r="D3784" s="2"/>
      <c r="E3784" s="2"/>
      <c r="F3784" s="2"/>
      <c r="G3784" s="3"/>
      <c r="H3784" s="28">
        <v>649000.0</v>
      </c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</row>
    <row r="3785">
      <c r="A3785" s="1" t="s">
        <v>18</v>
      </c>
      <c r="B3785" s="2"/>
      <c r="C3785" s="2"/>
      <c r="D3785" s="2"/>
      <c r="E3785" s="2"/>
      <c r="F3785" s="2"/>
      <c r="G3785" s="2"/>
      <c r="H3785" s="3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</row>
    <row r="3790" ht="29.25" customHeight="1">
      <c r="A3790" s="1" t="s">
        <v>0</v>
      </c>
      <c r="B3790" s="2"/>
      <c r="C3790" s="2"/>
      <c r="D3790" s="2"/>
      <c r="E3790" s="2"/>
      <c r="F3790" s="2"/>
      <c r="G3790" s="2"/>
      <c r="H3790" s="3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</row>
    <row r="3791">
      <c r="A3791" s="6" t="s">
        <v>901</v>
      </c>
      <c r="B3791" s="2"/>
      <c r="C3791" s="2"/>
      <c r="D3791" s="2"/>
      <c r="E3791" s="2"/>
      <c r="F3791" s="2"/>
      <c r="G3791" s="2"/>
      <c r="H3791" s="3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</row>
    <row r="3792">
      <c r="A3792" s="7" t="s">
        <v>2</v>
      </c>
      <c r="B3792" s="7" t="s">
        <v>3</v>
      </c>
      <c r="C3792" s="7" t="s">
        <v>4</v>
      </c>
      <c r="D3792" s="7" t="s">
        <v>5</v>
      </c>
      <c r="E3792" s="7" t="s">
        <v>6</v>
      </c>
      <c r="F3792" s="8" t="s">
        <v>7</v>
      </c>
      <c r="G3792" s="7" t="s">
        <v>8</v>
      </c>
      <c r="H3792" s="9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</row>
    <row r="3793">
      <c r="A3793" s="10">
        <v>1.0</v>
      </c>
      <c r="B3793" s="33" t="s">
        <v>137</v>
      </c>
      <c r="C3793" s="34" t="s">
        <v>902</v>
      </c>
      <c r="D3793" s="13" t="s">
        <v>11</v>
      </c>
      <c r="E3793" s="35">
        <v>2.6</v>
      </c>
      <c r="F3793" s="15">
        <v>293000.0</v>
      </c>
      <c r="G3793" s="16">
        <f t="shared" ref="G3793:G3795" si="251">IFERROR(E3793*F3793,0)</f>
        <v>761800</v>
      </c>
      <c r="H3793" s="17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</row>
    <row r="3794">
      <c r="A3794" s="10">
        <v>2.0</v>
      </c>
      <c r="B3794" s="36" t="s">
        <v>903</v>
      </c>
      <c r="C3794" s="37" t="s">
        <v>904</v>
      </c>
      <c r="D3794" s="20" t="s">
        <v>13</v>
      </c>
      <c r="E3794" s="38">
        <v>1.0</v>
      </c>
      <c r="F3794" s="22">
        <v>435000.0</v>
      </c>
      <c r="G3794" s="16">
        <f t="shared" si="251"/>
        <v>435000</v>
      </c>
      <c r="H3794" s="17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</row>
    <row r="3795">
      <c r="A3795" s="10">
        <v>3.0</v>
      </c>
      <c r="B3795" s="23" t="s">
        <v>14</v>
      </c>
      <c r="C3795" s="17"/>
      <c r="D3795" s="17"/>
      <c r="E3795" s="17"/>
      <c r="F3795" s="17"/>
      <c r="G3795" s="24">
        <f t="shared" si="251"/>
        <v>0</v>
      </c>
      <c r="H3795" s="17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</row>
    <row r="3796">
      <c r="A3796" s="25" t="s">
        <v>15</v>
      </c>
      <c r="B3796" s="2"/>
      <c r="C3796" s="2"/>
      <c r="D3796" s="2"/>
      <c r="E3796" s="2"/>
      <c r="F3796" s="2"/>
      <c r="G3796" s="3"/>
      <c r="H3796" s="26">
        <f>SUM(G3793:G3795)</f>
        <v>1196800</v>
      </c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</row>
    <row r="3797">
      <c r="A3797" s="25" t="s">
        <v>16</v>
      </c>
      <c r="B3797" s="2"/>
      <c r="C3797" s="2"/>
      <c r="D3797" s="2"/>
      <c r="E3797" s="2"/>
      <c r="F3797" s="2"/>
      <c r="G3797" s="3"/>
      <c r="H3797" s="26">
        <f>MAX(0,H3796-648000)</f>
        <v>548800</v>
      </c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</row>
    <row r="3798">
      <c r="A3798" s="27" t="s">
        <v>17</v>
      </c>
      <c r="B3798" s="2"/>
      <c r="C3798" s="2"/>
      <c r="D3798" s="2"/>
      <c r="E3798" s="2"/>
      <c r="F3798" s="2"/>
      <c r="G3798" s="3"/>
      <c r="H3798" s="28">
        <v>649000.0</v>
      </c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</row>
    <row r="3799">
      <c r="A3799" s="1" t="s">
        <v>18</v>
      </c>
      <c r="B3799" s="2"/>
      <c r="C3799" s="2"/>
      <c r="D3799" s="2"/>
      <c r="E3799" s="2"/>
      <c r="F3799" s="2"/>
      <c r="G3799" s="2"/>
      <c r="H3799" s="3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</row>
    <row r="3805" ht="29.25" customHeight="1">
      <c r="A3805" s="1" t="s">
        <v>0</v>
      </c>
      <c r="B3805" s="2"/>
      <c r="C3805" s="2"/>
      <c r="D3805" s="2"/>
      <c r="E3805" s="2"/>
      <c r="F3805" s="2"/>
      <c r="G3805" s="2"/>
      <c r="H3805" s="3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</row>
    <row r="3806">
      <c r="A3806" s="6" t="s">
        <v>905</v>
      </c>
      <c r="B3806" s="2"/>
      <c r="C3806" s="2"/>
      <c r="D3806" s="2"/>
      <c r="E3806" s="2"/>
      <c r="F3806" s="2"/>
      <c r="G3806" s="2"/>
      <c r="H3806" s="3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</row>
    <row r="3807">
      <c r="A3807" s="7" t="s">
        <v>2</v>
      </c>
      <c r="B3807" s="7" t="s">
        <v>3</v>
      </c>
      <c r="C3807" s="7" t="s">
        <v>4</v>
      </c>
      <c r="D3807" s="7" t="s">
        <v>5</v>
      </c>
      <c r="E3807" s="7" t="s">
        <v>6</v>
      </c>
      <c r="F3807" s="8" t="s">
        <v>7</v>
      </c>
      <c r="G3807" s="7" t="s">
        <v>8</v>
      </c>
      <c r="H3807" s="9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</row>
    <row r="3808">
      <c r="A3808" s="10">
        <v>1.0</v>
      </c>
      <c r="B3808" s="33" t="s">
        <v>9</v>
      </c>
      <c r="C3808" s="34" t="s">
        <v>906</v>
      </c>
      <c r="D3808" s="13" t="s">
        <v>11</v>
      </c>
      <c r="E3808" s="35">
        <v>2.4</v>
      </c>
      <c r="F3808" s="15">
        <v>293000.0</v>
      </c>
      <c r="G3808" s="16">
        <f t="shared" ref="G3808:G3810" si="252">IFERROR(E3808*F3808,0)</f>
        <v>703200</v>
      </c>
      <c r="H3808" s="17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</row>
    <row r="3809">
      <c r="A3809" s="10">
        <v>2.0</v>
      </c>
      <c r="B3809" s="36" t="s">
        <v>118</v>
      </c>
      <c r="C3809" s="37" t="s">
        <v>907</v>
      </c>
      <c r="D3809" s="20" t="s">
        <v>13</v>
      </c>
      <c r="E3809" s="38">
        <v>1.0</v>
      </c>
      <c r="F3809" s="22">
        <v>435000.0</v>
      </c>
      <c r="G3809" s="16">
        <f t="shared" si="252"/>
        <v>435000</v>
      </c>
      <c r="H3809" s="17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</row>
    <row r="3810">
      <c r="A3810" s="10">
        <v>3.0</v>
      </c>
      <c r="B3810" s="23" t="s">
        <v>14</v>
      </c>
      <c r="C3810" s="17"/>
      <c r="D3810" s="17"/>
      <c r="E3810" s="17"/>
      <c r="F3810" s="17"/>
      <c r="G3810" s="24">
        <f t="shared" si="252"/>
        <v>0</v>
      </c>
      <c r="H3810" s="17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</row>
    <row r="3811">
      <c r="A3811" s="25" t="s">
        <v>15</v>
      </c>
      <c r="B3811" s="2"/>
      <c r="C3811" s="2"/>
      <c r="D3811" s="2"/>
      <c r="E3811" s="2"/>
      <c r="F3811" s="2"/>
      <c r="G3811" s="3"/>
      <c r="H3811" s="26">
        <f>SUM(G3808:G3810)</f>
        <v>1138200</v>
      </c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</row>
    <row r="3812">
      <c r="A3812" s="25" t="s">
        <v>16</v>
      </c>
      <c r="B3812" s="2"/>
      <c r="C3812" s="2"/>
      <c r="D3812" s="2"/>
      <c r="E3812" s="2"/>
      <c r="F3812" s="2"/>
      <c r="G3812" s="3"/>
      <c r="H3812" s="26">
        <f>MAX(0,H3811-648000)</f>
        <v>490200</v>
      </c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</row>
    <row r="3813">
      <c r="A3813" s="27" t="s">
        <v>17</v>
      </c>
      <c r="B3813" s="2"/>
      <c r="C3813" s="2"/>
      <c r="D3813" s="2"/>
      <c r="E3813" s="2"/>
      <c r="F3813" s="2"/>
      <c r="G3813" s="3"/>
      <c r="H3813" s="28">
        <v>649000.0</v>
      </c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</row>
    <row r="3814">
      <c r="A3814" s="1" t="s">
        <v>18</v>
      </c>
      <c r="B3814" s="2"/>
      <c r="C3814" s="2"/>
      <c r="D3814" s="2"/>
      <c r="E3814" s="2"/>
      <c r="F3814" s="2"/>
      <c r="G3814" s="2"/>
      <c r="H3814" s="3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</row>
    <row r="3819" ht="29.25" customHeight="1">
      <c r="A3819" s="1" t="s">
        <v>0</v>
      </c>
      <c r="B3819" s="2"/>
      <c r="C3819" s="2"/>
      <c r="D3819" s="2"/>
      <c r="E3819" s="2"/>
      <c r="F3819" s="2"/>
      <c r="G3819" s="2"/>
      <c r="H3819" s="3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</row>
    <row r="3820">
      <c r="A3820" s="6" t="s">
        <v>908</v>
      </c>
      <c r="B3820" s="2"/>
      <c r="C3820" s="2"/>
      <c r="D3820" s="2"/>
      <c r="E3820" s="2"/>
      <c r="F3820" s="2"/>
      <c r="G3820" s="2"/>
      <c r="H3820" s="3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</row>
    <row r="3821">
      <c r="A3821" s="7" t="s">
        <v>2</v>
      </c>
      <c r="B3821" s="7" t="s">
        <v>3</v>
      </c>
      <c r="C3821" s="7" t="s">
        <v>4</v>
      </c>
      <c r="D3821" s="7" t="s">
        <v>5</v>
      </c>
      <c r="E3821" s="7" t="s">
        <v>6</v>
      </c>
      <c r="F3821" s="8" t="s">
        <v>7</v>
      </c>
      <c r="G3821" s="7" t="s">
        <v>8</v>
      </c>
      <c r="H3821" s="9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</row>
    <row r="3822">
      <c r="A3822" s="10">
        <v>1.0</v>
      </c>
      <c r="B3822" s="33" t="s">
        <v>41</v>
      </c>
      <c r="C3822" s="34" t="s">
        <v>909</v>
      </c>
      <c r="D3822" s="13" t="s">
        <v>11</v>
      </c>
      <c r="E3822" s="35">
        <v>1.4</v>
      </c>
      <c r="F3822" s="15">
        <v>293000.0</v>
      </c>
      <c r="G3822" s="16">
        <f t="shared" ref="G3822:G3824" si="253">IFERROR(E3822*F3822,0)</f>
        <v>410200</v>
      </c>
      <c r="H3822" s="17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</row>
    <row r="3823">
      <c r="A3823" s="10">
        <v>2.0</v>
      </c>
      <c r="B3823" s="36" t="s">
        <v>151</v>
      </c>
      <c r="C3823" s="37" t="s">
        <v>910</v>
      </c>
      <c r="D3823" s="20" t="s">
        <v>13</v>
      </c>
      <c r="E3823" s="38">
        <v>2.0</v>
      </c>
      <c r="F3823" s="22">
        <v>435000.0</v>
      </c>
      <c r="G3823" s="16">
        <f t="shared" si="253"/>
        <v>870000</v>
      </c>
      <c r="H3823" s="17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</row>
    <row r="3824">
      <c r="A3824" s="10">
        <v>3.0</v>
      </c>
      <c r="B3824" s="23" t="s">
        <v>14</v>
      </c>
      <c r="C3824" s="17"/>
      <c r="D3824" s="17"/>
      <c r="E3824" s="17"/>
      <c r="F3824" s="17"/>
      <c r="G3824" s="24">
        <f t="shared" si="253"/>
        <v>0</v>
      </c>
      <c r="H3824" s="17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</row>
    <row r="3825">
      <c r="A3825" s="25" t="s">
        <v>15</v>
      </c>
      <c r="B3825" s="2"/>
      <c r="C3825" s="2"/>
      <c r="D3825" s="2"/>
      <c r="E3825" s="2"/>
      <c r="F3825" s="2"/>
      <c r="G3825" s="3"/>
      <c r="H3825" s="26">
        <f>SUM(G3822:G3824)</f>
        <v>1280200</v>
      </c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</row>
    <row r="3826">
      <c r="A3826" s="25" t="s">
        <v>16</v>
      </c>
      <c r="B3826" s="2"/>
      <c r="C3826" s="2"/>
      <c r="D3826" s="2"/>
      <c r="E3826" s="2"/>
      <c r="F3826" s="2"/>
      <c r="G3826" s="3"/>
      <c r="H3826" s="26">
        <f>MAX(0,H3825-648000)</f>
        <v>632200</v>
      </c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</row>
    <row r="3827">
      <c r="A3827" s="27" t="s">
        <v>17</v>
      </c>
      <c r="B3827" s="2"/>
      <c r="C3827" s="2"/>
      <c r="D3827" s="2"/>
      <c r="E3827" s="2"/>
      <c r="F3827" s="2"/>
      <c r="G3827" s="3"/>
      <c r="H3827" s="28">
        <v>649000.0</v>
      </c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</row>
    <row r="3828">
      <c r="A3828" s="1" t="s">
        <v>18</v>
      </c>
      <c r="B3828" s="2"/>
      <c r="C3828" s="2"/>
      <c r="D3828" s="2"/>
      <c r="E3828" s="2"/>
      <c r="F3828" s="2"/>
      <c r="G3828" s="2"/>
      <c r="H3828" s="3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</row>
    <row r="3834" ht="29.25" customHeight="1">
      <c r="A3834" s="1" t="s">
        <v>0</v>
      </c>
      <c r="B3834" s="2"/>
      <c r="C3834" s="2"/>
      <c r="D3834" s="2"/>
      <c r="E3834" s="2"/>
      <c r="F3834" s="2"/>
      <c r="G3834" s="2"/>
      <c r="H3834" s="3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</row>
    <row r="3835">
      <c r="A3835" s="6" t="s">
        <v>911</v>
      </c>
      <c r="B3835" s="2"/>
      <c r="C3835" s="2"/>
      <c r="D3835" s="2"/>
      <c r="E3835" s="2"/>
      <c r="F3835" s="2"/>
      <c r="G3835" s="2"/>
      <c r="H3835" s="3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</row>
    <row r="3836">
      <c r="A3836" s="7" t="s">
        <v>2</v>
      </c>
      <c r="B3836" s="7" t="s">
        <v>3</v>
      </c>
      <c r="C3836" s="7" t="s">
        <v>4</v>
      </c>
      <c r="D3836" s="7" t="s">
        <v>5</v>
      </c>
      <c r="E3836" s="7" t="s">
        <v>6</v>
      </c>
      <c r="F3836" s="8" t="s">
        <v>7</v>
      </c>
      <c r="G3836" s="7" t="s">
        <v>8</v>
      </c>
      <c r="H3836" s="9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</row>
    <row r="3837">
      <c r="A3837" s="10">
        <v>1.0</v>
      </c>
      <c r="B3837" s="33" t="s">
        <v>178</v>
      </c>
      <c r="C3837" s="34" t="s">
        <v>158</v>
      </c>
      <c r="D3837" s="13" t="s">
        <v>11</v>
      </c>
      <c r="E3837" s="35">
        <v>2.0</v>
      </c>
      <c r="F3837" s="15">
        <v>293000.0</v>
      </c>
      <c r="G3837" s="16">
        <f t="shared" ref="G3837:G3839" si="254">IFERROR(E3837*F3837,0)</f>
        <v>586000</v>
      </c>
      <c r="H3837" s="17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</row>
    <row r="3838">
      <c r="A3838" s="10">
        <v>2.0</v>
      </c>
      <c r="B3838" s="36" t="s">
        <v>526</v>
      </c>
      <c r="C3838" s="37" t="s">
        <v>912</v>
      </c>
      <c r="D3838" s="20" t="s">
        <v>13</v>
      </c>
      <c r="E3838" s="38">
        <v>1.28</v>
      </c>
      <c r="F3838" s="22">
        <v>435000.0</v>
      </c>
      <c r="G3838" s="16">
        <f t="shared" si="254"/>
        <v>556800</v>
      </c>
      <c r="H3838" s="17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</row>
    <row r="3839">
      <c r="A3839" s="10">
        <v>3.0</v>
      </c>
      <c r="B3839" s="23" t="s">
        <v>14</v>
      </c>
      <c r="C3839" s="17"/>
      <c r="D3839" s="17"/>
      <c r="E3839" s="31" t="s">
        <v>181</v>
      </c>
      <c r="F3839" s="17"/>
      <c r="G3839" s="24">
        <f t="shared" si="254"/>
        <v>0</v>
      </c>
      <c r="H3839" s="17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</row>
    <row r="3840">
      <c r="A3840" s="25" t="s">
        <v>15</v>
      </c>
      <c r="B3840" s="2"/>
      <c r="C3840" s="2"/>
      <c r="D3840" s="2"/>
      <c r="E3840" s="2"/>
      <c r="F3840" s="2"/>
      <c r="G3840" s="3"/>
      <c r="H3840" s="26">
        <f>SUM(G3837:G3839)</f>
        <v>1142800</v>
      </c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</row>
    <row r="3841">
      <c r="A3841" s="25" t="s">
        <v>16</v>
      </c>
      <c r="B3841" s="2"/>
      <c r="C3841" s="2"/>
      <c r="D3841" s="2"/>
      <c r="E3841" s="2"/>
      <c r="F3841" s="2"/>
      <c r="G3841" s="3"/>
      <c r="H3841" s="26">
        <f>MAX(0,H3840-648000)</f>
        <v>494800</v>
      </c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</row>
    <row r="3842">
      <c r="A3842" s="27" t="s">
        <v>17</v>
      </c>
      <c r="B3842" s="2"/>
      <c r="C3842" s="2"/>
      <c r="D3842" s="2"/>
      <c r="E3842" s="2"/>
      <c r="F3842" s="2"/>
      <c r="G3842" s="3"/>
      <c r="H3842" s="28">
        <v>649000.0</v>
      </c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</row>
    <row r="3843">
      <c r="A3843" s="1" t="s">
        <v>18</v>
      </c>
      <c r="B3843" s="2"/>
      <c r="C3843" s="2"/>
      <c r="D3843" s="2"/>
      <c r="E3843" s="2"/>
      <c r="F3843" s="2"/>
      <c r="G3843" s="2"/>
      <c r="H3843" s="3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</row>
    <row r="3850" ht="29.25" customHeight="1">
      <c r="A3850" s="1" t="s">
        <v>0</v>
      </c>
      <c r="B3850" s="2"/>
      <c r="C3850" s="2"/>
      <c r="D3850" s="2"/>
      <c r="E3850" s="2"/>
      <c r="F3850" s="2"/>
      <c r="G3850" s="2"/>
      <c r="H3850" s="3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</row>
    <row r="3851">
      <c r="A3851" s="6" t="s">
        <v>913</v>
      </c>
      <c r="B3851" s="2"/>
      <c r="C3851" s="2"/>
      <c r="D3851" s="2"/>
      <c r="E3851" s="2"/>
      <c r="F3851" s="2"/>
      <c r="G3851" s="2"/>
      <c r="H3851" s="3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</row>
    <row r="3852">
      <c r="A3852" s="7" t="s">
        <v>2</v>
      </c>
      <c r="B3852" s="7" t="s">
        <v>3</v>
      </c>
      <c r="C3852" s="7" t="s">
        <v>4</v>
      </c>
      <c r="D3852" s="7" t="s">
        <v>5</v>
      </c>
      <c r="E3852" s="7" t="s">
        <v>6</v>
      </c>
      <c r="F3852" s="8" t="s">
        <v>7</v>
      </c>
      <c r="G3852" s="7" t="s">
        <v>8</v>
      </c>
      <c r="H3852" s="9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</row>
    <row r="3853">
      <c r="A3853" s="10">
        <v>1.0</v>
      </c>
      <c r="B3853" s="33" t="s">
        <v>914</v>
      </c>
      <c r="C3853" s="34" t="s">
        <v>915</v>
      </c>
      <c r="D3853" s="13" t="s">
        <v>11</v>
      </c>
      <c r="E3853" s="35">
        <v>1.45</v>
      </c>
      <c r="F3853" s="15">
        <v>293000.0</v>
      </c>
      <c r="G3853" s="16">
        <f t="shared" ref="G3853:G3855" si="255">IFERROR(E3853*F3853,0)</f>
        <v>424850</v>
      </c>
      <c r="H3853" s="17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</row>
    <row r="3854">
      <c r="A3854" s="10">
        <v>2.0</v>
      </c>
      <c r="B3854" s="36" t="s">
        <v>870</v>
      </c>
      <c r="C3854" s="37" t="s">
        <v>871</v>
      </c>
      <c r="D3854" s="20" t="s">
        <v>13</v>
      </c>
      <c r="E3854" s="38">
        <v>2.0</v>
      </c>
      <c r="F3854" s="22">
        <v>435000.0</v>
      </c>
      <c r="G3854" s="16">
        <f t="shared" si="255"/>
        <v>870000</v>
      </c>
      <c r="H3854" s="17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</row>
    <row r="3855">
      <c r="A3855" s="10">
        <v>3.0</v>
      </c>
      <c r="B3855" s="23" t="s">
        <v>14</v>
      </c>
      <c r="C3855" s="17"/>
      <c r="D3855" s="17"/>
      <c r="E3855" s="17"/>
      <c r="F3855" s="17"/>
      <c r="G3855" s="24">
        <f t="shared" si="255"/>
        <v>0</v>
      </c>
      <c r="H3855" s="17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</row>
    <row r="3856">
      <c r="A3856" s="25" t="s">
        <v>15</v>
      </c>
      <c r="B3856" s="2"/>
      <c r="C3856" s="2"/>
      <c r="D3856" s="2"/>
      <c r="E3856" s="2"/>
      <c r="F3856" s="2"/>
      <c r="G3856" s="3"/>
      <c r="H3856" s="26">
        <f>SUM(G3853:G3855)</f>
        <v>1294850</v>
      </c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</row>
    <row r="3857">
      <c r="A3857" s="25" t="s">
        <v>16</v>
      </c>
      <c r="B3857" s="2"/>
      <c r="C3857" s="2"/>
      <c r="D3857" s="2"/>
      <c r="E3857" s="2"/>
      <c r="F3857" s="2"/>
      <c r="G3857" s="3"/>
      <c r="H3857" s="26">
        <f>MAX(0,H3856-648000)</f>
        <v>646850</v>
      </c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</row>
    <row r="3858">
      <c r="A3858" s="27" t="s">
        <v>17</v>
      </c>
      <c r="B3858" s="2"/>
      <c r="C3858" s="2"/>
      <c r="D3858" s="2"/>
      <c r="E3858" s="2"/>
      <c r="F3858" s="2"/>
      <c r="G3858" s="3"/>
      <c r="H3858" s="28">
        <v>649000.0</v>
      </c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</row>
    <row r="3859">
      <c r="A3859" s="1" t="s">
        <v>18</v>
      </c>
      <c r="B3859" s="2"/>
      <c r="C3859" s="2"/>
      <c r="D3859" s="2"/>
      <c r="E3859" s="2"/>
      <c r="F3859" s="2"/>
      <c r="G3859" s="2"/>
      <c r="H3859" s="3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</row>
    <row r="3867" ht="29.25" customHeight="1">
      <c r="A3867" s="1" t="s">
        <v>0</v>
      </c>
      <c r="B3867" s="2"/>
      <c r="C3867" s="2"/>
      <c r="D3867" s="2"/>
      <c r="E3867" s="2"/>
      <c r="F3867" s="2"/>
      <c r="G3867" s="2"/>
      <c r="H3867" s="3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</row>
    <row r="3868">
      <c r="A3868" s="6" t="s">
        <v>916</v>
      </c>
      <c r="B3868" s="2"/>
      <c r="C3868" s="2"/>
      <c r="D3868" s="2"/>
      <c r="E3868" s="2"/>
      <c r="F3868" s="2"/>
      <c r="G3868" s="2"/>
      <c r="H3868" s="3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</row>
    <row r="3869">
      <c r="A3869" s="7" t="s">
        <v>2</v>
      </c>
      <c r="B3869" s="7" t="s">
        <v>3</v>
      </c>
      <c r="C3869" s="7" t="s">
        <v>4</v>
      </c>
      <c r="D3869" s="7" t="s">
        <v>5</v>
      </c>
      <c r="E3869" s="7" t="s">
        <v>6</v>
      </c>
      <c r="F3869" s="8" t="s">
        <v>7</v>
      </c>
      <c r="G3869" s="7" t="s">
        <v>8</v>
      </c>
      <c r="H3869" s="9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</row>
    <row r="3870">
      <c r="A3870" s="10">
        <v>1.0</v>
      </c>
      <c r="B3870" s="33" t="s">
        <v>12</v>
      </c>
      <c r="C3870" s="34" t="s">
        <v>876</v>
      </c>
      <c r="D3870" s="13" t="s">
        <v>11</v>
      </c>
      <c r="E3870" s="35">
        <v>2.0</v>
      </c>
      <c r="F3870" s="15">
        <v>293000.0</v>
      </c>
      <c r="G3870" s="16">
        <f t="shared" ref="G3870:G3872" si="256">IFERROR(E3870*F3870,0)</f>
        <v>586000</v>
      </c>
      <c r="H3870" s="17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</row>
    <row r="3871">
      <c r="A3871" s="10">
        <v>2.0</v>
      </c>
      <c r="B3871" s="36" t="s">
        <v>533</v>
      </c>
      <c r="C3871" s="37" t="s">
        <v>917</v>
      </c>
      <c r="D3871" s="20" t="s">
        <v>13</v>
      </c>
      <c r="E3871" s="38">
        <v>1.64</v>
      </c>
      <c r="F3871" s="22">
        <v>435000.0</v>
      </c>
      <c r="G3871" s="16">
        <f t="shared" si="256"/>
        <v>713400</v>
      </c>
      <c r="H3871" s="17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</row>
    <row r="3872">
      <c r="A3872" s="10">
        <v>3.0</v>
      </c>
      <c r="B3872" s="23" t="s">
        <v>14</v>
      </c>
      <c r="C3872" s="17"/>
      <c r="D3872" s="17"/>
      <c r="E3872" s="17"/>
      <c r="F3872" s="17"/>
      <c r="G3872" s="24">
        <f t="shared" si="256"/>
        <v>0</v>
      </c>
      <c r="H3872" s="17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</row>
    <row r="3873">
      <c r="A3873" s="25" t="s">
        <v>15</v>
      </c>
      <c r="B3873" s="2"/>
      <c r="C3873" s="2"/>
      <c r="D3873" s="2"/>
      <c r="E3873" s="2"/>
      <c r="F3873" s="2"/>
      <c r="G3873" s="3"/>
      <c r="H3873" s="26">
        <f>SUM(G3870:G3872)</f>
        <v>1299400</v>
      </c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</row>
    <row r="3874">
      <c r="A3874" s="25" t="s">
        <v>16</v>
      </c>
      <c r="B3874" s="2"/>
      <c r="C3874" s="2"/>
      <c r="D3874" s="2"/>
      <c r="E3874" s="2"/>
      <c r="F3874" s="2"/>
      <c r="G3874" s="3"/>
      <c r="H3874" s="26">
        <f>MAX(0,H3873-648000)</f>
        <v>651400</v>
      </c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</row>
    <row r="3875">
      <c r="A3875" s="27" t="s">
        <v>17</v>
      </c>
      <c r="B3875" s="2"/>
      <c r="C3875" s="2"/>
      <c r="D3875" s="2"/>
      <c r="E3875" s="2"/>
      <c r="F3875" s="2"/>
      <c r="G3875" s="3"/>
      <c r="H3875" s="28">
        <v>649000.0</v>
      </c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</row>
    <row r="3876">
      <c r="A3876" s="1" t="s">
        <v>18</v>
      </c>
      <c r="B3876" s="2"/>
      <c r="C3876" s="2"/>
      <c r="D3876" s="2"/>
      <c r="E3876" s="2"/>
      <c r="F3876" s="2"/>
      <c r="G3876" s="2"/>
      <c r="H3876" s="3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</row>
    <row r="3883" ht="29.25" customHeight="1">
      <c r="A3883" s="1" t="s">
        <v>0</v>
      </c>
      <c r="B3883" s="2"/>
      <c r="C3883" s="2"/>
      <c r="D3883" s="2"/>
      <c r="E3883" s="2"/>
      <c r="F3883" s="2"/>
      <c r="G3883" s="2"/>
      <c r="H3883" s="3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</row>
    <row r="3884">
      <c r="A3884" s="6" t="s">
        <v>918</v>
      </c>
      <c r="B3884" s="2"/>
      <c r="C3884" s="2"/>
      <c r="D3884" s="2"/>
      <c r="E3884" s="2"/>
      <c r="F3884" s="2"/>
      <c r="G3884" s="2"/>
      <c r="H3884" s="3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</row>
    <row r="3885">
      <c r="A3885" s="7" t="s">
        <v>2</v>
      </c>
      <c r="B3885" s="7" t="s">
        <v>3</v>
      </c>
      <c r="C3885" s="7" t="s">
        <v>4</v>
      </c>
      <c r="D3885" s="7" t="s">
        <v>5</v>
      </c>
      <c r="E3885" s="7" t="s">
        <v>6</v>
      </c>
      <c r="F3885" s="8" t="s">
        <v>7</v>
      </c>
      <c r="G3885" s="7" t="s">
        <v>8</v>
      </c>
      <c r="H3885" s="9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</row>
    <row r="3886">
      <c r="A3886" s="10">
        <v>1.0</v>
      </c>
      <c r="B3886" s="33" t="s">
        <v>282</v>
      </c>
      <c r="C3886" s="34" t="s">
        <v>919</v>
      </c>
      <c r="D3886" s="13" t="s">
        <v>11</v>
      </c>
      <c r="E3886" s="35">
        <v>2.75</v>
      </c>
      <c r="F3886" s="15">
        <v>293000.0</v>
      </c>
      <c r="G3886" s="16">
        <f t="shared" ref="G3886:G3888" si="257">IFERROR(E3886*F3886,0)</f>
        <v>805750</v>
      </c>
      <c r="H3886" s="17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</row>
    <row r="3887">
      <c r="A3887" s="10">
        <v>2.0</v>
      </c>
      <c r="B3887" s="36" t="s">
        <v>597</v>
      </c>
      <c r="C3887" s="37" t="s">
        <v>920</v>
      </c>
      <c r="D3887" s="20" t="s">
        <v>13</v>
      </c>
      <c r="E3887" s="38">
        <v>1.0</v>
      </c>
      <c r="F3887" s="22">
        <v>435000.0</v>
      </c>
      <c r="G3887" s="16">
        <f t="shared" si="257"/>
        <v>435000</v>
      </c>
      <c r="H3887" s="17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</row>
    <row r="3888">
      <c r="A3888" s="10">
        <v>3.0</v>
      </c>
      <c r="B3888" s="23" t="s">
        <v>14</v>
      </c>
      <c r="C3888" s="17"/>
      <c r="D3888" s="17"/>
      <c r="E3888" s="17"/>
      <c r="F3888" s="17"/>
      <c r="G3888" s="24">
        <f t="shared" si="257"/>
        <v>0</v>
      </c>
      <c r="H3888" s="17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</row>
    <row r="3889">
      <c r="A3889" s="25" t="s">
        <v>15</v>
      </c>
      <c r="B3889" s="2"/>
      <c r="C3889" s="2"/>
      <c r="D3889" s="2"/>
      <c r="E3889" s="2"/>
      <c r="F3889" s="2"/>
      <c r="G3889" s="3"/>
      <c r="H3889" s="26">
        <f>SUM(G3886:G3888)</f>
        <v>1240750</v>
      </c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</row>
    <row r="3890">
      <c r="A3890" s="25" t="s">
        <v>16</v>
      </c>
      <c r="B3890" s="2"/>
      <c r="C3890" s="2"/>
      <c r="D3890" s="2"/>
      <c r="E3890" s="2"/>
      <c r="F3890" s="2"/>
      <c r="G3890" s="3"/>
      <c r="H3890" s="26">
        <f>MAX(0,H3889-648000)</f>
        <v>592750</v>
      </c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</row>
    <row r="3891">
      <c r="A3891" s="27" t="s">
        <v>17</v>
      </c>
      <c r="B3891" s="2"/>
      <c r="C3891" s="2"/>
      <c r="D3891" s="2"/>
      <c r="E3891" s="2"/>
      <c r="F3891" s="2"/>
      <c r="G3891" s="3"/>
      <c r="H3891" s="28">
        <v>649000.0</v>
      </c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</row>
    <row r="3892">
      <c r="A3892" s="1" t="s">
        <v>18</v>
      </c>
      <c r="B3892" s="2"/>
      <c r="C3892" s="2"/>
      <c r="D3892" s="2"/>
      <c r="E3892" s="2"/>
      <c r="F3892" s="2"/>
      <c r="G3892" s="2"/>
      <c r="H3892" s="3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</row>
    <row r="3899" ht="29.25" customHeight="1">
      <c r="A3899" s="1" t="s">
        <v>0</v>
      </c>
      <c r="B3899" s="2"/>
      <c r="C3899" s="2"/>
      <c r="D3899" s="2"/>
      <c r="E3899" s="2"/>
      <c r="F3899" s="2"/>
      <c r="G3899" s="2"/>
      <c r="H3899" s="3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</row>
    <row r="3900">
      <c r="A3900" s="6" t="s">
        <v>921</v>
      </c>
      <c r="B3900" s="2"/>
      <c r="C3900" s="2"/>
      <c r="D3900" s="2"/>
      <c r="E3900" s="2"/>
      <c r="F3900" s="2"/>
      <c r="G3900" s="2"/>
      <c r="H3900" s="3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</row>
    <row r="3901">
      <c r="A3901" s="7" t="s">
        <v>2</v>
      </c>
      <c r="B3901" s="7" t="s">
        <v>3</v>
      </c>
      <c r="C3901" s="7" t="s">
        <v>4</v>
      </c>
      <c r="D3901" s="7" t="s">
        <v>5</v>
      </c>
      <c r="E3901" s="7" t="s">
        <v>6</v>
      </c>
      <c r="F3901" s="8" t="s">
        <v>7</v>
      </c>
      <c r="G3901" s="7" t="s">
        <v>8</v>
      </c>
      <c r="H3901" s="9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</row>
    <row r="3902">
      <c r="A3902" s="10">
        <v>1.0</v>
      </c>
      <c r="B3902" s="33" t="s">
        <v>541</v>
      </c>
      <c r="C3902" s="34" t="s">
        <v>922</v>
      </c>
      <c r="D3902" s="13" t="s">
        <v>11</v>
      </c>
      <c r="E3902" s="35">
        <v>1.5</v>
      </c>
      <c r="F3902" s="15">
        <v>293000.0</v>
      </c>
      <c r="G3902" s="16">
        <f t="shared" ref="G3902:G3904" si="258">IFERROR(E3902*F3902,0)</f>
        <v>439500</v>
      </c>
      <c r="H3902" s="17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</row>
    <row r="3903">
      <c r="A3903" s="10">
        <v>2.0</v>
      </c>
      <c r="B3903" s="36" t="s">
        <v>98</v>
      </c>
      <c r="C3903" s="37" t="s">
        <v>923</v>
      </c>
      <c r="D3903" s="20" t="s">
        <v>13</v>
      </c>
      <c r="E3903" s="38">
        <v>2.0</v>
      </c>
      <c r="F3903" s="22">
        <v>435000.0</v>
      </c>
      <c r="G3903" s="16">
        <f t="shared" si="258"/>
        <v>870000</v>
      </c>
      <c r="H3903" s="17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</row>
    <row r="3904">
      <c r="A3904" s="10">
        <v>3.0</v>
      </c>
      <c r="B3904" s="23" t="s">
        <v>14</v>
      </c>
      <c r="C3904" s="17"/>
      <c r="D3904" s="17"/>
      <c r="E3904" s="17"/>
      <c r="F3904" s="17"/>
      <c r="G3904" s="24">
        <f t="shared" si="258"/>
        <v>0</v>
      </c>
      <c r="H3904" s="17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</row>
    <row r="3905">
      <c r="A3905" s="25" t="s">
        <v>15</v>
      </c>
      <c r="B3905" s="2"/>
      <c r="C3905" s="2"/>
      <c r="D3905" s="2"/>
      <c r="E3905" s="2"/>
      <c r="F3905" s="2"/>
      <c r="G3905" s="3"/>
      <c r="H3905" s="26">
        <f>SUM(G3902:G3904)</f>
        <v>1309500</v>
      </c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</row>
    <row r="3906">
      <c r="A3906" s="25" t="s">
        <v>16</v>
      </c>
      <c r="B3906" s="2"/>
      <c r="C3906" s="2"/>
      <c r="D3906" s="2"/>
      <c r="E3906" s="2"/>
      <c r="F3906" s="2"/>
      <c r="G3906" s="3"/>
      <c r="H3906" s="26">
        <f>MAX(0,H3905-648000)</f>
        <v>661500</v>
      </c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</row>
    <row r="3907">
      <c r="A3907" s="27" t="s">
        <v>17</v>
      </c>
      <c r="B3907" s="2"/>
      <c r="C3907" s="2"/>
      <c r="D3907" s="2"/>
      <c r="E3907" s="2"/>
      <c r="F3907" s="2"/>
      <c r="G3907" s="3"/>
      <c r="H3907" s="28">
        <v>649000.0</v>
      </c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</row>
    <row r="3908">
      <c r="A3908" s="1" t="s">
        <v>18</v>
      </c>
      <c r="B3908" s="2"/>
      <c r="C3908" s="2"/>
      <c r="D3908" s="2"/>
      <c r="E3908" s="2"/>
      <c r="F3908" s="2"/>
      <c r="G3908" s="2"/>
      <c r="H3908" s="3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</row>
    <row r="3914" ht="29.25" customHeight="1">
      <c r="A3914" s="1" t="s">
        <v>0</v>
      </c>
      <c r="B3914" s="2"/>
      <c r="C3914" s="2"/>
      <c r="D3914" s="2"/>
      <c r="E3914" s="2"/>
      <c r="F3914" s="2"/>
      <c r="G3914" s="2"/>
      <c r="H3914" s="3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</row>
    <row r="3915">
      <c r="A3915" s="6" t="s">
        <v>924</v>
      </c>
      <c r="B3915" s="2"/>
      <c r="C3915" s="2"/>
      <c r="D3915" s="2"/>
      <c r="E3915" s="2"/>
      <c r="F3915" s="2"/>
      <c r="G3915" s="2"/>
      <c r="H3915" s="3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</row>
    <row r="3916">
      <c r="A3916" s="7" t="s">
        <v>2</v>
      </c>
      <c r="B3916" s="7" t="s">
        <v>3</v>
      </c>
      <c r="C3916" s="7" t="s">
        <v>4</v>
      </c>
      <c r="D3916" s="7" t="s">
        <v>5</v>
      </c>
      <c r="E3916" s="7" t="s">
        <v>6</v>
      </c>
      <c r="F3916" s="8" t="s">
        <v>7</v>
      </c>
      <c r="G3916" s="7" t="s">
        <v>8</v>
      </c>
      <c r="H3916" s="9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</row>
    <row r="3917">
      <c r="A3917" s="10">
        <v>1.0</v>
      </c>
      <c r="B3917" s="33" t="s">
        <v>925</v>
      </c>
      <c r="C3917" s="34" t="s">
        <v>926</v>
      </c>
      <c r="D3917" s="13" t="s">
        <v>11</v>
      </c>
      <c r="E3917" s="35">
        <v>2.0</v>
      </c>
      <c r="F3917" s="15">
        <v>293000.0</v>
      </c>
      <c r="G3917" s="16">
        <f t="shared" ref="G3917:G3919" si="259">IFERROR(E3917*F3917,0)</f>
        <v>586000</v>
      </c>
      <c r="H3917" s="17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</row>
    <row r="3918">
      <c r="A3918" s="10">
        <v>2.0</v>
      </c>
      <c r="B3918" s="36" t="s">
        <v>927</v>
      </c>
      <c r="C3918" s="37" t="s">
        <v>928</v>
      </c>
      <c r="D3918" s="20" t="s">
        <v>13</v>
      </c>
      <c r="E3918" s="38">
        <v>1.47</v>
      </c>
      <c r="F3918" s="22">
        <v>435000.0</v>
      </c>
      <c r="G3918" s="16">
        <f t="shared" si="259"/>
        <v>639450</v>
      </c>
      <c r="H3918" s="17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</row>
    <row r="3919">
      <c r="A3919" s="10">
        <v>3.0</v>
      </c>
      <c r="B3919" s="23" t="s">
        <v>14</v>
      </c>
      <c r="C3919" s="17"/>
      <c r="D3919" s="17"/>
      <c r="E3919" s="17"/>
      <c r="F3919" s="17"/>
      <c r="G3919" s="24">
        <f t="shared" si="259"/>
        <v>0</v>
      </c>
      <c r="H3919" s="17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</row>
    <row r="3920">
      <c r="A3920" s="25" t="s">
        <v>15</v>
      </c>
      <c r="B3920" s="2"/>
      <c r="C3920" s="2"/>
      <c r="D3920" s="2"/>
      <c r="E3920" s="2"/>
      <c r="F3920" s="2"/>
      <c r="G3920" s="3"/>
      <c r="H3920" s="26">
        <f>SUM(G3917:G3919)</f>
        <v>1225450</v>
      </c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</row>
    <row r="3921">
      <c r="A3921" s="25" t="s">
        <v>16</v>
      </c>
      <c r="B3921" s="2"/>
      <c r="C3921" s="2"/>
      <c r="D3921" s="2"/>
      <c r="E3921" s="2"/>
      <c r="F3921" s="2"/>
      <c r="G3921" s="3"/>
      <c r="H3921" s="26">
        <f>MAX(0,H3920-648000)</f>
        <v>577450</v>
      </c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</row>
    <row r="3922">
      <c r="A3922" s="27" t="s">
        <v>17</v>
      </c>
      <c r="B3922" s="2"/>
      <c r="C3922" s="2"/>
      <c r="D3922" s="2"/>
      <c r="E3922" s="2"/>
      <c r="F3922" s="2"/>
      <c r="G3922" s="3"/>
      <c r="H3922" s="28">
        <v>649000.0</v>
      </c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</row>
    <row r="3923">
      <c r="A3923" s="1" t="s">
        <v>18</v>
      </c>
      <c r="B3923" s="2"/>
      <c r="C3923" s="2"/>
      <c r="D3923" s="2"/>
      <c r="E3923" s="2"/>
      <c r="F3923" s="2"/>
      <c r="G3923" s="2"/>
      <c r="H3923" s="3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</row>
    <row r="3929" ht="29.25" customHeight="1">
      <c r="A3929" s="1" t="s">
        <v>0</v>
      </c>
      <c r="B3929" s="2"/>
      <c r="C3929" s="2"/>
      <c r="D3929" s="2"/>
      <c r="E3929" s="2"/>
      <c r="F3929" s="2"/>
      <c r="G3929" s="2"/>
      <c r="H3929" s="3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</row>
    <row r="3930">
      <c r="A3930" s="6" t="s">
        <v>929</v>
      </c>
      <c r="B3930" s="2"/>
      <c r="C3930" s="2"/>
      <c r="D3930" s="2"/>
      <c r="E3930" s="2"/>
      <c r="F3930" s="2"/>
      <c r="G3930" s="2"/>
      <c r="H3930" s="3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</row>
    <row r="3931">
      <c r="A3931" s="7" t="s">
        <v>2</v>
      </c>
      <c r="B3931" s="7" t="s">
        <v>3</v>
      </c>
      <c r="C3931" s="7" t="s">
        <v>4</v>
      </c>
      <c r="D3931" s="7" t="s">
        <v>5</v>
      </c>
      <c r="E3931" s="7" t="s">
        <v>6</v>
      </c>
      <c r="F3931" s="8" t="s">
        <v>7</v>
      </c>
      <c r="G3931" s="7" t="s">
        <v>8</v>
      </c>
      <c r="H3931" s="9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</row>
    <row r="3932">
      <c r="A3932" s="10">
        <v>1.0</v>
      </c>
      <c r="B3932" s="33" t="s">
        <v>375</v>
      </c>
      <c r="C3932" s="34" t="s">
        <v>80</v>
      </c>
      <c r="D3932" s="13" t="s">
        <v>11</v>
      </c>
      <c r="E3932" s="35">
        <v>1.9</v>
      </c>
      <c r="F3932" s="15">
        <v>293000.0</v>
      </c>
      <c r="G3932" s="16">
        <f t="shared" ref="G3932:G3934" si="260">IFERROR(E3932*F3932,0)</f>
        <v>556700</v>
      </c>
      <c r="H3932" s="17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</row>
    <row r="3933">
      <c r="A3933" s="10">
        <v>2.0</v>
      </c>
      <c r="B3933" s="36" t="s">
        <v>79</v>
      </c>
      <c r="C3933" s="37" t="s">
        <v>930</v>
      </c>
      <c r="D3933" s="20" t="s">
        <v>13</v>
      </c>
      <c r="E3933" s="38">
        <v>1.48</v>
      </c>
      <c r="F3933" s="22">
        <v>435000.0</v>
      </c>
      <c r="G3933" s="16">
        <f t="shared" si="260"/>
        <v>643800</v>
      </c>
      <c r="H3933" s="17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</row>
    <row r="3934">
      <c r="A3934" s="10">
        <v>3.0</v>
      </c>
      <c r="B3934" s="23" t="s">
        <v>14</v>
      </c>
      <c r="C3934" s="17"/>
      <c r="D3934" s="17"/>
      <c r="E3934" s="17"/>
      <c r="F3934" s="17"/>
      <c r="G3934" s="24">
        <f t="shared" si="260"/>
        <v>0</v>
      </c>
      <c r="H3934" s="17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</row>
    <row r="3935">
      <c r="A3935" s="25" t="s">
        <v>15</v>
      </c>
      <c r="B3935" s="2"/>
      <c r="C3935" s="2"/>
      <c r="D3935" s="2"/>
      <c r="E3935" s="2"/>
      <c r="F3935" s="2"/>
      <c r="G3935" s="3"/>
      <c r="H3935" s="26">
        <f>SUM(G3932:G3934)</f>
        <v>1200500</v>
      </c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</row>
    <row r="3936">
      <c r="A3936" s="25" t="s">
        <v>16</v>
      </c>
      <c r="B3936" s="2"/>
      <c r="C3936" s="2"/>
      <c r="D3936" s="2"/>
      <c r="E3936" s="2"/>
      <c r="F3936" s="2"/>
      <c r="G3936" s="3"/>
      <c r="H3936" s="26">
        <f>MAX(0,H3935-648000)</f>
        <v>552500</v>
      </c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</row>
    <row r="3937">
      <c r="A3937" s="27" t="s">
        <v>17</v>
      </c>
      <c r="B3937" s="2"/>
      <c r="C3937" s="2"/>
      <c r="D3937" s="2"/>
      <c r="E3937" s="2"/>
      <c r="F3937" s="2"/>
      <c r="G3937" s="3"/>
      <c r="H3937" s="28">
        <v>649000.0</v>
      </c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</row>
    <row r="3938">
      <c r="A3938" s="1" t="s">
        <v>18</v>
      </c>
      <c r="B3938" s="2"/>
      <c r="C3938" s="2"/>
      <c r="D3938" s="2"/>
      <c r="E3938" s="2"/>
      <c r="F3938" s="2"/>
      <c r="G3938" s="2"/>
      <c r="H3938" s="3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</row>
    <row r="3945" ht="29.25" customHeight="1">
      <c r="A3945" s="1" t="s">
        <v>0</v>
      </c>
      <c r="B3945" s="2"/>
      <c r="C3945" s="2"/>
      <c r="D3945" s="2"/>
      <c r="E3945" s="2"/>
      <c r="F3945" s="2"/>
      <c r="G3945" s="2"/>
      <c r="H3945" s="3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</row>
    <row r="3946">
      <c r="A3946" s="6" t="s">
        <v>931</v>
      </c>
      <c r="B3946" s="2"/>
      <c r="C3946" s="2"/>
      <c r="D3946" s="2"/>
      <c r="E3946" s="2"/>
      <c r="F3946" s="2"/>
      <c r="G3946" s="2"/>
      <c r="H3946" s="3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</row>
    <row r="3947">
      <c r="A3947" s="7" t="s">
        <v>2</v>
      </c>
      <c r="B3947" s="7" t="s">
        <v>3</v>
      </c>
      <c r="C3947" s="7" t="s">
        <v>4</v>
      </c>
      <c r="D3947" s="7" t="s">
        <v>5</v>
      </c>
      <c r="E3947" s="7" t="s">
        <v>6</v>
      </c>
      <c r="F3947" s="8" t="s">
        <v>7</v>
      </c>
      <c r="G3947" s="7" t="s">
        <v>8</v>
      </c>
      <c r="H3947" s="9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</row>
    <row r="3948">
      <c r="A3948" s="10">
        <v>1.0</v>
      </c>
      <c r="B3948" s="33" t="s">
        <v>932</v>
      </c>
      <c r="C3948" s="34" t="s">
        <v>933</v>
      </c>
      <c r="D3948" s="13" t="s">
        <v>11</v>
      </c>
      <c r="E3948" s="35">
        <v>2.0</v>
      </c>
      <c r="F3948" s="15">
        <v>293000.0</v>
      </c>
      <c r="G3948" s="16">
        <f t="shared" ref="G3948:G3950" si="261">IFERROR(E3948*F3948,0)</f>
        <v>586000</v>
      </c>
      <c r="H3948" s="17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</row>
    <row r="3949">
      <c r="A3949" s="10">
        <v>2.0</v>
      </c>
      <c r="B3949" s="36" t="s">
        <v>197</v>
      </c>
      <c r="C3949" s="37" t="s">
        <v>934</v>
      </c>
      <c r="D3949" s="20" t="s">
        <v>13</v>
      </c>
      <c r="E3949" s="38">
        <v>1.5</v>
      </c>
      <c r="F3949" s="22">
        <v>435000.0</v>
      </c>
      <c r="G3949" s="16">
        <f t="shared" si="261"/>
        <v>652500</v>
      </c>
      <c r="H3949" s="17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</row>
    <row r="3950">
      <c r="A3950" s="10">
        <v>3.0</v>
      </c>
      <c r="B3950" s="23" t="s">
        <v>14</v>
      </c>
      <c r="C3950" s="17"/>
      <c r="D3950" s="17"/>
      <c r="E3950" s="17"/>
      <c r="F3950" s="17"/>
      <c r="G3950" s="24">
        <f t="shared" si="261"/>
        <v>0</v>
      </c>
      <c r="H3950" s="17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</row>
    <row r="3951">
      <c r="A3951" s="25" t="s">
        <v>15</v>
      </c>
      <c r="B3951" s="2"/>
      <c r="C3951" s="2"/>
      <c r="D3951" s="2"/>
      <c r="E3951" s="2"/>
      <c r="F3951" s="2"/>
      <c r="G3951" s="3"/>
      <c r="H3951" s="26">
        <f>SUM(G3948:G3950)</f>
        <v>1238500</v>
      </c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</row>
    <row r="3952">
      <c r="A3952" s="25" t="s">
        <v>16</v>
      </c>
      <c r="B3952" s="2"/>
      <c r="C3952" s="2"/>
      <c r="D3952" s="2"/>
      <c r="E3952" s="2"/>
      <c r="F3952" s="2"/>
      <c r="G3952" s="3"/>
      <c r="H3952" s="26">
        <f>MAX(0,H3951-648000)</f>
        <v>590500</v>
      </c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</row>
    <row r="3953">
      <c r="A3953" s="27" t="s">
        <v>17</v>
      </c>
      <c r="B3953" s="2"/>
      <c r="C3953" s="2"/>
      <c r="D3953" s="2"/>
      <c r="E3953" s="2"/>
      <c r="F3953" s="2"/>
      <c r="G3953" s="3"/>
      <c r="H3953" s="28">
        <v>649000.0</v>
      </c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</row>
    <row r="3954">
      <c r="A3954" s="1" t="s">
        <v>18</v>
      </c>
      <c r="B3954" s="2"/>
      <c r="C3954" s="2"/>
      <c r="D3954" s="2"/>
      <c r="E3954" s="2"/>
      <c r="F3954" s="2"/>
      <c r="G3954" s="2"/>
      <c r="H3954" s="3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</row>
    <row r="3960" ht="29.25" customHeight="1">
      <c r="A3960" s="1" t="s">
        <v>0</v>
      </c>
      <c r="B3960" s="2"/>
      <c r="C3960" s="2"/>
      <c r="D3960" s="2"/>
      <c r="E3960" s="2"/>
      <c r="F3960" s="2"/>
      <c r="G3960" s="2"/>
      <c r="H3960" s="3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</row>
    <row r="3961">
      <c r="A3961" s="6" t="s">
        <v>935</v>
      </c>
      <c r="B3961" s="2"/>
      <c r="C3961" s="2"/>
      <c r="D3961" s="2"/>
      <c r="E3961" s="2"/>
      <c r="F3961" s="2"/>
      <c r="G3961" s="2"/>
      <c r="H3961" s="3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</row>
    <row r="3962">
      <c r="A3962" s="7" t="s">
        <v>2</v>
      </c>
      <c r="B3962" s="7" t="s">
        <v>3</v>
      </c>
      <c r="C3962" s="7" t="s">
        <v>4</v>
      </c>
      <c r="D3962" s="7" t="s">
        <v>5</v>
      </c>
      <c r="E3962" s="7" t="s">
        <v>6</v>
      </c>
      <c r="F3962" s="8" t="s">
        <v>7</v>
      </c>
      <c r="G3962" s="7" t="s">
        <v>8</v>
      </c>
      <c r="H3962" s="9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</row>
    <row r="3963">
      <c r="A3963" s="10">
        <v>1.0</v>
      </c>
      <c r="B3963" s="33" t="s">
        <v>178</v>
      </c>
      <c r="C3963" s="34" t="s">
        <v>936</v>
      </c>
      <c r="D3963" s="13" t="s">
        <v>11</v>
      </c>
      <c r="E3963" s="35">
        <v>2.0</v>
      </c>
      <c r="F3963" s="15">
        <v>293000.0</v>
      </c>
      <c r="G3963" s="16">
        <f t="shared" ref="G3963:G3965" si="262">IFERROR(E3963*F3963,0)</f>
        <v>586000</v>
      </c>
      <c r="H3963" s="17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</row>
    <row r="3964">
      <c r="A3964" s="10">
        <v>2.0</v>
      </c>
      <c r="B3964" s="36" t="s">
        <v>12</v>
      </c>
      <c r="C3964" s="37" t="s">
        <v>937</v>
      </c>
      <c r="D3964" s="20" t="s">
        <v>13</v>
      </c>
      <c r="E3964" s="38">
        <v>1.43</v>
      </c>
      <c r="F3964" s="22">
        <v>435000.0</v>
      </c>
      <c r="G3964" s="16">
        <f t="shared" si="262"/>
        <v>622050</v>
      </c>
      <c r="H3964" s="17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</row>
    <row r="3965">
      <c r="A3965" s="10">
        <v>3.0</v>
      </c>
      <c r="B3965" s="23" t="s">
        <v>14</v>
      </c>
      <c r="C3965" s="17"/>
      <c r="D3965" s="17"/>
      <c r="E3965" s="17"/>
      <c r="F3965" s="17"/>
      <c r="G3965" s="24">
        <f t="shared" si="262"/>
        <v>0</v>
      </c>
      <c r="H3965" s="17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</row>
    <row r="3966">
      <c r="A3966" s="25" t="s">
        <v>15</v>
      </c>
      <c r="B3966" s="2"/>
      <c r="C3966" s="2"/>
      <c r="D3966" s="2"/>
      <c r="E3966" s="2"/>
      <c r="F3966" s="2"/>
      <c r="G3966" s="3"/>
      <c r="H3966" s="26">
        <f>SUM(G3963:G3965)</f>
        <v>1208050</v>
      </c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</row>
    <row r="3967">
      <c r="A3967" s="25" t="s">
        <v>16</v>
      </c>
      <c r="B3967" s="2"/>
      <c r="C3967" s="2"/>
      <c r="D3967" s="2"/>
      <c r="E3967" s="2"/>
      <c r="F3967" s="2"/>
      <c r="G3967" s="3"/>
      <c r="H3967" s="26">
        <f>MAX(0,H3966-648000)</f>
        <v>560050</v>
      </c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</row>
    <row r="3968">
      <c r="A3968" s="27" t="s">
        <v>17</v>
      </c>
      <c r="B3968" s="2"/>
      <c r="C3968" s="2"/>
      <c r="D3968" s="2"/>
      <c r="E3968" s="2"/>
      <c r="F3968" s="2"/>
      <c r="G3968" s="3"/>
      <c r="H3968" s="28">
        <v>649000.0</v>
      </c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</row>
    <row r="3969">
      <c r="A3969" s="1" t="s">
        <v>18</v>
      </c>
      <c r="B3969" s="2"/>
      <c r="C3969" s="2"/>
      <c r="D3969" s="2"/>
      <c r="E3969" s="2"/>
      <c r="F3969" s="2"/>
      <c r="G3969" s="2"/>
      <c r="H3969" s="3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</row>
    <row r="3973" ht="29.25" customHeight="1">
      <c r="A3973" s="1" t="s">
        <v>0</v>
      </c>
      <c r="B3973" s="2"/>
      <c r="C3973" s="2"/>
      <c r="D3973" s="2"/>
      <c r="E3973" s="2"/>
      <c r="F3973" s="2"/>
      <c r="G3973" s="2"/>
      <c r="H3973" s="3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</row>
    <row r="3974">
      <c r="A3974" s="6" t="s">
        <v>938</v>
      </c>
      <c r="B3974" s="2"/>
      <c r="C3974" s="2"/>
      <c r="D3974" s="2"/>
      <c r="E3974" s="2"/>
      <c r="F3974" s="2"/>
      <c r="G3974" s="2"/>
      <c r="H3974" s="3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</row>
    <row r="3975">
      <c r="A3975" s="7" t="s">
        <v>2</v>
      </c>
      <c r="B3975" s="7" t="s">
        <v>3</v>
      </c>
      <c r="C3975" s="7" t="s">
        <v>4</v>
      </c>
      <c r="D3975" s="7" t="s">
        <v>5</v>
      </c>
      <c r="E3975" s="7" t="s">
        <v>6</v>
      </c>
      <c r="F3975" s="8" t="s">
        <v>7</v>
      </c>
      <c r="G3975" s="7" t="s">
        <v>8</v>
      </c>
      <c r="H3975" s="9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</row>
    <row r="3976">
      <c r="A3976" s="10">
        <v>1.0</v>
      </c>
      <c r="B3976" s="33" t="s">
        <v>887</v>
      </c>
      <c r="C3976" s="34" t="s">
        <v>166</v>
      </c>
      <c r="D3976" s="13" t="s">
        <v>11</v>
      </c>
      <c r="E3976" s="35">
        <v>2.0</v>
      </c>
      <c r="F3976" s="15">
        <v>293000.0</v>
      </c>
      <c r="G3976" s="16">
        <f t="shared" ref="G3976:G3978" si="263">IFERROR(E3976*F3976,0)</f>
        <v>586000</v>
      </c>
      <c r="H3976" s="17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</row>
    <row r="3977">
      <c r="A3977" s="10">
        <v>2.0</v>
      </c>
      <c r="B3977" s="36" t="s">
        <v>12</v>
      </c>
      <c r="C3977" s="37" t="s">
        <v>939</v>
      </c>
      <c r="D3977" s="20" t="s">
        <v>13</v>
      </c>
      <c r="E3977" s="38">
        <v>1.46</v>
      </c>
      <c r="F3977" s="22">
        <v>435000.0</v>
      </c>
      <c r="G3977" s="16">
        <f t="shared" si="263"/>
        <v>635100</v>
      </c>
      <c r="H3977" s="17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</row>
    <row r="3978">
      <c r="A3978" s="10">
        <v>3.0</v>
      </c>
      <c r="B3978" s="23" t="s">
        <v>14</v>
      </c>
      <c r="C3978" s="17"/>
      <c r="D3978" s="17"/>
      <c r="E3978" s="17"/>
      <c r="F3978" s="17"/>
      <c r="G3978" s="24">
        <f t="shared" si="263"/>
        <v>0</v>
      </c>
      <c r="H3978" s="17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</row>
    <row r="3979">
      <c r="A3979" s="25" t="s">
        <v>15</v>
      </c>
      <c r="B3979" s="2"/>
      <c r="C3979" s="2"/>
      <c r="D3979" s="2"/>
      <c r="E3979" s="2"/>
      <c r="F3979" s="2"/>
      <c r="G3979" s="3"/>
      <c r="H3979" s="26">
        <f>SUM(G3976:G3978)</f>
        <v>1221100</v>
      </c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</row>
    <row r="3980">
      <c r="A3980" s="25" t="s">
        <v>16</v>
      </c>
      <c r="B3980" s="2"/>
      <c r="C3980" s="2"/>
      <c r="D3980" s="2"/>
      <c r="E3980" s="2"/>
      <c r="F3980" s="2"/>
      <c r="G3980" s="3"/>
      <c r="H3980" s="26">
        <f>MAX(0,H3979-648000)</f>
        <v>573100</v>
      </c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</row>
    <row r="3981">
      <c r="A3981" s="27" t="s">
        <v>17</v>
      </c>
      <c r="B3981" s="2"/>
      <c r="C3981" s="2"/>
      <c r="D3981" s="2"/>
      <c r="E3981" s="2"/>
      <c r="F3981" s="2"/>
      <c r="G3981" s="3"/>
      <c r="H3981" s="28">
        <v>649000.0</v>
      </c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</row>
    <row r="3982">
      <c r="A3982" s="1" t="s">
        <v>18</v>
      </c>
      <c r="B3982" s="2"/>
      <c r="C3982" s="2"/>
      <c r="D3982" s="2"/>
      <c r="E3982" s="2"/>
      <c r="F3982" s="2"/>
      <c r="G3982" s="2"/>
      <c r="H3982" s="3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</row>
    <row r="3986" ht="29.25" customHeight="1">
      <c r="A3986" s="1" t="s">
        <v>0</v>
      </c>
      <c r="B3986" s="2"/>
      <c r="C3986" s="2"/>
      <c r="D3986" s="2"/>
      <c r="E3986" s="2"/>
      <c r="F3986" s="2"/>
      <c r="G3986" s="2"/>
      <c r="H3986" s="3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</row>
    <row r="3987">
      <c r="A3987" s="6" t="s">
        <v>940</v>
      </c>
      <c r="B3987" s="2"/>
      <c r="C3987" s="2"/>
      <c r="D3987" s="2"/>
      <c r="E3987" s="2"/>
      <c r="F3987" s="2"/>
      <c r="G3987" s="2"/>
      <c r="H3987" s="3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</row>
    <row r="3988">
      <c r="A3988" s="7" t="s">
        <v>2</v>
      </c>
      <c r="B3988" s="7" t="s">
        <v>3</v>
      </c>
      <c r="C3988" s="7" t="s">
        <v>4</v>
      </c>
      <c r="D3988" s="7" t="s">
        <v>5</v>
      </c>
      <c r="E3988" s="7" t="s">
        <v>6</v>
      </c>
      <c r="F3988" s="8" t="s">
        <v>7</v>
      </c>
      <c r="G3988" s="7" t="s">
        <v>8</v>
      </c>
      <c r="H3988" s="9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</row>
    <row r="3989">
      <c r="A3989" s="10">
        <v>1.0</v>
      </c>
      <c r="B3989" s="33" t="s">
        <v>941</v>
      </c>
      <c r="C3989" s="34" t="s">
        <v>942</v>
      </c>
      <c r="D3989" s="13" t="s">
        <v>11</v>
      </c>
      <c r="E3989" s="35">
        <v>1.53</v>
      </c>
      <c r="F3989" s="15">
        <v>293000.0</v>
      </c>
      <c r="G3989" s="16">
        <f t="shared" ref="G3989:G3991" si="264">IFERROR(E3989*F3989,0)</f>
        <v>448290</v>
      </c>
      <c r="H3989" s="17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</row>
    <row r="3990">
      <c r="A3990" s="10">
        <v>2.0</v>
      </c>
      <c r="B3990" s="36" t="s">
        <v>22</v>
      </c>
      <c r="C3990" s="37" t="s">
        <v>943</v>
      </c>
      <c r="D3990" s="20" t="s">
        <v>13</v>
      </c>
      <c r="E3990" s="38">
        <v>2.0</v>
      </c>
      <c r="F3990" s="22">
        <v>435000.0</v>
      </c>
      <c r="G3990" s="16">
        <f t="shared" si="264"/>
        <v>870000</v>
      </c>
      <c r="H3990" s="17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</row>
    <row r="3991">
      <c r="A3991" s="10">
        <v>3.0</v>
      </c>
      <c r="B3991" s="23" t="s">
        <v>14</v>
      </c>
      <c r="C3991" s="17"/>
      <c r="D3991" s="17"/>
      <c r="E3991" s="17"/>
      <c r="F3991" s="17"/>
      <c r="G3991" s="24">
        <f t="shared" si="264"/>
        <v>0</v>
      </c>
      <c r="H3991" s="17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</row>
    <row r="3992">
      <c r="A3992" s="25" t="s">
        <v>15</v>
      </c>
      <c r="B3992" s="2"/>
      <c r="C3992" s="2"/>
      <c r="D3992" s="2"/>
      <c r="E3992" s="2"/>
      <c r="F3992" s="2"/>
      <c r="G3992" s="3"/>
      <c r="H3992" s="26">
        <f>SUM(G3989:G3991)</f>
        <v>1318290</v>
      </c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</row>
    <row r="3993">
      <c r="A3993" s="25" t="s">
        <v>16</v>
      </c>
      <c r="B3993" s="2"/>
      <c r="C3993" s="2"/>
      <c r="D3993" s="2"/>
      <c r="E3993" s="2"/>
      <c r="F3993" s="2"/>
      <c r="G3993" s="3"/>
      <c r="H3993" s="26">
        <f>MAX(0,H3992-648000)</f>
        <v>670290</v>
      </c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</row>
    <row r="3994">
      <c r="A3994" s="27" t="s">
        <v>17</v>
      </c>
      <c r="B3994" s="2"/>
      <c r="C3994" s="2"/>
      <c r="D3994" s="2"/>
      <c r="E3994" s="2"/>
      <c r="F3994" s="2"/>
      <c r="G3994" s="3"/>
      <c r="H3994" s="28">
        <v>649000.0</v>
      </c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</row>
    <row r="3995">
      <c r="A3995" s="1" t="s">
        <v>18</v>
      </c>
      <c r="B3995" s="2"/>
      <c r="C3995" s="2"/>
      <c r="D3995" s="2"/>
      <c r="E3995" s="2"/>
      <c r="F3995" s="2"/>
      <c r="G3995" s="2"/>
      <c r="H3995" s="3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</row>
    <row r="4000" ht="29.25" customHeight="1">
      <c r="A4000" s="1" t="s">
        <v>0</v>
      </c>
      <c r="B4000" s="2"/>
      <c r="C4000" s="2"/>
      <c r="D4000" s="2"/>
      <c r="E4000" s="2"/>
      <c r="F4000" s="2"/>
      <c r="G4000" s="2"/>
      <c r="H4000" s="3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</row>
    <row r="4001">
      <c r="A4001" s="6" t="s">
        <v>944</v>
      </c>
      <c r="B4001" s="2"/>
      <c r="C4001" s="2"/>
      <c r="D4001" s="2"/>
      <c r="E4001" s="2"/>
      <c r="F4001" s="2"/>
      <c r="G4001" s="2"/>
      <c r="H4001" s="3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</row>
    <row r="4002">
      <c r="A4002" s="7" t="s">
        <v>2</v>
      </c>
      <c r="B4002" s="7" t="s">
        <v>3</v>
      </c>
      <c r="C4002" s="7" t="s">
        <v>4</v>
      </c>
      <c r="D4002" s="7" t="s">
        <v>5</v>
      </c>
      <c r="E4002" s="7" t="s">
        <v>6</v>
      </c>
      <c r="F4002" s="8" t="s">
        <v>7</v>
      </c>
      <c r="G4002" s="7" t="s">
        <v>8</v>
      </c>
      <c r="H4002" s="9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</row>
    <row r="4003">
      <c r="A4003" s="10">
        <v>1.0</v>
      </c>
      <c r="B4003" s="33" t="s">
        <v>379</v>
      </c>
      <c r="C4003" s="34" t="s">
        <v>945</v>
      </c>
      <c r="D4003" s="13" t="s">
        <v>11</v>
      </c>
      <c r="E4003" s="35">
        <v>2.0</v>
      </c>
      <c r="F4003" s="15">
        <v>293000.0</v>
      </c>
      <c r="G4003" s="16">
        <f t="shared" ref="G4003:G4005" si="265">IFERROR(E4003*F4003,0)</f>
        <v>586000</v>
      </c>
      <c r="H4003" s="17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</row>
    <row r="4004">
      <c r="A4004" s="10">
        <v>2.0</v>
      </c>
      <c r="B4004" s="36" t="s">
        <v>157</v>
      </c>
      <c r="C4004" s="37" t="s">
        <v>946</v>
      </c>
      <c r="D4004" s="20" t="s">
        <v>13</v>
      </c>
      <c r="E4004" s="38">
        <v>1.45</v>
      </c>
      <c r="F4004" s="22">
        <v>435000.0</v>
      </c>
      <c r="G4004" s="16">
        <f t="shared" si="265"/>
        <v>630750</v>
      </c>
      <c r="H4004" s="17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</row>
    <row r="4005">
      <c r="A4005" s="10">
        <v>3.0</v>
      </c>
      <c r="B4005" s="23" t="s">
        <v>14</v>
      </c>
      <c r="C4005" s="17"/>
      <c r="D4005" s="17"/>
      <c r="E4005" s="17"/>
      <c r="F4005" s="17"/>
      <c r="G4005" s="24">
        <f t="shared" si="265"/>
        <v>0</v>
      </c>
      <c r="H4005" s="17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</row>
    <row r="4006">
      <c r="A4006" s="25" t="s">
        <v>15</v>
      </c>
      <c r="B4006" s="2"/>
      <c r="C4006" s="2"/>
      <c r="D4006" s="2"/>
      <c r="E4006" s="2"/>
      <c r="F4006" s="2"/>
      <c r="G4006" s="3"/>
      <c r="H4006" s="26">
        <f>SUM(G4003:G4005)</f>
        <v>1216750</v>
      </c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</row>
    <row r="4007">
      <c r="A4007" s="25" t="s">
        <v>16</v>
      </c>
      <c r="B4007" s="2"/>
      <c r="C4007" s="2"/>
      <c r="D4007" s="2"/>
      <c r="E4007" s="2"/>
      <c r="F4007" s="2"/>
      <c r="G4007" s="3"/>
      <c r="H4007" s="26">
        <f>MAX(0,H4006-648000)</f>
        <v>568750</v>
      </c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</row>
    <row r="4008">
      <c r="A4008" s="27" t="s">
        <v>17</v>
      </c>
      <c r="B4008" s="2"/>
      <c r="C4008" s="2"/>
      <c r="D4008" s="2"/>
      <c r="E4008" s="2"/>
      <c r="F4008" s="2"/>
      <c r="G4008" s="3"/>
      <c r="H4008" s="28">
        <v>649000.0</v>
      </c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</row>
    <row r="4009">
      <c r="A4009" s="1" t="s">
        <v>18</v>
      </c>
      <c r="B4009" s="2"/>
      <c r="C4009" s="2"/>
      <c r="D4009" s="2"/>
      <c r="E4009" s="2"/>
      <c r="F4009" s="2"/>
      <c r="G4009" s="2"/>
      <c r="H4009" s="3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</row>
    <row r="4014" ht="29.25" customHeight="1">
      <c r="A4014" s="1" t="s">
        <v>0</v>
      </c>
      <c r="B4014" s="2"/>
      <c r="C4014" s="2"/>
      <c r="D4014" s="2"/>
      <c r="E4014" s="2"/>
      <c r="F4014" s="2"/>
      <c r="G4014" s="2"/>
      <c r="H4014" s="3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</row>
    <row r="4015">
      <c r="A4015" s="6" t="s">
        <v>947</v>
      </c>
      <c r="B4015" s="2"/>
      <c r="C4015" s="2"/>
      <c r="D4015" s="2"/>
      <c r="E4015" s="2"/>
      <c r="F4015" s="2"/>
      <c r="G4015" s="2"/>
      <c r="H4015" s="3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</row>
    <row r="4016">
      <c r="A4016" s="7" t="s">
        <v>2</v>
      </c>
      <c r="B4016" s="7" t="s">
        <v>3</v>
      </c>
      <c r="C4016" s="7" t="s">
        <v>4</v>
      </c>
      <c r="D4016" s="7" t="s">
        <v>5</v>
      </c>
      <c r="E4016" s="7" t="s">
        <v>6</v>
      </c>
      <c r="F4016" s="8" t="s">
        <v>7</v>
      </c>
      <c r="G4016" s="7" t="s">
        <v>8</v>
      </c>
      <c r="H4016" s="9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</row>
    <row r="4017">
      <c r="A4017" s="10">
        <v>1.0</v>
      </c>
      <c r="B4017" s="33" t="s">
        <v>282</v>
      </c>
      <c r="C4017" s="34" t="s">
        <v>919</v>
      </c>
      <c r="D4017" s="13" t="s">
        <v>11</v>
      </c>
      <c r="E4017" s="35">
        <v>2.0</v>
      </c>
      <c r="F4017" s="15">
        <v>293000.0</v>
      </c>
      <c r="G4017" s="16">
        <f t="shared" ref="G4017:G4019" si="266">IFERROR(E4017*F4017,0)</f>
        <v>586000</v>
      </c>
      <c r="H4017" s="17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</row>
    <row r="4018">
      <c r="A4018" s="10">
        <v>2.0</v>
      </c>
      <c r="B4018" s="36" t="s">
        <v>665</v>
      </c>
      <c r="C4018" s="37" t="s">
        <v>948</v>
      </c>
      <c r="D4018" s="20" t="s">
        <v>13</v>
      </c>
      <c r="E4018" s="38">
        <v>1.4</v>
      </c>
      <c r="F4018" s="22">
        <v>435000.0</v>
      </c>
      <c r="G4018" s="16">
        <f t="shared" si="266"/>
        <v>609000</v>
      </c>
      <c r="H4018" s="17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</row>
    <row r="4019">
      <c r="A4019" s="10">
        <v>3.0</v>
      </c>
      <c r="B4019" s="23" t="s">
        <v>14</v>
      </c>
      <c r="C4019" s="17"/>
      <c r="D4019" s="17"/>
      <c r="E4019" s="17"/>
      <c r="F4019" s="17"/>
      <c r="G4019" s="24">
        <f t="shared" si="266"/>
        <v>0</v>
      </c>
      <c r="H4019" s="17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</row>
    <row r="4020">
      <c r="A4020" s="25" t="s">
        <v>15</v>
      </c>
      <c r="B4020" s="2"/>
      <c r="C4020" s="2"/>
      <c r="D4020" s="2"/>
      <c r="E4020" s="2"/>
      <c r="F4020" s="2"/>
      <c r="G4020" s="3"/>
      <c r="H4020" s="26">
        <f>SUM(G4017:G4019)</f>
        <v>1195000</v>
      </c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</row>
    <row r="4021">
      <c r="A4021" s="25" t="s">
        <v>16</v>
      </c>
      <c r="B4021" s="2"/>
      <c r="C4021" s="2"/>
      <c r="D4021" s="2"/>
      <c r="E4021" s="2"/>
      <c r="F4021" s="2"/>
      <c r="G4021" s="3"/>
      <c r="H4021" s="26">
        <f>MAX(0,H4020-648000)</f>
        <v>547000</v>
      </c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</row>
    <row r="4022">
      <c r="A4022" s="27" t="s">
        <v>17</v>
      </c>
      <c r="B4022" s="2"/>
      <c r="C4022" s="2"/>
      <c r="D4022" s="2"/>
      <c r="E4022" s="2"/>
      <c r="F4022" s="2"/>
      <c r="G4022" s="3"/>
      <c r="H4022" s="28">
        <v>649000.0</v>
      </c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</row>
    <row r="4023">
      <c r="A4023" s="1" t="s">
        <v>18</v>
      </c>
      <c r="B4023" s="2"/>
      <c r="C4023" s="2"/>
      <c r="D4023" s="2"/>
      <c r="E4023" s="2"/>
      <c r="F4023" s="2"/>
      <c r="G4023" s="2"/>
      <c r="H4023" s="3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</row>
    <row r="4029" ht="29.25" customHeight="1">
      <c r="A4029" s="1" t="s">
        <v>0</v>
      </c>
      <c r="B4029" s="2"/>
      <c r="C4029" s="2"/>
      <c r="D4029" s="2"/>
      <c r="E4029" s="2"/>
      <c r="F4029" s="2"/>
      <c r="G4029" s="2"/>
      <c r="H4029" s="3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</row>
    <row r="4030">
      <c r="A4030" s="6" t="s">
        <v>949</v>
      </c>
      <c r="B4030" s="2"/>
      <c r="C4030" s="2"/>
      <c r="D4030" s="2"/>
      <c r="E4030" s="2"/>
      <c r="F4030" s="2"/>
      <c r="G4030" s="2"/>
      <c r="H4030" s="3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</row>
    <row r="4031">
      <c r="A4031" s="7" t="s">
        <v>2</v>
      </c>
      <c r="B4031" s="7" t="s">
        <v>3</v>
      </c>
      <c r="C4031" s="7" t="s">
        <v>4</v>
      </c>
      <c r="D4031" s="7" t="s">
        <v>5</v>
      </c>
      <c r="E4031" s="7" t="s">
        <v>6</v>
      </c>
      <c r="F4031" s="8" t="s">
        <v>7</v>
      </c>
      <c r="G4031" s="7" t="s">
        <v>8</v>
      </c>
      <c r="H4031" s="9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</row>
    <row r="4032">
      <c r="A4032" s="10">
        <v>1.0</v>
      </c>
      <c r="B4032" s="33" t="s">
        <v>950</v>
      </c>
      <c r="C4032" s="34" t="s">
        <v>166</v>
      </c>
      <c r="D4032" s="13" t="s">
        <v>11</v>
      </c>
      <c r="E4032" s="35">
        <v>2.0</v>
      </c>
      <c r="F4032" s="15">
        <v>293000.0</v>
      </c>
      <c r="G4032" s="16">
        <f t="shared" ref="G4032:G4034" si="267">IFERROR(E4032*F4032,0)</f>
        <v>586000</v>
      </c>
      <c r="H4032" s="17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</row>
    <row r="4033">
      <c r="A4033" s="10">
        <v>2.0</v>
      </c>
      <c r="B4033" s="36" t="s">
        <v>914</v>
      </c>
      <c r="C4033" s="37" t="s">
        <v>951</v>
      </c>
      <c r="D4033" s="20" t="s">
        <v>13</v>
      </c>
      <c r="E4033" s="38">
        <v>1.5</v>
      </c>
      <c r="F4033" s="22">
        <v>435000.0</v>
      </c>
      <c r="G4033" s="16">
        <f t="shared" si="267"/>
        <v>652500</v>
      </c>
      <c r="H4033" s="17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</row>
    <row r="4034">
      <c r="A4034" s="10">
        <v>3.0</v>
      </c>
      <c r="B4034" s="23" t="s">
        <v>14</v>
      </c>
      <c r="C4034" s="17"/>
      <c r="D4034" s="17"/>
      <c r="E4034" s="17"/>
      <c r="F4034" s="17"/>
      <c r="G4034" s="24">
        <f t="shared" si="267"/>
        <v>0</v>
      </c>
      <c r="H4034" s="17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</row>
    <row r="4035">
      <c r="A4035" s="25" t="s">
        <v>15</v>
      </c>
      <c r="B4035" s="2"/>
      <c r="C4035" s="2"/>
      <c r="D4035" s="2"/>
      <c r="E4035" s="2"/>
      <c r="F4035" s="2"/>
      <c r="G4035" s="3"/>
      <c r="H4035" s="26">
        <f>SUM(G4032:G4034)</f>
        <v>1238500</v>
      </c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</row>
    <row r="4036">
      <c r="A4036" s="25" t="s">
        <v>16</v>
      </c>
      <c r="B4036" s="2"/>
      <c r="C4036" s="2"/>
      <c r="D4036" s="2"/>
      <c r="E4036" s="2"/>
      <c r="F4036" s="2"/>
      <c r="G4036" s="3"/>
      <c r="H4036" s="26">
        <f>MAX(0,H4035-648000)</f>
        <v>590500</v>
      </c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</row>
    <row r="4037">
      <c r="A4037" s="27" t="s">
        <v>17</v>
      </c>
      <c r="B4037" s="2"/>
      <c r="C4037" s="2"/>
      <c r="D4037" s="2"/>
      <c r="E4037" s="2"/>
      <c r="F4037" s="2"/>
      <c r="G4037" s="3"/>
      <c r="H4037" s="28">
        <v>649000.0</v>
      </c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</row>
    <row r="4038">
      <c r="A4038" s="1" t="s">
        <v>18</v>
      </c>
      <c r="B4038" s="2"/>
      <c r="C4038" s="2"/>
      <c r="D4038" s="2"/>
      <c r="E4038" s="2"/>
      <c r="F4038" s="2"/>
      <c r="G4038" s="2"/>
      <c r="H4038" s="3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</row>
    <row r="4045" ht="29.25" customHeight="1">
      <c r="A4045" s="1" t="s">
        <v>0</v>
      </c>
      <c r="B4045" s="2"/>
      <c r="C4045" s="2"/>
      <c r="D4045" s="2"/>
      <c r="E4045" s="2"/>
      <c r="F4045" s="2"/>
      <c r="G4045" s="2"/>
      <c r="H4045" s="3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</row>
    <row r="4046">
      <c r="A4046" s="6" t="s">
        <v>952</v>
      </c>
      <c r="B4046" s="2"/>
      <c r="C4046" s="2"/>
      <c r="D4046" s="2"/>
      <c r="E4046" s="2"/>
      <c r="F4046" s="2"/>
      <c r="G4046" s="2"/>
      <c r="H4046" s="3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</row>
    <row r="4047">
      <c r="A4047" s="7" t="s">
        <v>2</v>
      </c>
      <c r="B4047" s="7" t="s">
        <v>3</v>
      </c>
      <c r="C4047" s="7" t="s">
        <v>4</v>
      </c>
      <c r="D4047" s="7" t="s">
        <v>5</v>
      </c>
      <c r="E4047" s="7" t="s">
        <v>6</v>
      </c>
      <c r="F4047" s="8" t="s">
        <v>7</v>
      </c>
      <c r="G4047" s="7" t="s">
        <v>8</v>
      </c>
      <c r="H4047" s="9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</row>
    <row r="4048">
      <c r="A4048" s="10">
        <v>1.0</v>
      </c>
      <c r="B4048" s="33" t="s">
        <v>282</v>
      </c>
      <c r="C4048" s="34" t="s">
        <v>919</v>
      </c>
      <c r="D4048" s="13" t="s">
        <v>11</v>
      </c>
      <c r="E4048" s="35">
        <v>2.0</v>
      </c>
      <c r="F4048" s="15">
        <v>293000.0</v>
      </c>
      <c r="G4048" s="16">
        <f t="shared" ref="G4048:G4050" si="268">IFERROR(E4048*F4048,0)</f>
        <v>586000</v>
      </c>
      <c r="H4048" s="17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</row>
    <row r="4049">
      <c r="A4049" s="10">
        <v>2.0</v>
      </c>
      <c r="B4049" s="36" t="s">
        <v>427</v>
      </c>
      <c r="C4049" s="37" t="s">
        <v>953</v>
      </c>
      <c r="D4049" s="20" t="s">
        <v>13</v>
      </c>
      <c r="E4049" s="38">
        <v>1.3</v>
      </c>
      <c r="F4049" s="22">
        <v>435000.0</v>
      </c>
      <c r="G4049" s="16">
        <f t="shared" si="268"/>
        <v>565500</v>
      </c>
      <c r="H4049" s="17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</row>
    <row r="4050">
      <c r="A4050" s="10">
        <v>3.0</v>
      </c>
      <c r="B4050" s="23" t="s">
        <v>14</v>
      </c>
      <c r="C4050" s="17"/>
      <c r="D4050" s="17"/>
      <c r="E4050" s="17"/>
      <c r="F4050" s="17"/>
      <c r="G4050" s="24">
        <f t="shared" si="268"/>
        <v>0</v>
      </c>
      <c r="H4050" s="17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</row>
    <row r="4051">
      <c r="A4051" s="25" t="s">
        <v>15</v>
      </c>
      <c r="B4051" s="2"/>
      <c r="C4051" s="2"/>
      <c r="D4051" s="2"/>
      <c r="E4051" s="2"/>
      <c r="F4051" s="2"/>
      <c r="G4051" s="3"/>
      <c r="H4051" s="26">
        <f>SUM(G4048:G4050)</f>
        <v>1151500</v>
      </c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</row>
    <row r="4052">
      <c r="A4052" s="25" t="s">
        <v>16</v>
      </c>
      <c r="B4052" s="2"/>
      <c r="C4052" s="2"/>
      <c r="D4052" s="2"/>
      <c r="E4052" s="2"/>
      <c r="F4052" s="2"/>
      <c r="G4052" s="3"/>
      <c r="H4052" s="26">
        <f>MAX(0,H4051-648000)</f>
        <v>503500</v>
      </c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</row>
    <row r="4053">
      <c r="A4053" s="27" t="s">
        <v>17</v>
      </c>
      <c r="B4053" s="2"/>
      <c r="C4053" s="2"/>
      <c r="D4053" s="2"/>
      <c r="E4053" s="2"/>
      <c r="F4053" s="2"/>
      <c r="G4053" s="3"/>
      <c r="H4053" s="28">
        <v>649000.0</v>
      </c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</row>
    <row r="4054">
      <c r="A4054" s="1" t="s">
        <v>18</v>
      </c>
      <c r="B4054" s="2"/>
      <c r="C4054" s="2"/>
      <c r="D4054" s="2"/>
      <c r="E4054" s="2"/>
      <c r="F4054" s="2"/>
      <c r="G4054" s="2"/>
      <c r="H4054" s="3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</row>
    <row r="4061" ht="29.25" customHeight="1">
      <c r="A4061" s="1" t="s">
        <v>0</v>
      </c>
      <c r="B4061" s="2"/>
      <c r="C4061" s="2"/>
      <c r="D4061" s="2"/>
      <c r="E4061" s="2"/>
      <c r="F4061" s="2"/>
      <c r="G4061" s="2"/>
      <c r="H4061" s="3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</row>
    <row r="4062">
      <c r="A4062" s="6" t="s">
        <v>954</v>
      </c>
      <c r="B4062" s="2"/>
      <c r="C4062" s="2"/>
      <c r="D4062" s="2"/>
      <c r="E4062" s="2"/>
      <c r="F4062" s="2"/>
      <c r="G4062" s="2"/>
      <c r="H4062" s="3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</row>
    <row r="4063">
      <c r="A4063" s="7" t="s">
        <v>2</v>
      </c>
      <c r="B4063" s="7" t="s">
        <v>3</v>
      </c>
      <c r="C4063" s="7" t="s">
        <v>4</v>
      </c>
      <c r="D4063" s="7" t="s">
        <v>5</v>
      </c>
      <c r="E4063" s="7" t="s">
        <v>6</v>
      </c>
      <c r="F4063" s="8" t="s">
        <v>7</v>
      </c>
      <c r="G4063" s="7" t="s">
        <v>8</v>
      </c>
      <c r="H4063" s="9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</row>
    <row r="4064">
      <c r="A4064" s="10">
        <v>1.0</v>
      </c>
      <c r="B4064" s="33" t="s">
        <v>48</v>
      </c>
      <c r="C4064" s="34" t="s">
        <v>955</v>
      </c>
      <c r="D4064" s="13" t="s">
        <v>11</v>
      </c>
      <c r="E4064" s="35">
        <v>2.7</v>
      </c>
      <c r="F4064" s="15">
        <v>293000.0</v>
      </c>
      <c r="G4064" s="16">
        <f t="shared" ref="G4064:G4066" si="269">IFERROR(E4064*F4064,0)</f>
        <v>791100</v>
      </c>
      <c r="H4064" s="17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</row>
    <row r="4065">
      <c r="A4065" s="10">
        <v>2.0</v>
      </c>
      <c r="B4065" s="36" t="s">
        <v>956</v>
      </c>
      <c r="C4065" s="37" t="s">
        <v>957</v>
      </c>
      <c r="D4065" s="20" t="s">
        <v>13</v>
      </c>
      <c r="E4065" s="38">
        <v>0.98</v>
      </c>
      <c r="F4065" s="22">
        <v>435000.0</v>
      </c>
      <c r="G4065" s="16">
        <f t="shared" si="269"/>
        <v>426300</v>
      </c>
      <c r="H4065" s="17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</row>
    <row r="4066">
      <c r="A4066" s="10">
        <v>3.0</v>
      </c>
      <c r="B4066" s="23" t="s">
        <v>14</v>
      </c>
      <c r="C4066" s="17"/>
      <c r="D4066" s="17"/>
      <c r="E4066" s="17"/>
      <c r="F4066" s="17"/>
      <c r="G4066" s="24">
        <f t="shared" si="269"/>
        <v>0</v>
      </c>
      <c r="H4066" s="17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</row>
    <row r="4067">
      <c r="A4067" s="25" t="s">
        <v>15</v>
      </c>
      <c r="B4067" s="2"/>
      <c r="C4067" s="2"/>
      <c r="D4067" s="2"/>
      <c r="E4067" s="2"/>
      <c r="F4067" s="2"/>
      <c r="G4067" s="3"/>
      <c r="H4067" s="26">
        <f>SUM(G4064:G4066)</f>
        <v>1217400</v>
      </c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</row>
    <row r="4068">
      <c r="A4068" s="25" t="s">
        <v>16</v>
      </c>
      <c r="B4068" s="2"/>
      <c r="C4068" s="2"/>
      <c r="D4068" s="2"/>
      <c r="E4068" s="2"/>
      <c r="F4068" s="2"/>
      <c r="G4068" s="3"/>
      <c r="H4068" s="26">
        <f>MAX(0,H4067-648000)</f>
        <v>569400</v>
      </c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</row>
    <row r="4069">
      <c r="A4069" s="27" t="s">
        <v>17</v>
      </c>
      <c r="B4069" s="2"/>
      <c r="C4069" s="2"/>
      <c r="D4069" s="2"/>
      <c r="E4069" s="2"/>
      <c r="F4069" s="2"/>
      <c r="G4069" s="3"/>
      <c r="H4069" s="28">
        <v>649000.0</v>
      </c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</row>
    <row r="4070">
      <c r="A4070" s="1" t="s">
        <v>18</v>
      </c>
      <c r="B4070" s="2"/>
      <c r="C4070" s="2"/>
      <c r="D4070" s="2"/>
      <c r="E4070" s="2"/>
      <c r="F4070" s="2"/>
      <c r="G4070" s="2"/>
      <c r="H4070" s="3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</row>
    <row r="4076" ht="29.25" customHeight="1">
      <c r="A4076" s="1" t="s">
        <v>0</v>
      </c>
      <c r="B4076" s="2"/>
      <c r="C4076" s="2"/>
      <c r="D4076" s="2"/>
      <c r="E4076" s="2"/>
      <c r="F4076" s="2"/>
      <c r="G4076" s="2"/>
      <c r="H4076" s="3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</row>
    <row r="4077">
      <c r="A4077" s="6" t="s">
        <v>958</v>
      </c>
      <c r="B4077" s="2"/>
      <c r="C4077" s="2"/>
      <c r="D4077" s="2"/>
      <c r="E4077" s="2"/>
      <c r="F4077" s="2"/>
      <c r="G4077" s="2"/>
      <c r="H4077" s="3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</row>
    <row r="4078">
      <c r="A4078" s="7" t="s">
        <v>2</v>
      </c>
      <c r="B4078" s="7" t="s">
        <v>3</v>
      </c>
      <c r="C4078" s="7" t="s">
        <v>4</v>
      </c>
      <c r="D4078" s="7" t="s">
        <v>5</v>
      </c>
      <c r="E4078" s="7" t="s">
        <v>6</v>
      </c>
      <c r="F4078" s="8" t="s">
        <v>7</v>
      </c>
      <c r="G4078" s="7" t="s">
        <v>8</v>
      </c>
      <c r="H4078" s="9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</row>
    <row r="4079">
      <c r="A4079" s="10">
        <v>1.0</v>
      </c>
      <c r="B4079" s="33" t="s">
        <v>950</v>
      </c>
      <c r="C4079" s="34" t="s">
        <v>959</v>
      </c>
      <c r="D4079" s="13" t="s">
        <v>11</v>
      </c>
      <c r="E4079" s="35">
        <v>2.4</v>
      </c>
      <c r="F4079" s="15">
        <v>293000.0</v>
      </c>
      <c r="G4079" s="16">
        <f t="shared" ref="G4079:G4081" si="270">IFERROR(E4079*F4079,0)</f>
        <v>703200</v>
      </c>
      <c r="H4079" s="17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</row>
    <row r="4080">
      <c r="A4080" s="10">
        <v>2.0</v>
      </c>
      <c r="B4080" s="36" t="s">
        <v>12</v>
      </c>
      <c r="C4080" s="37" t="s">
        <v>960</v>
      </c>
      <c r="D4080" s="20" t="s">
        <v>13</v>
      </c>
      <c r="E4080" s="38">
        <v>1.08</v>
      </c>
      <c r="F4080" s="22">
        <v>435000.0</v>
      </c>
      <c r="G4080" s="16">
        <f t="shared" si="270"/>
        <v>469800</v>
      </c>
      <c r="H4080" s="17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</row>
    <row r="4081">
      <c r="A4081" s="10">
        <v>3.0</v>
      </c>
      <c r="B4081" s="23" t="s">
        <v>14</v>
      </c>
      <c r="C4081" s="17"/>
      <c r="D4081" s="17"/>
      <c r="E4081" s="17"/>
      <c r="F4081" s="17"/>
      <c r="G4081" s="24">
        <f t="shared" si="270"/>
        <v>0</v>
      </c>
      <c r="H4081" s="17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</row>
    <row r="4082">
      <c r="A4082" s="25" t="s">
        <v>15</v>
      </c>
      <c r="B4082" s="2"/>
      <c r="C4082" s="2"/>
      <c r="D4082" s="2"/>
      <c r="E4082" s="2"/>
      <c r="F4082" s="2"/>
      <c r="G4082" s="3"/>
      <c r="H4082" s="26">
        <f>SUM(G4079:G4081)</f>
        <v>1173000</v>
      </c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</row>
    <row r="4083">
      <c r="A4083" s="25" t="s">
        <v>16</v>
      </c>
      <c r="B4083" s="2"/>
      <c r="C4083" s="2"/>
      <c r="D4083" s="2"/>
      <c r="E4083" s="2"/>
      <c r="F4083" s="2"/>
      <c r="G4083" s="3"/>
      <c r="H4083" s="26">
        <f>MAX(0,H4082-648000)</f>
        <v>525000</v>
      </c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</row>
    <row r="4084">
      <c r="A4084" s="27" t="s">
        <v>17</v>
      </c>
      <c r="B4084" s="2"/>
      <c r="C4084" s="2"/>
      <c r="D4084" s="2"/>
      <c r="E4084" s="2"/>
      <c r="F4084" s="2"/>
      <c r="G4084" s="3"/>
      <c r="H4084" s="28">
        <v>649000.0</v>
      </c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</row>
    <row r="4085">
      <c r="A4085" s="1" t="s">
        <v>18</v>
      </c>
      <c r="B4085" s="2"/>
      <c r="C4085" s="2"/>
      <c r="D4085" s="2"/>
      <c r="E4085" s="2"/>
      <c r="F4085" s="2"/>
      <c r="G4085" s="2"/>
      <c r="H4085" s="3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</row>
    <row r="4091" ht="29.25" customHeight="1">
      <c r="A4091" s="1" t="s">
        <v>0</v>
      </c>
      <c r="B4091" s="2"/>
      <c r="C4091" s="2"/>
      <c r="D4091" s="2"/>
      <c r="E4091" s="2"/>
      <c r="F4091" s="2"/>
      <c r="G4091" s="2"/>
      <c r="H4091" s="3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</row>
    <row r="4092">
      <c r="A4092" s="6" t="s">
        <v>961</v>
      </c>
      <c r="B4092" s="2"/>
      <c r="C4092" s="2"/>
      <c r="D4092" s="2"/>
      <c r="E4092" s="2"/>
      <c r="F4092" s="2"/>
      <c r="G4092" s="2"/>
      <c r="H4092" s="3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</row>
    <row r="4093">
      <c r="A4093" s="7" t="s">
        <v>2</v>
      </c>
      <c r="B4093" s="7" t="s">
        <v>3</v>
      </c>
      <c r="C4093" s="7" t="s">
        <v>4</v>
      </c>
      <c r="D4093" s="7" t="s">
        <v>5</v>
      </c>
      <c r="E4093" s="7" t="s">
        <v>6</v>
      </c>
      <c r="F4093" s="8" t="s">
        <v>7</v>
      </c>
      <c r="G4093" s="7" t="s">
        <v>8</v>
      </c>
      <c r="H4093" s="9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</row>
    <row r="4094">
      <c r="A4094" s="10">
        <v>1.0</v>
      </c>
      <c r="B4094" s="33" t="s">
        <v>218</v>
      </c>
      <c r="C4094" s="34" t="s">
        <v>962</v>
      </c>
      <c r="D4094" s="13" t="s">
        <v>11</v>
      </c>
      <c r="E4094" s="35">
        <v>2.36</v>
      </c>
      <c r="F4094" s="15">
        <v>293000.0</v>
      </c>
      <c r="G4094" s="16">
        <f t="shared" ref="G4094:G4096" si="271">IFERROR(E4094*F4094,0)</f>
        <v>691480</v>
      </c>
      <c r="H4094" s="17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</row>
    <row r="4095">
      <c r="A4095" s="10">
        <v>2.0</v>
      </c>
      <c r="B4095" s="36" t="s">
        <v>151</v>
      </c>
      <c r="C4095" s="37" t="s">
        <v>963</v>
      </c>
      <c r="D4095" s="20" t="s">
        <v>13</v>
      </c>
      <c r="E4095" s="38">
        <v>1.18</v>
      </c>
      <c r="F4095" s="22">
        <v>435000.0</v>
      </c>
      <c r="G4095" s="16">
        <f t="shared" si="271"/>
        <v>513300</v>
      </c>
      <c r="H4095" s="17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</row>
    <row r="4096">
      <c r="A4096" s="10">
        <v>3.0</v>
      </c>
      <c r="B4096" s="23" t="s">
        <v>14</v>
      </c>
      <c r="C4096" s="17"/>
      <c r="D4096" s="17"/>
      <c r="E4096" s="17"/>
      <c r="F4096" s="17"/>
      <c r="G4096" s="24">
        <f t="shared" si="271"/>
        <v>0</v>
      </c>
      <c r="H4096" s="17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</row>
    <row r="4097">
      <c r="A4097" s="25" t="s">
        <v>15</v>
      </c>
      <c r="B4097" s="2"/>
      <c r="C4097" s="2"/>
      <c r="D4097" s="2"/>
      <c r="E4097" s="2"/>
      <c r="F4097" s="2"/>
      <c r="G4097" s="3"/>
      <c r="H4097" s="26">
        <f>SUM(G4094:G4096)</f>
        <v>1204780</v>
      </c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</row>
    <row r="4098">
      <c r="A4098" s="25" t="s">
        <v>16</v>
      </c>
      <c r="B4098" s="2"/>
      <c r="C4098" s="2"/>
      <c r="D4098" s="2"/>
      <c r="E4098" s="2"/>
      <c r="F4098" s="2"/>
      <c r="G4098" s="3"/>
      <c r="H4098" s="26">
        <f>MAX(0,H4097-648000)</f>
        <v>556780</v>
      </c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</row>
    <row r="4099">
      <c r="A4099" s="27" t="s">
        <v>17</v>
      </c>
      <c r="B4099" s="2"/>
      <c r="C4099" s="2"/>
      <c r="D4099" s="2"/>
      <c r="E4099" s="2"/>
      <c r="F4099" s="2"/>
      <c r="G4099" s="3"/>
      <c r="H4099" s="28">
        <v>649000.0</v>
      </c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</row>
    <row r="4100">
      <c r="A4100" s="1" t="s">
        <v>18</v>
      </c>
      <c r="B4100" s="2"/>
      <c r="C4100" s="2"/>
      <c r="D4100" s="2"/>
      <c r="E4100" s="2"/>
      <c r="F4100" s="2"/>
      <c r="G4100" s="2"/>
      <c r="H4100" s="3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</row>
    <row r="4106" ht="29.25" customHeight="1">
      <c r="A4106" s="1" t="s">
        <v>0</v>
      </c>
      <c r="B4106" s="2"/>
      <c r="C4106" s="2"/>
      <c r="D4106" s="2"/>
      <c r="E4106" s="2"/>
      <c r="F4106" s="2"/>
      <c r="G4106" s="2"/>
      <c r="H4106" s="3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</row>
    <row r="4107">
      <c r="A4107" s="6" t="s">
        <v>964</v>
      </c>
      <c r="B4107" s="2"/>
      <c r="C4107" s="2"/>
      <c r="D4107" s="2"/>
      <c r="E4107" s="2"/>
      <c r="F4107" s="2"/>
      <c r="G4107" s="2"/>
      <c r="H4107" s="3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</row>
    <row r="4108">
      <c r="A4108" s="7" t="s">
        <v>2</v>
      </c>
      <c r="B4108" s="7" t="s">
        <v>3</v>
      </c>
      <c r="C4108" s="7" t="s">
        <v>4</v>
      </c>
      <c r="D4108" s="7" t="s">
        <v>5</v>
      </c>
      <c r="E4108" s="7" t="s">
        <v>6</v>
      </c>
      <c r="F4108" s="8" t="s">
        <v>7</v>
      </c>
      <c r="G4108" s="7" t="s">
        <v>8</v>
      </c>
      <c r="H4108" s="9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</row>
    <row r="4109">
      <c r="A4109" s="10">
        <v>1.0</v>
      </c>
      <c r="B4109" s="33" t="s">
        <v>855</v>
      </c>
      <c r="C4109" s="34" t="s">
        <v>856</v>
      </c>
      <c r="D4109" s="13" t="s">
        <v>11</v>
      </c>
      <c r="E4109" s="35">
        <v>2.0</v>
      </c>
      <c r="F4109" s="15">
        <v>293000.0</v>
      </c>
      <c r="G4109" s="16">
        <f t="shared" ref="G4109:G4111" si="272">IFERROR(E4109*F4109,0)</f>
        <v>586000</v>
      </c>
      <c r="H4109" s="17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</row>
    <row r="4110">
      <c r="A4110" s="10">
        <v>2.0</v>
      </c>
      <c r="B4110" s="36" t="s">
        <v>12</v>
      </c>
      <c r="C4110" s="37" t="s">
        <v>965</v>
      </c>
      <c r="D4110" s="20" t="s">
        <v>13</v>
      </c>
      <c r="E4110" s="38">
        <v>1.3</v>
      </c>
      <c r="F4110" s="22">
        <v>435000.0</v>
      </c>
      <c r="G4110" s="16">
        <f t="shared" si="272"/>
        <v>565500</v>
      </c>
      <c r="H4110" s="17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</row>
    <row r="4111">
      <c r="A4111" s="10">
        <v>3.0</v>
      </c>
      <c r="B4111" s="23" t="s">
        <v>14</v>
      </c>
      <c r="C4111" s="17"/>
      <c r="D4111" s="17"/>
      <c r="E4111" s="17"/>
      <c r="F4111" s="17"/>
      <c r="G4111" s="24">
        <f t="shared" si="272"/>
        <v>0</v>
      </c>
      <c r="H4111" s="17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</row>
    <row r="4112">
      <c r="A4112" s="25" t="s">
        <v>15</v>
      </c>
      <c r="B4112" s="2"/>
      <c r="C4112" s="2"/>
      <c r="D4112" s="2"/>
      <c r="E4112" s="2"/>
      <c r="F4112" s="2"/>
      <c r="G4112" s="3"/>
      <c r="H4112" s="26">
        <f>SUM(G4109:G4111)</f>
        <v>1151500</v>
      </c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</row>
    <row r="4113">
      <c r="A4113" s="25" t="s">
        <v>16</v>
      </c>
      <c r="B4113" s="2"/>
      <c r="C4113" s="2"/>
      <c r="D4113" s="2"/>
      <c r="E4113" s="2"/>
      <c r="F4113" s="2"/>
      <c r="G4113" s="3"/>
      <c r="H4113" s="26">
        <f>MAX(0,H4112-648000)</f>
        <v>503500</v>
      </c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</row>
    <row r="4114">
      <c r="A4114" s="27" t="s">
        <v>17</v>
      </c>
      <c r="B4114" s="2"/>
      <c r="C4114" s="2"/>
      <c r="D4114" s="2"/>
      <c r="E4114" s="2"/>
      <c r="F4114" s="2"/>
      <c r="G4114" s="3"/>
      <c r="H4114" s="28">
        <v>649000.0</v>
      </c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</row>
    <row r="4115">
      <c r="A4115" s="1" t="s">
        <v>18</v>
      </c>
      <c r="B4115" s="2"/>
      <c r="C4115" s="2"/>
      <c r="D4115" s="2"/>
      <c r="E4115" s="2"/>
      <c r="F4115" s="2"/>
      <c r="G4115" s="2"/>
      <c r="H4115" s="3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</row>
    <row r="4122" ht="29.25" customHeight="1">
      <c r="A4122" s="1" t="s">
        <v>0</v>
      </c>
      <c r="B4122" s="2"/>
      <c r="C4122" s="2"/>
      <c r="D4122" s="2"/>
      <c r="E4122" s="2"/>
      <c r="F4122" s="2"/>
      <c r="G4122" s="2"/>
      <c r="H4122" s="3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</row>
    <row r="4123">
      <c r="A4123" s="6" t="s">
        <v>966</v>
      </c>
      <c r="B4123" s="2"/>
      <c r="C4123" s="2"/>
      <c r="D4123" s="2"/>
      <c r="E4123" s="2"/>
      <c r="F4123" s="2"/>
      <c r="G4123" s="2"/>
      <c r="H4123" s="3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</row>
    <row r="4124">
      <c r="A4124" s="7" t="s">
        <v>2</v>
      </c>
      <c r="B4124" s="7" t="s">
        <v>3</v>
      </c>
      <c r="C4124" s="7" t="s">
        <v>4</v>
      </c>
      <c r="D4124" s="7" t="s">
        <v>5</v>
      </c>
      <c r="E4124" s="7" t="s">
        <v>6</v>
      </c>
      <c r="F4124" s="8" t="s">
        <v>7</v>
      </c>
      <c r="G4124" s="7" t="s">
        <v>8</v>
      </c>
      <c r="H4124" s="9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</row>
    <row r="4125">
      <c r="A4125" s="10">
        <v>1.0</v>
      </c>
      <c r="B4125" s="33" t="s">
        <v>763</v>
      </c>
      <c r="C4125" s="34" t="s">
        <v>967</v>
      </c>
      <c r="D4125" s="13" t="s">
        <v>11</v>
      </c>
      <c r="E4125" s="35">
        <v>2.0</v>
      </c>
      <c r="F4125" s="15">
        <v>293000.0</v>
      </c>
      <c r="G4125" s="16">
        <f t="shared" ref="G4125:G4127" si="273">IFERROR(E4125*F4125,0)</f>
        <v>586000</v>
      </c>
      <c r="H4125" s="17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</row>
    <row r="4126">
      <c r="A4126" s="10">
        <v>2.0</v>
      </c>
      <c r="B4126" s="36" t="s">
        <v>533</v>
      </c>
      <c r="C4126" s="37" t="s">
        <v>917</v>
      </c>
      <c r="D4126" s="20" t="s">
        <v>13</v>
      </c>
      <c r="E4126" s="38">
        <v>1.69</v>
      </c>
      <c r="F4126" s="22">
        <v>435000.0</v>
      </c>
      <c r="G4126" s="16">
        <f t="shared" si="273"/>
        <v>735150</v>
      </c>
      <c r="H4126" s="17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</row>
    <row r="4127">
      <c r="A4127" s="10">
        <v>3.0</v>
      </c>
      <c r="B4127" s="23" t="s">
        <v>14</v>
      </c>
      <c r="C4127" s="17"/>
      <c r="D4127" s="17"/>
      <c r="E4127" s="17"/>
      <c r="F4127" s="17"/>
      <c r="G4127" s="24">
        <f t="shared" si="273"/>
        <v>0</v>
      </c>
      <c r="H4127" s="17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</row>
    <row r="4128">
      <c r="A4128" s="25" t="s">
        <v>15</v>
      </c>
      <c r="B4128" s="2"/>
      <c r="C4128" s="2"/>
      <c r="D4128" s="2"/>
      <c r="E4128" s="2"/>
      <c r="F4128" s="2"/>
      <c r="G4128" s="3"/>
      <c r="H4128" s="26">
        <f>SUM(G4125:G4127)</f>
        <v>1321150</v>
      </c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</row>
    <row r="4129">
      <c r="A4129" s="25" t="s">
        <v>16</v>
      </c>
      <c r="B4129" s="2"/>
      <c r="C4129" s="2"/>
      <c r="D4129" s="2"/>
      <c r="E4129" s="2"/>
      <c r="F4129" s="2"/>
      <c r="G4129" s="3"/>
      <c r="H4129" s="26">
        <f>MAX(0,H4128-648000)</f>
        <v>673150</v>
      </c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</row>
    <row r="4130">
      <c r="A4130" s="27" t="s">
        <v>17</v>
      </c>
      <c r="B4130" s="2"/>
      <c r="C4130" s="2"/>
      <c r="D4130" s="2"/>
      <c r="E4130" s="2"/>
      <c r="F4130" s="2"/>
      <c r="G4130" s="3"/>
      <c r="H4130" s="28">
        <v>649000.0</v>
      </c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</row>
    <row r="4131">
      <c r="A4131" s="1" t="s">
        <v>18</v>
      </c>
      <c r="B4131" s="2"/>
      <c r="C4131" s="2"/>
      <c r="D4131" s="2"/>
      <c r="E4131" s="2"/>
      <c r="F4131" s="2"/>
      <c r="G4131" s="2"/>
      <c r="H4131" s="3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</row>
    <row r="4137" ht="29.25" customHeight="1">
      <c r="A4137" s="1" t="s">
        <v>0</v>
      </c>
      <c r="B4137" s="2"/>
      <c r="C4137" s="2"/>
      <c r="D4137" s="2"/>
      <c r="E4137" s="2"/>
      <c r="F4137" s="2"/>
      <c r="G4137" s="2"/>
      <c r="H4137" s="3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</row>
    <row r="4138">
      <c r="A4138" s="6" t="s">
        <v>968</v>
      </c>
      <c r="B4138" s="2"/>
      <c r="C4138" s="2"/>
      <c r="D4138" s="2"/>
      <c r="E4138" s="2"/>
      <c r="F4138" s="2"/>
      <c r="G4138" s="2"/>
      <c r="H4138" s="3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</row>
    <row r="4139">
      <c r="A4139" s="7" t="s">
        <v>2</v>
      </c>
      <c r="B4139" s="7" t="s">
        <v>3</v>
      </c>
      <c r="C4139" s="7" t="s">
        <v>4</v>
      </c>
      <c r="D4139" s="7" t="s">
        <v>5</v>
      </c>
      <c r="E4139" s="7" t="s">
        <v>6</v>
      </c>
      <c r="F4139" s="8" t="s">
        <v>7</v>
      </c>
      <c r="G4139" s="7" t="s">
        <v>8</v>
      </c>
      <c r="H4139" s="9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</row>
    <row r="4140">
      <c r="A4140" s="10">
        <v>1.0</v>
      </c>
      <c r="B4140" s="33" t="s">
        <v>98</v>
      </c>
      <c r="C4140" s="34" t="s">
        <v>969</v>
      </c>
      <c r="D4140" s="13" t="s">
        <v>11</v>
      </c>
      <c r="E4140" s="35">
        <v>1.47</v>
      </c>
      <c r="F4140" s="15">
        <v>293000.0</v>
      </c>
      <c r="G4140" s="16">
        <f t="shared" ref="G4140:G4142" si="274">IFERROR(E4140*F4140,0)</f>
        <v>430710</v>
      </c>
      <c r="H4140" s="17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</row>
    <row r="4141">
      <c r="A4141" s="10">
        <v>2.0</v>
      </c>
      <c r="B4141" s="33" t="s">
        <v>970</v>
      </c>
      <c r="C4141" s="34" t="s">
        <v>971</v>
      </c>
      <c r="D4141" s="20" t="s">
        <v>13</v>
      </c>
      <c r="E4141" s="38">
        <v>1.98</v>
      </c>
      <c r="F4141" s="22">
        <v>435000.0</v>
      </c>
      <c r="G4141" s="16">
        <f t="shared" si="274"/>
        <v>861300</v>
      </c>
      <c r="H4141" s="17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</row>
    <row r="4142">
      <c r="A4142" s="10">
        <v>3.0</v>
      </c>
      <c r="B4142" s="23" t="s">
        <v>14</v>
      </c>
      <c r="C4142" s="17"/>
      <c r="D4142" s="17"/>
      <c r="E4142" s="17"/>
      <c r="F4142" s="17"/>
      <c r="G4142" s="24">
        <f t="shared" si="274"/>
        <v>0</v>
      </c>
      <c r="H4142" s="17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</row>
    <row r="4143">
      <c r="A4143" s="25" t="s">
        <v>15</v>
      </c>
      <c r="B4143" s="2"/>
      <c r="C4143" s="2"/>
      <c r="D4143" s="2"/>
      <c r="E4143" s="2"/>
      <c r="F4143" s="2"/>
      <c r="G4143" s="3"/>
      <c r="H4143" s="26">
        <f>SUM(G4140:G4142)</f>
        <v>1292010</v>
      </c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</row>
    <row r="4144">
      <c r="A4144" s="25" t="s">
        <v>16</v>
      </c>
      <c r="B4144" s="2"/>
      <c r="C4144" s="2"/>
      <c r="D4144" s="2"/>
      <c r="E4144" s="2"/>
      <c r="F4144" s="2"/>
      <c r="G4144" s="3"/>
      <c r="H4144" s="26">
        <f>MAX(0,H4143-648000)</f>
        <v>644010</v>
      </c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</row>
    <row r="4145">
      <c r="A4145" s="27" t="s">
        <v>17</v>
      </c>
      <c r="B4145" s="2"/>
      <c r="C4145" s="2"/>
      <c r="D4145" s="2"/>
      <c r="E4145" s="2"/>
      <c r="F4145" s="2"/>
      <c r="G4145" s="3"/>
      <c r="H4145" s="28">
        <v>649000.0</v>
      </c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</row>
    <row r="4146">
      <c r="A4146" s="1" t="s">
        <v>18</v>
      </c>
      <c r="B4146" s="2"/>
      <c r="C4146" s="2"/>
      <c r="D4146" s="2"/>
      <c r="E4146" s="2"/>
      <c r="F4146" s="2"/>
      <c r="G4146" s="2"/>
      <c r="H4146" s="3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</row>
    <row r="4152" ht="29.25" customHeight="1">
      <c r="A4152" s="1" t="s">
        <v>0</v>
      </c>
      <c r="B4152" s="2"/>
      <c r="C4152" s="2"/>
      <c r="D4152" s="2"/>
      <c r="E4152" s="2"/>
      <c r="F4152" s="2"/>
      <c r="G4152" s="2"/>
      <c r="H4152" s="3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</row>
    <row r="4153">
      <c r="A4153" s="6" t="s">
        <v>972</v>
      </c>
      <c r="B4153" s="2"/>
      <c r="C4153" s="2"/>
      <c r="D4153" s="2"/>
      <c r="E4153" s="2"/>
      <c r="F4153" s="2"/>
      <c r="G4153" s="2"/>
      <c r="H4153" s="3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</row>
    <row r="4154">
      <c r="A4154" s="7" t="s">
        <v>2</v>
      </c>
      <c r="B4154" s="7" t="s">
        <v>3</v>
      </c>
      <c r="C4154" s="7" t="s">
        <v>4</v>
      </c>
      <c r="D4154" s="7" t="s">
        <v>5</v>
      </c>
      <c r="E4154" s="7" t="s">
        <v>6</v>
      </c>
      <c r="F4154" s="8" t="s">
        <v>7</v>
      </c>
      <c r="G4154" s="7" t="s">
        <v>8</v>
      </c>
      <c r="H4154" s="9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</row>
    <row r="4155">
      <c r="A4155" s="10">
        <v>1.0</v>
      </c>
      <c r="B4155" s="33" t="s">
        <v>282</v>
      </c>
      <c r="C4155" s="34" t="s">
        <v>919</v>
      </c>
      <c r="D4155" s="13" t="s">
        <v>11</v>
      </c>
      <c r="E4155" s="35">
        <v>2.0</v>
      </c>
      <c r="F4155" s="15">
        <v>293000.0</v>
      </c>
      <c r="G4155" s="16">
        <f t="shared" ref="G4155:G4157" si="275">IFERROR(E4155*F4155,0)</f>
        <v>586000</v>
      </c>
      <c r="H4155" s="17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</row>
    <row r="4156">
      <c r="A4156" s="10">
        <v>2.0</v>
      </c>
      <c r="B4156" s="36" t="s">
        <v>12</v>
      </c>
      <c r="C4156" s="37" t="s">
        <v>973</v>
      </c>
      <c r="D4156" s="20" t="s">
        <v>13</v>
      </c>
      <c r="E4156" s="38">
        <v>1.36</v>
      </c>
      <c r="F4156" s="22">
        <v>435000.0</v>
      </c>
      <c r="G4156" s="16">
        <f t="shared" si="275"/>
        <v>591600</v>
      </c>
      <c r="H4156" s="17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</row>
    <row r="4157">
      <c r="A4157" s="10">
        <v>3.0</v>
      </c>
      <c r="B4157" s="23" t="s">
        <v>14</v>
      </c>
      <c r="C4157" s="17"/>
      <c r="D4157" s="17"/>
      <c r="E4157" s="17"/>
      <c r="F4157" s="17"/>
      <c r="G4157" s="24">
        <f t="shared" si="275"/>
        <v>0</v>
      </c>
      <c r="H4157" s="17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</row>
    <row r="4158">
      <c r="A4158" s="25" t="s">
        <v>15</v>
      </c>
      <c r="B4158" s="2"/>
      <c r="C4158" s="2"/>
      <c r="D4158" s="2"/>
      <c r="E4158" s="2"/>
      <c r="F4158" s="2"/>
      <c r="G4158" s="3"/>
      <c r="H4158" s="26">
        <f>SUM(G4155:G4157)</f>
        <v>1177600</v>
      </c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</row>
    <row r="4159">
      <c r="A4159" s="25" t="s">
        <v>16</v>
      </c>
      <c r="B4159" s="2"/>
      <c r="C4159" s="2"/>
      <c r="D4159" s="2"/>
      <c r="E4159" s="2"/>
      <c r="F4159" s="2"/>
      <c r="G4159" s="3"/>
      <c r="H4159" s="26">
        <f>MAX(0,H4158-648000)</f>
        <v>529600</v>
      </c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</row>
    <row r="4160">
      <c r="A4160" s="27" t="s">
        <v>17</v>
      </c>
      <c r="B4160" s="2"/>
      <c r="C4160" s="2"/>
      <c r="D4160" s="2"/>
      <c r="E4160" s="2"/>
      <c r="F4160" s="2"/>
      <c r="G4160" s="3"/>
      <c r="H4160" s="28">
        <v>649000.0</v>
      </c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</row>
    <row r="4161">
      <c r="A4161" s="1" t="s">
        <v>18</v>
      </c>
      <c r="B4161" s="2"/>
      <c r="C4161" s="2"/>
      <c r="D4161" s="2"/>
      <c r="E4161" s="2"/>
      <c r="F4161" s="2"/>
      <c r="G4161" s="2"/>
      <c r="H4161" s="3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</row>
    <row r="4168" ht="29.25" customHeight="1">
      <c r="A4168" s="1" t="s">
        <v>0</v>
      </c>
      <c r="B4168" s="2"/>
      <c r="C4168" s="2"/>
      <c r="D4168" s="2"/>
      <c r="E4168" s="2"/>
      <c r="F4168" s="2"/>
      <c r="G4168" s="2"/>
      <c r="H4168" s="3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</row>
    <row r="4169">
      <c r="A4169" s="6" t="s">
        <v>974</v>
      </c>
      <c r="B4169" s="2"/>
      <c r="C4169" s="2"/>
      <c r="D4169" s="2"/>
      <c r="E4169" s="2"/>
      <c r="F4169" s="2"/>
      <c r="G4169" s="2"/>
      <c r="H4169" s="3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</row>
    <row r="4170">
      <c r="A4170" s="7" t="s">
        <v>2</v>
      </c>
      <c r="B4170" s="7" t="s">
        <v>3</v>
      </c>
      <c r="C4170" s="7" t="s">
        <v>4</v>
      </c>
      <c r="D4170" s="7" t="s">
        <v>5</v>
      </c>
      <c r="E4170" s="7" t="s">
        <v>6</v>
      </c>
      <c r="F4170" s="8" t="s">
        <v>7</v>
      </c>
      <c r="G4170" s="7" t="s">
        <v>8</v>
      </c>
      <c r="H4170" s="9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</row>
    <row r="4171">
      <c r="A4171" s="10">
        <v>1.0</v>
      </c>
      <c r="B4171" s="33" t="s">
        <v>707</v>
      </c>
      <c r="C4171" s="34" t="s">
        <v>975</v>
      </c>
      <c r="D4171" s="13" t="s">
        <v>11</v>
      </c>
      <c r="E4171" s="35">
        <v>2.05</v>
      </c>
      <c r="F4171" s="15">
        <v>293000.0</v>
      </c>
      <c r="G4171" s="16">
        <f t="shared" ref="G4171:G4173" si="276">IFERROR(E4171*F4171,0)</f>
        <v>600650</v>
      </c>
      <c r="H4171" s="17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</row>
    <row r="4172">
      <c r="A4172" s="10">
        <v>2.0</v>
      </c>
      <c r="B4172" s="36" t="s">
        <v>25</v>
      </c>
      <c r="C4172" s="37" t="s">
        <v>976</v>
      </c>
      <c r="D4172" s="20" t="s">
        <v>13</v>
      </c>
      <c r="E4172" s="38">
        <v>1.5</v>
      </c>
      <c r="F4172" s="22">
        <v>435000.0</v>
      </c>
      <c r="G4172" s="16">
        <f t="shared" si="276"/>
        <v>652500</v>
      </c>
      <c r="H4172" s="17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</row>
    <row r="4173">
      <c r="A4173" s="10">
        <v>3.0</v>
      </c>
      <c r="B4173" s="23" t="s">
        <v>14</v>
      </c>
      <c r="C4173" s="17"/>
      <c r="D4173" s="17"/>
      <c r="E4173" s="17"/>
      <c r="F4173" s="17"/>
      <c r="G4173" s="24">
        <f t="shared" si="276"/>
        <v>0</v>
      </c>
      <c r="H4173" s="17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</row>
    <row r="4174">
      <c r="A4174" s="25" t="s">
        <v>15</v>
      </c>
      <c r="B4174" s="2"/>
      <c r="C4174" s="2"/>
      <c r="D4174" s="2"/>
      <c r="E4174" s="2"/>
      <c r="F4174" s="2"/>
      <c r="G4174" s="3"/>
      <c r="H4174" s="26">
        <f>SUM(G4171:G4173)</f>
        <v>1253150</v>
      </c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</row>
    <row r="4175">
      <c r="A4175" s="25" t="s">
        <v>16</v>
      </c>
      <c r="B4175" s="2"/>
      <c r="C4175" s="2"/>
      <c r="D4175" s="2"/>
      <c r="E4175" s="2"/>
      <c r="F4175" s="2"/>
      <c r="G4175" s="3"/>
      <c r="H4175" s="26">
        <f>MAX(0,H4174-648000)</f>
        <v>605150</v>
      </c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</row>
    <row r="4176">
      <c r="A4176" s="27" t="s">
        <v>17</v>
      </c>
      <c r="B4176" s="2"/>
      <c r="C4176" s="2"/>
      <c r="D4176" s="2"/>
      <c r="E4176" s="2"/>
      <c r="F4176" s="2"/>
      <c r="G4176" s="3"/>
      <c r="H4176" s="28">
        <v>649000.0</v>
      </c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</row>
    <row r="4177">
      <c r="A4177" s="1" t="s">
        <v>18</v>
      </c>
      <c r="B4177" s="2"/>
      <c r="C4177" s="2"/>
      <c r="D4177" s="2"/>
      <c r="E4177" s="2"/>
      <c r="F4177" s="2"/>
      <c r="G4177" s="2"/>
      <c r="H4177" s="3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</row>
    <row r="4184" ht="29.25" customHeight="1">
      <c r="A4184" s="1" t="s">
        <v>0</v>
      </c>
      <c r="B4184" s="2"/>
      <c r="C4184" s="2"/>
      <c r="D4184" s="2"/>
      <c r="E4184" s="2"/>
      <c r="F4184" s="2"/>
      <c r="G4184" s="2"/>
      <c r="H4184" s="3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</row>
    <row r="4185">
      <c r="A4185" s="6" t="s">
        <v>977</v>
      </c>
      <c r="B4185" s="2"/>
      <c r="C4185" s="2"/>
      <c r="D4185" s="2"/>
      <c r="E4185" s="2"/>
      <c r="F4185" s="2"/>
      <c r="G4185" s="2"/>
      <c r="H4185" s="3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</row>
    <row r="4186">
      <c r="A4186" s="7" t="s">
        <v>2</v>
      </c>
      <c r="B4186" s="7" t="s">
        <v>3</v>
      </c>
      <c r="C4186" s="7" t="s">
        <v>4</v>
      </c>
      <c r="D4186" s="7" t="s">
        <v>5</v>
      </c>
      <c r="E4186" s="7" t="s">
        <v>6</v>
      </c>
      <c r="F4186" s="8" t="s">
        <v>7</v>
      </c>
      <c r="G4186" s="7" t="s">
        <v>8</v>
      </c>
      <c r="H4186" s="9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</row>
    <row r="4187">
      <c r="A4187" s="10">
        <v>1.0</v>
      </c>
      <c r="B4187" s="33" t="s">
        <v>282</v>
      </c>
      <c r="C4187" s="34" t="s">
        <v>919</v>
      </c>
      <c r="D4187" s="13" t="s">
        <v>11</v>
      </c>
      <c r="E4187" s="35">
        <v>2.1</v>
      </c>
      <c r="F4187" s="15">
        <v>293000.0</v>
      </c>
      <c r="G4187" s="16">
        <f t="shared" ref="G4187:G4189" si="277">IFERROR(E4187*F4187,0)</f>
        <v>615300</v>
      </c>
      <c r="H4187" s="17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</row>
    <row r="4188">
      <c r="A4188" s="10">
        <v>2.0</v>
      </c>
      <c r="B4188" s="36" t="s">
        <v>391</v>
      </c>
      <c r="C4188" s="37" t="s">
        <v>978</v>
      </c>
      <c r="D4188" s="20" t="s">
        <v>13</v>
      </c>
      <c r="E4188" s="38">
        <v>1.24</v>
      </c>
      <c r="F4188" s="22">
        <v>435000.0</v>
      </c>
      <c r="G4188" s="16">
        <f t="shared" si="277"/>
        <v>539400</v>
      </c>
      <c r="H4188" s="17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</row>
    <row r="4189">
      <c r="A4189" s="10">
        <v>3.0</v>
      </c>
      <c r="B4189" s="23" t="s">
        <v>14</v>
      </c>
      <c r="C4189" s="17"/>
      <c r="D4189" s="17"/>
      <c r="E4189" s="17"/>
      <c r="F4189" s="17"/>
      <c r="G4189" s="24">
        <f t="shared" si="277"/>
        <v>0</v>
      </c>
      <c r="H4189" s="17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</row>
    <row r="4190">
      <c r="A4190" s="25" t="s">
        <v>15</v>
      </c>
      <c r="B4190" s="2"/>
      <c r="C4190" s="2"/>
      <c r="D4190" s="2"/>
      <c r="E4190" s="2"/>
      <c r="F4190" s="2"/>
      <c r="G4190" s="3"/>
      <c r="H4190" s="26">
        <f>SUM(G4187:G4189)</f>
        <v>1154700</v>
      </c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</row>
    <row r="4191">
      <c r="A4191" s="25" t="s">
        <v>16</v>
      </c>
      <c r="B4191" s="2"/>
      <c r="C4191" s="2"/>
      <c r="D4191" s="2"/>
      <c r="E4191" s="2"/>
      <c r="F4191" s="2"/>
      <c r="G4191" s="3"/>
      <c r="H4191" s="26">
        <f>MAX(0,H4190-648000)</f>
        <v>506700</v>
      </c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</row>
    <row r="4192">
      <c r="A4192" s="27" t="s">
        <v>17</v>
      </c>
      <c r="B4192" s="2"/>
      <c r="C4192" s="2"/>
      <c r="D4192" s="2"/>
      <c r="E4192" s="2"/>
      <c r="F4192" s="2"/>
      <c r="G4192" s="3"/>
      <c r="H4192" s="28">
        <v>649000.0</v>
      </c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</row>
    <row r="4193">
      <c r="A4193" s="1" t="s">
        <v>18</v>
      </c>
      <c r="B4193" s="2"/>
      <c r="C4193" s="2"/>
      <c r="D4193" s="2"/>
      <c r="E4193" s="2"/>
      <c r="F4193" s="2"/>
      <c r="G4193" s="2"/>
      <c r="H4193" s="3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</row>
    <row r="4199" ht="29.25" customHeight="1">
      <c r="A4199" s="1" t="s">
        <v>0</v>
      </c>
      <c r="B4199" s="2"/>
      <c r="C4199" s="2"/>
      <c r="D4199" s="2"/>
      <c r="E4199" s="2"/>
      <c r="F4199" s="2"/>
      <c r="G4199" s="2"/>
      <c r="H4199" s="3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</row>
    <row r="4200">
      <c r="A4200" s="6" t="s">
        <v>979</v>
      </c>
      <c r="B4200" s="2"/>
      <c r="C4200" s="2"/>
      <c r="D4200" s="2"/>
      <c r="E4200" s="2"/>
      <c r="F4200" s="2"/>
      <c r="G4200" s="2"/>
      <c r="H4200" s="3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</row>
    <row r="4201">
      <c r="A4201" s="7" t="s">
        <v>2</v>
      </c>
      <c r="B4201" s="7" t="s">
        <v>3</v>
      </c>
      <c r="C4201" s="7" t="s">
        <v>4</v>
      </c>
      <c r="D4201" s="7" t="s">
        <v>5</v>
      </c>
      <c r="E4201" s="7" t="s">
        <v>6</v>
      </c>
      <c r="F4201" s="8" t="s">
        <v>7</v>
      </c>
      <c r="G4201" s="7" t="s">
        <v>8</v>
      </c>
      <c r="H4201" s="9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</row>
    <row r="4202">
      <c r="A4202" s="10">
        <v>1.0</v>
      </c>
      <c r="B4202" s="33" t="s">
        <v>294</v>
      </c>
      <c r="C4202" s="34" t="s">
        <v>980</v>
      </c>
      <c r="D4202" s="13" t="s">
        <v>11</v>
      </c>
      <c r="E4202" s="35">
        <v>1.53</v>
      </c>
      <c r="F4202" s="15">
        <v>293000.0</v>
      </c>
      <c r="G4202" s="16">
        <f t="shared" ref="G4202:G4204" si="278">IFERROR(E4202*F4202,0)</f>
        <v>448290</v>
      </c>
      <c r="H4202" s="17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</row>
    <row r="4203">
      <c r="A4203" s="10">
        <v>2.0</v>
      </c>
      <c r="B4203" s="36" t="s">
        <v>22</v>
      </c>
      <c r="C4203" s="37" t="s">
        <v>900</v>
      </c>
      <c r="D4203" s="20" t="s">
        <v>13</v>
      </c>
      <c r="E4203" s="38">
        <v>2.3</v>
      </c>
      <c r="F4203" s="22">
        <v>435000.0</v>
      </c>
      <c r="G4203" s="16">
        <f t="shared" si="278"/>
        <v>1000500</v>
      </c>
      <c r="H4203" s="17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</row>
    <row r="4204">
      <c r="A4204" s="10">
        <v>3.0</v>
      </c>
      <c r="B4204" s="23" t="s">
        <v>14</v>
      </c>
      <c r="C4204" s="17"/>
      <c r="D4204" s="17"/>
      <c r="E4204" s="17"/>
      <c r="F4204" s="17"/>
      <c r="G4204" s="24">
        <f t="shared" si="278"/>
        <v>0</v>
      </c>
      <c r="H4204" s="17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</row>
    <row r="4205">
      <c r="A4205" s="25" t="s">
        <v>15</v>
      </c>
      <c r="B4205" s="2"/>
      <c r="C4205" s="2"/>
      <c r="D4205" s="2"/>
      <c r="E4205" s="2"/>
      <c r="F4205" s="2"/>
      <c r="G4205" s="3"/>
      <c r="H4205" s="26">
        <f>SUM(G4202:G4204)</f>
        <v>1448790</v>
      </c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</row>
    <row r="4206">
      <c r="A4206" s="25" t="s">
        <v>16</v>
      </c>
      <c r="B4206" s="2"/>
      <c r="C4206" s="2"/>
      <c r="D4206" s="2"/>
      <c r="E4206" s="2"/>
      <c r="F4206" s="2"/>
      <c r="G4206" s="3"/>
      <c r="H4206" s="26">
        <f>MAX(0,H4205-648000)</f>
        <v>800790</v>
      </c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</row>
    <row r="4207">
      <c r="A4207" s="27" t="s">
        <v>17</v>
      </c>
      <c r="B4207" s="2"/>
      <c r="C4207" s="2"/>
      <c r="D4207" s="2"/>
      <c r="E4207" s="2"/>
      <c r="F4207" s="2"/>
      <c r="G4207" s="3"/>
      <c r="H4207" s="28">
        <v>649000.0</v>
      </c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</row>
    <row r="4208">
      <c r="A4208" s="1" t="s">
        <v>18</v>
      </c>
      <c r="B4208" s="2"/>
      <c r="C4208" s="2"/>
      <c r="D4208" s="2"/>
      <c r="E4208" s="2"/>
      <c r="F4208" s="2"/>
      <c r="G4208" s="2"/>
      <c r="H4208" s="3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</row>
    <row r="4214" ht="29.25" customHeight="1">
      <c r="A4214" s="1" t="s">
        <v>0</v>
      </c>
      <c r="B4214" s="2"/>
      <c r="C4214" s="2"/>
      <c r="D4214" s="2"/>
      <c r="E4214" s="2"/>
      <c r="F4214" s="2"/>
      <c r="G4214" s="2"/>
      <c r="H4214" s="3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</row>
    <row r="4215">
      <c r="A4215" s="6" t="s">
        <v>981</v>
      </c>
      <c r="B4215" s="2"/>
      <c r="C4215" s="2"/>
      <c r="D4215" s="2"/>
      <c r="E4215" s="2"/>
      <c r="F4215" s="2"/>
      <c r="G4215" s="2"/>
      <c r="H4215" s="3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</row>
    <row r="4216">
      <c r="A4216" s="7" t="s">
        <v>2</v>
      </c>
      <c r="B4216" s="7" t="s">
        <v>3</v>
      </c>
      <c r="C4216" s="7" t="s">
        <v>4</v>
      </c>
      <c r="D4216" s="7" t="s">
        <v>5</v>
      </c>
      <c r="E4216" s="7" t="s">
        <v>6</v>
      </c>
      <c r="F4216" s="8" t="s">
        <v>7</v>
      </c>
      <c r="G4216" s="7" t="s">
        <v>8</v>
      </c>
      <c r="H4216" s="9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</row>
    <row r="4217">
      <c r="A4217" s="10">
        <v>1.0</v>
      </c>
      <c r="B4217" s="33" t="s">
        <v>98</v>
      </c>
      <c r="C4217" s="34" t="s">
        <v>827</v>
      </c>
      <c r="D4217" s="13" t="s">
        <v>11</v>
      </c>
      <c r="E4217" s="35">
        <v>1.5</v>
      </c>
      <c r="F4217" s="15">
        <v>293000.0</v>
      </c>
      <c r="G4217" s="16">
        <f t="shared" ref="G4217:G4219" si="279">IFERROR(E4217*F4217,0)</f>
        <v>439500</v>
      </c>
      <c r="H4217" s="17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</row>
    <row r="4218">
      <c r="A4218" s="10">
        <v>2.0</v>
      </c>
      <c r="B4218" s="36" t="s">
        <v>151</v>
      </c>
      <c r="C4218" s="37" t="s">
        <v>10</v>
      </c>
      <c r="D4218" s="20" t="s">
        <v>13</v>
      </c>
      <c r="E4218" s="38">
        <v>2.0</v>
      </c>
      <c r="F4218" s="22">
        <v>435000.0</v>
      </c>
      <c r="G4218" s="16">
        <f t="shared" si="279"/>
        <v>870000</v>
      </c>
      <c r="H4218" s="17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</row>
    <row r="4219">
      <c r="A4219" s="10">
        <v>3.0</v>
      </c>
      <c r="B4219" s="23" t="s">
        <v>14</v>
      </c>
      <c r="C4219" s="17"/>
      <c r="D4219" s="17"/>
      <c r="E4219" s="17"/>
      <c r="F4219" s="17"/>
      <c r="G4219" s="24">
        <f t="shared" si="279"/>
        <v>0</v>
      </c>
      <c r="H4219" s="17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</row>
    <row r="4220">
      <c r="A4220" s="25" t="s">
        <v>15</v>
      </c>
      <c r="B4220" s="2"/>
      <c r="C4220" s="2"/>
      <c r="D4220" s="2"/>
      <c r="E4220" s="2"/>
      <c r="F4220" s="2"/>
      <c r="G4220" s="3"/>
      <c r="H4220" s="26">
        <f>SUM(G4217:G4219)</f>
        <v>1309500</v>
      </c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</row>
    <row r="4221">
      <c r="A4221" s="25" t="s">
        <v>16</v>
      </c>
      <c r="B4221" s="2"/>
      <c r="C4221" s="2"/>
      <c r="D4221" s="2"/>
      <c r="E4221" s="2"/>
      <c r="F4221" s="2"/>
      <c r="G4221" s="3"/>
      <c r="H4221" s="26">
        <f>MAX(0,H4220-648000)</f>
        <v>661500</v>
      </c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</row>
    <row r="4222">
      <c r="A4222" s="27" t="s">
        <v>17</v>
      </c>
      <c r="B4222" s="2"/>
      <c r="C4222" s="2"/>
      <c r="D4222" s="2"/>
      <c r="E4222" s="2"/>
      <c r="F4222" s="2"/>
      <c r="G4222" s="3"/>
      <c r="H4222" s="28">
        <v>649000.0</v>
      </c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</row>
    <row r="4223">
      <c r="A4223" s="1" t="s">
        <v>18</v>
      </c>
      <c r="B4223" s="2"/>
      <c r="C4223" s="2"/>
      <c r="D4223" s="2"/>
      <c r="E4223" s="2"/>
      <c r="F4223" s="2"/>
      <c r="G4223" s="2"/>
      <c r="H4223" s="3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</row>
    <row r="4229" ht="29.25" customHeight="1">
      <c r="A4229" s="1" t="s">
        <v>0</v>
      </c>
      <c r="B4229" s="2"/>
      <c r="C4229" s="2"/>
      <c r="D4229" s="2"/>
      <c r="E4229" s="2"/>
      <c r="F4229" s="2"/>
      <c r="G4229" s="2"/>
      <c r="H4229" s="3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</row>
    <row r="4230">
      <c r="A4230" s="6" t="s">
        <v>982</v>
      </c>
      <c r="B4230" s="2"/>
      <c r="C4230" s="2"/>
      <c r="D4230" s="2"/>
      <c r="E4230" s="2"/>
      <c r="F4230" s="2"/>
      <c r="G4230" s="2"/>
      <c r="H4230" s="3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</row>
    <row r="4231">
      <c r="A4231" s="7" t="s">
        <v>2</v>
      </c>
      <c r="B4231" s="7" t="s">
        <v>3</v>
      </c>
      <c r="C4231" s="7" t="s">
        <v>4</v>
      </c>
      <c r="D4231" s="7" t="s">
        <v>5</v>
      </c>
      <c r="E4231" s="7" t="s">
        <v>6</v>
      </c>
      <c r="F4231" s="8" t="s">
        <v>7</v>
      </c>
      <c r="G4231" s="7" t="s">
        <v>8</v>
      </c>
      <c r="H4231" s="9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</row>
    <row r="4232">
      <c r="A4232" s="10">
        <v>1.0</v>
      </c>
      <c r="B4232" s="33" t="s">
        <v>74</v>
      </c>
      <c r="C4232" s="34" t="s">
        <v>983</v>
      </c>
      <c r="D4232" s="13" t="s">
        <v>11</v>
      </c>
      <c r="E4232" s="35">
        <v>1.57</v>
      </c>
      <c r="F4232" s="15">
        <v>293000.0</v>
      </c>
      <c r="G4232" s="16">
        <f t="shared" ref="G4232:G4234" si="280">IFERROR(E4232*F4232,0)</f>
        <v>460010</v>
      </c>
      <c r="H4232" s="17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</row>
    <row r="4233">
      <c r="A4233" s="10">
        <v>2.0</v>
      </c>
      <c r="B4233" s="36" t="s">
        <v>151</v>
      </c>
      <c r="C4233" s="37" t="s">
        <v>10</v>
      </c>
      <c r="D4233" s="20" t="s">
        <v>13</v>
      </c>
      <c r="E4233" s="38">
        <v>2.0</v>
      </c>
      <c r="F4233" s="22">
        <v>435000.0</v>
      </c>
      <c r="G4233" s="16">
        <f t="shared" si="280"/>
        <v>870000</v>
      </c>
      <c r="H4233" s="17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</row>
    <row r="4234">
      <c r="A4234" s="10">
        <v>3.0</v>
      </c>
      <c r="B4234" s="23" t="s">
        <v>14</v>
      </c>
      <c r="C4234" s="17"/>
      <c r="D4234" s="17"/>
      <c r="E4234" s="17"/>
      <c r="F4234" s="17"/>
      <c r="G4234" s="24">
        <f t="shared" si="280"/>
        <v>0</v>
      </c>
      <c r="H4234" s="17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</row>
    <row r="4235">
      <c r="A4235" s="25" t="s">
        <v>15</v>
      </c>
      <c r="B4235" s="2"/>
      <c r="C4235" s="2"/>
      <c r="D4235" s="2"/>
      <c r="E4235" s="2"/>
      <c r="F4235" s="2"/>
      <c r="G4235" s="3"/>
      <c r="H4235" s="26">
        <f>SUM(G4232:G4234)</f>
        <v>1330010</v>
      </c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</row>
    <row r="4236">
      <c r="A4236" s="25" t="s">
        <v>16</v>
      </c>
      <c r="B4236" s="2"/>
      <c r="C4236" s="2"/>
      <c r="D4236" s="2"/>
      <c r="E4236" s="2"/>
      <c r="F4236" s="2"/>
      <c r="G4236" s="3"/>
      <c r="H4236" s="26">
        <f>MAX(0,H4235-648000)</f>
        <v>682010</v>
      </c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</row>
    <row r="4237">
      <c r="A4237" s="27" t="s">
        <v>17</v>
      </c>
      <c r="B4237" s="2"/>
      <c r="C4237" s="2"/>
      <c r="D4237" s="2"/>
      <c r="E4237" s="2"/>
      <c r="F4237" s="2"/>
      <c r="G4237" s="3"/>
      <c r="H4237" s="28">
        <v>649000.0</v>
      </c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</row>
    <row r="4238">
      <c r="A4238" s="1" t="s">
        <v>18</v>
      </c>
      <c r="B4238" s="2"/>
      <c r="C4238" s="2"/>
      <c r="D4238" s="2"/>
      <c r="E4238" s="2"/>
      <c r="F4238" s="2"/>
      <c r="G4238" s="2"/>
      <c r="H4238" s="3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</row>
    <row r="4243" ht="29.25" customHeight="1">
      <c r="A4243" s="1" t="s">
        <v>0</v>
      </c>
      <c r="B4243" s="2"/>
      <c r="C4243" s="2"/>
      <c r="D4243" s="2"/>
      <c r="E4243" s="2"/>
      <c r="F4243" s="2"/>
      <c r="G4243" s="2"/>
      <c r="H4243" s="3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</row>
    <row r="4244">
      <c r="A4244" s="6" t="s">
        <v>984</v>
      </c>
      <c r="B4244" s="2"/>
      <c r="C4244" s="2"/>
      <c r="D4244" s="2"/>
      <c r="E4244" s="2"/>
      <c r="F4244" s="2"/>
      <c r="G4244" s="2"/>
      <c r="H4244" s="3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</row>
    <row r="4245">
      <c r="A4245" s="7" t="s">
        <v>2</v>
      </c>
      <c r="B4245" s="7" t="s">
        <v>3</v>
      </c>
      <c r="C4245" s="7" t="s">
        <v>4</v>
      </c>
      <c r="D4245" s="7" t="s">
        <v>5</v>
      </c>
      <c r="E4245" s="7" t="s">
        <v>6</v>
      </c>
      <c r="F4245" s="8" t="s">
        <v>7</v>
      </c>
      <c r="G4245" s="7" t="s">
        <v>8</v>
      </c>
      <c r="H4245" s="9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</row>
    <row r="4246">
      <c r="A4246" s="10">
        <v>1.0</v>
      </c>
      <c r="B4246" s="33" t="s">
        <v>985</v>
      </c>
      <c r="C4246" s="34" t="s">
        <v>986</v>
      </c>
      <c r="D4246" s="13" t="s">
        <v>11</v>
      </c>
      <c r="E4246" s="35">
        <v>1.5</v>
      </c>
      <c r="F4246" s="15">
        <v>293000.0</v>
      </c>
      <c r="G4246" s="16">
        <f t="shared" ref="G4246:G4248" si="281">IFERROR(E4246*F4246,0)</f>
        <v>439500</v>
      </c>
      <c r="H4246" s="17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</row>
    <row r="4247">
      <c r="A4247" s="10">
        <v>2.0</v>
      </c>
      <c r="B4247" s="36" t="s">
        <v>151</v>
      </c>
      <c r="C4247" s="37" t="s">
        <v>10</v>
      </c>
      <c r="D4247" s="20" t="s">
        <v>13</v>
      </c>
      <c r="E4247" s="38">
        <v>2.0</v>
      </c>
      <c r="F4247" s="22">
        <v>435000.0</v>
      </c>
      <c r="G4247" s="16">
        <f t="shared" si="281"/>
        <v>870000</v>
      </c>
      <c r="H4247" s="17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</row>
    <row r="4248">
      <c r="A4248" s="10">
        <v>3.0</v>
      </c>
      <c r="B4248" s="23" t="s">
        <v>14</v>
      </c>
      <c r="C4248" s="17"/>
      <c r="D4248" s="17"/>
      <c r="E4248" s="17"/>
      <c r="F4248" s="17"/>
      <c r="G4248" s="24">
        <f t="shared" si="281"/>
        <v>0</v>
      </c>
      <c r="H4248" s="17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</row>
    <row r="4249">
      <c r="A4249" s="25" t="s">
        <v>15</v>
      </c>
      <c r="B4249" s="2"/>
      <c r="C4249" s="2"/>
      <c r="D4249" s="2"/>
      <c r="E4249" s="2"/>
      <c r="F4249" s="2"/>
      <c r="G4249" s="3"/>
      <c r="H4249" s="26">
        <f>SUM(G4246:G4248)</f>
        <v>1309500</v>
      </c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</row>
    <row r="4250">
      <c r="A4250" s="25" t="s">
        <v>16</v>
      </c>
      <c r="B4250" s="2"/>
      <c r="C4250" s="2"/>
      <c r="D4250" s="2"/>
      <c r="E4250" s="2"/>
      <c r="F4250" s="2"/>
      <c r="G4250" s="3"/>
      <c r="H4250" s="26">
        <f>MAX(0,H4249-648000)</f>
        <v>661500</v>
      </c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</row>
    <row r="4251">
      <c r="A4251" s="27" t="s">
        <v>17</v>
      </c>
      <c r="B4251" s="2"/>
      <c r="C4251" s="2"/>
      <c r="D4251" s="2"/>
      <c r="E4251" s="2"/>
      <c r="F4251" s="2"/>
      <c r="G4251" s="3"/>
      <c r="H4251" s="28">
        <v>649000.0</v>
      </c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</row>
    <row r="4252">
      <c r="A4252" s="1" t="s">
        <v>18</v>
      </c>
      <c r="B4252" s="2"/>
      <c r="C4252" s="2"/>
      <c r="D4252" s="2"/>
      <c r="E4252" s="2"/>
      <c r="F4252" s="2"/>
      <c r="G4252" s="2"/>
      <c r="H4252" s="3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</row>
    <row r="4258" ht="29.25" customHeight="1">
      <c r="A4258" s="1" t="s">
        <v>0</v>
      </c>
      <c r="B4258" s="2"/>
      <c r="C4258" s="2"/>
      <c r="D4258" s="2"/>
      <c r="E4258" s="2"/>
      <c r="F4258" s="2"/>
      <c r="G4258" s="2"/>
      <c r="H4258" s="3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</row>
    <row r="4259">
      <c r="A4259" s="6" t="s">
        <v>987</v>
      </c>
      <c r="B4259" s="2"/>
      <c r="C4259" s="2"/>
      <c r="D4259" s="2"/>
      <c r="E4259" s="2"/>
      <c r="F4259" s="2"/>
      <c r="G4259" s="2"/>
      <c r="H4259" s="3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</row>
    <row r="4260">
      <c r="A4260" s="7" t="s">
        <v>2</v>
      </c>
      <c r="B4260" s="7" t="s">
        <v>3</v>
      </c>
      <c r="C4260" s="7" t="s">
        <v>4</v>
      </c>
      <c r="D4260" s="7" t="s">
        <v>5</v>
      </c>
      <c r="E4260" s="7" t="s">
        <v>6</v>
      </c>
      <c r="F4260" s="8" t="s">
        <v>7</v>
      </c>
      <c r="G4260" s="7" t="s">
        <v>8</v>
      </c>
      <c r="H4260" s="9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</row>
    <row r="4261">
      <c r="A4261" s="10">
        <v>1.0</v>
      </c>
      <c r="B4261" s="33" t="s">
        <v>12</v>
      </c>
      <c r="C4261" s="34" t="s">
        <v>876</v>
      </c>
      <c r="D4261" s="13" t="s">
        <v>11</v>
      </c>
      <c r="E4261" s="35">
        <v>2.0</v>
      </c>
      <c r="F4261" s="15">
        <v>293000.0</v>
      </c>
      <c r="G4261" s="16">
        <f t="shared" ref="G4261:G4263" si="282">IFERROR(E4261*F4261,0)</f>
        <v>586000</v>
      </c>
      <c r="H4261" s="17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</row>
    <row r="4262">
      <c r="A4262" s="10">
        <v>2.0</v>
      </c>
      <c r="B4262" s="36" t="s">
        <v>65</v>
      </c>
      <c r="C4262" s="37" t="s">
        <v>988</v>
      </c>
      <c r="D4262" s="20" t="s">
        <v>13</v>
      </c>
      <c r="E4262" s="38">
        <v>1.6</v>
      </c>
      <c r="F4262" s="22">
        <v>435000.0</v>
      </c>
      <c r="G4262" s="16">
        <f t="shared" si="282"/>
        <v>696000</v>
      </c>
      <c r="H4262" s="17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</row>
    <row r="4263">
      <c r="A4263" s="10">
        <v>3.0</v>
      </c>
      <c r="B4263" s="23" t="s">
        <v>14</v>
      </c>
      <c r="C4263" s="17"/>
      <c r="D4263" s="17"/>
      <c r="E4263" s="17"/>
      <c r="F4263" s="17"/>
      <c r="G4263" s="24">
        <f t="shared" si="282"/>
        <v>0</v>
      </c>
      <c r="H4263" s="17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</row>
    <row r="4264">
      <c r="A4264" s="25" t="s">
        <v>15</v>
      </c>
      <c r="B4264" s="2"/>
      <c r="C4264" s="2"/>
      <c r="D4264" s="2"/>
      <c r="E4264" s="2"/>
      <c r="F4264" s="2"/>
      <c r="G4264" s="3"/>
      <c r="H4264" s="26">
        <f>SUM(G4261:G4263)</f>
        <v>1282000</v>
      </c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</row>
    <row r="4265">
      <c r="A4265" s="25" t="s">
        <v>16</v>
      </c>
      <c r="B4265" s="2"/>
      <c r="C4265" s="2"/>
      <c r="D4265" s="2"/>
      <c r="E4265" s="2"/>
      <c r="F4265" s="2"/>
      <c r="G4265" s="3"/>
      <c r="H4265" s="26">
        <f>MAX(0,H4264-648000)</f>
        <v>634000</v>
      </c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</row>
    <row r="4266">
      <c r="A4266" s="27" t="s">
        <v>17</v>
      </c>
      <c r="B4266" s="2"/>
      <c r="C4266" s="2"/>
      <c r="D4266" s="2"/>
      <c r="E4266" s="2"/>
      <c r="F4266" s="2"/>
      <c r="G4266" s="3"/>
      <c r="H4266" s="28">
        <v>649000.0</v>
      </c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</row>
    <row r="4267">
      <c r="A4267" s="1" t="s">
        <v>18</v>
      </c>
      <c r="B4267" s="2"/>
      <c r="C4267" s="2"/>
      <c r="D4267" s="2"/>
      <c r="E4267" s="2"/>
      <c r="F4267" s="2"/>
      <c r="G4267" s="2"/>
      <c r="H4267" s="3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</row>
    <row r="4273" ht="29.25" customHeight="1">
      <c r="A4273" s="1" t="s">
        <v>0</v>
      </c>
      <c r="B4273" s="2"/>
      <c r="C4273" s="2"/>
      <c r="D4273" s="2"/>
      <c r="E4273" s="2"/>
      <c r="F4273" s="2"/>
      <c r="G4273" s="2"/>
      <c r="H4273" s="3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</row>
    <row r="4274">
      <c r="A4274" s="6" t="s">
        <v>989</v>
      </c>
      <c r="B4274" s="2"/>
      <c r="C4274" s="2"/>
      <c r="D4274" s="2"/>
      <c r="E4274" s="2"/>
      <c r="F4274" s="2"/>
      <c r="G4274" s="2"/>
      <c r="H4274" s="3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</row>
    <row r="4275">
      <c r="A4275" s="7" t="s">
        <v>2</v>
      </c>
      <c r="B4275" s="7" t="s">
        <v>3</v>
      </c>
      <c r="C4275" s="7" t="s">
        <v>4</v>
      </c>
      <c r="D4275" s="7" t="s">
        <v>5</v>
      </c>
      <c r="E4275" s="7" t="s">
        <v>6</v>
      </c>
      <c r="F4275" s="8" t="s">
        <v>7</v>
      </c>
      <c r="G4275" s="7" t="s">
        <v>8</v>
      </c>
      <c r="H4275" s="9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</row>
    <row r="4276">
      <c r="A4276" s="10">
        <v>1.0</v>
      </c>
      <c r="B4276" s="33" t="s">
        <v>990</v>
      </c>
      <c r="C4276" s="34" t="s">
        <v>991</v>
      </c>
      <c r="D4276" s="13" t="s">
        <v>11</v>
      </c>
      <c r="E4276" s="35">
        <v>1.5</v>
      </c>
      <c r="F4276" s="15">
        <v>293000.0</v>
      </c>
      <c r="G4276" s="16">
        <f t="shared" ref="G4276:G4278" si="283">IFERROR(E4276*F4276,0)</f>
        <v>439500</v>
      </c>
      <c r="H4276" s="17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</row>
    <row r="4277">
      <c r="A4277" s="10">
        <v>2.0</v>
      </c>
      <c r="B4277" s="36" t="s">
        <v>992</v>
      </c>
      <c r="C4277" s="37" t="s">
        <v>993</v>
      </c>
      <c r="D4277" s="20" t="s">
        <v>13</v>
      </c>
      <c r="E4277" s="38">
        <v>2.0</v>
      </c>
      <c r="F4277" s="22">
        <v>435000.0</v>
      </c>
      <c r="G4277" s="16">
        <f t="shared" si="283"/>
        <v>870000</v>
      </c>
      <c r="H4277" s="17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</row>
    <row r="4278">
      <c r="A4278" s="10">
        <v>3.0</v>
      </c>
      <c r="B4278" s="23" t="s">
        <v>14</v>
      </c>
      <c r="C4278" s="17"/>
      <c r="D4278" s="17"/>
      <c r="E4278" s="17"/>
      <c r="F4278" s="17"/>
      <c r="G4278" s="24">
        <f t="shared" si="283"/>
        <v>0</v>
      </c>
      <c r="H4278" s="17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</row>
    <row r="4279">
      <c r="A4279" s="25" t="s">
        <v>15</v>
      </c>
      <c r="B4279" s="2"/>
      <c r="C4279" s="2"/>
      <c r="D4279" s="2"/>
      <c r="E4279" s="2"/>
      <c r="F4279" s="2"/>
      <c r="G4279" s="3"/>
      <c r="H4279" s="26">
        <f>SUM(G4276:G4278)</f>
        <v>1309500</v>
      </c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</row>
    <row r="4280">
      <c r="A4280" s="25" t="s">
        <v>16</v>
      </c>
      <c r="B4280" s="2"/>
      <c r="C4280" s="2"/>
      <c r="D4280" s="2"/>
      <c r="E4280" s="2"/>
      <c r="F4280" s="2"/>
      <c r="G4280" s="3"/>
      <c r="H4280" s="26">
        <f>MAX(0,H4279-648000)</f>
        <v>661500</v>
      </c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</row>
    <row r="4281">
      <c r="A4281" s="27" t="s">
        <v>17</v>
      </c>
      <c r="B4281" s="2"/>
      <c r="C4281" s="2"/>
      <c r="D4281" s="2"/>
      <c r="E4281" s="2"/>
      <c r="F4281" s="2"/>
      <c r="G4281" s="3"/>
      <c r="H4281" s="28">
        <v>649000.0</v>
      </c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</row>
    <row r="4282">
      <c r="A4282" s="1" t="s">
        <v>18</v>
      </c>
      <c r="B4282" s="2"/>
      <c r="C4282" s="2"/>
      <c r="D4282" s="2"/>
      <c r="E4282" s="2"/>
      <c r="F4282" s="2"/>
      <c r="G4282" s="2"/>
      <c r="H4282" s="3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</row>
    <row r="4288" ht="29.25" customHeight="1">
      <c r="A4288" s="1" t="s">
        <v>0</v>
      </c>
      <c r="B4288" s="2"/>
      <c r="C4288" s="2"/>
      <c r="D4288" s="2"/>
      <c r="E4288" s="2"/>
      <c r="F4288" s="2"/>
      <c r="G4288" s="2"/>
      <c r="H4288" s="3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</row>
    <row r="4289">
      <c r="A4289" s="6" t="s">
        <v>994</v>
      </c>
      <c r="B4289" s="2"/>
      <c r="C4289" s="2"/>
      <c r="D4289" s="2"/>
      <c r="E4289" s="2"/>
      <c r="F4289" s="2"/>
      <c r="G4289" s="2"/>
      <c r="H4289" s="3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</row>
    <row r="4290">
      <c r="A4290" s="7" t="s">
        <v>2</v>
      </c>
      <c r="B4290" s="7" t="s">
        <v>3</v>
      </c>
      <c r="C4290" s="7" t="s">
        <v>4</v>
      </c>
      <c r="D4290" s="7" t="s">
        <v>5</v>
      </c>
      <c r="E4290" s="7" t="s">
        <v>6</v>
      </c>
      <c r="F4290" s="8" t="s">
        <v>7</v>
      </c>
      <c r="G4290" s="7" t="s">
        <v>8</v>
      </c>
      <c r="H4290" s="9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</row>
    <row r="4291">
      <c r="A4291" s="10">
        <v>1.0</v>
      </c>
      <c r="B4291" s="33" t="s">
        <v>391</v>
      </c>
      <c r="C4291" s="34" t="s">
        <v>995</v>
      </c>
      <c r="D4291" s="13" t="s">
        <v>11</v>
      </c>
      <c r="E4291" s="35">
        <v>1.53</v>
      </c>
      <c r="F4291" s="15">
        <v>293000.0</v>
      </c>
      <c r="G4291" s="16">
        <f t="shared" ref="G4291:G4293" si="284">IFERROR(E4291*F4291,0)</f>
        <v>448290</v>
      </c>
      <c r="H4291" s="17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</row>
    <row r="4292">
      <c r="A4292" s="10">
        <v>2.0</v>
      </c>
      <c r="B4292" s="36" t="s">
        <v>263</v>
      </c>
      <c r="C4292" s="37" t="s">
        <v>166</v>
      </c>
      <c r="D4292" s="20" t="s">
        <v>13</v>
      </c>
      <c r="E4292" s="38">
        <v>2.0</v>
      </c>
      <c r="F4292" s="22">
        <v>435000.0</v>
      </c>
      <c r="G4292" s="16">
        <f t="shared" si="284"/>
        <v>870000</v>
      </c>
      <c r="H4292" s="17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</row>
    <row r="4293">
      <c r="A4293" s="10">
        <v>3.0</v>
      </c>
      <c r="B4293" s="23" t="s">
        <v>14</v>
      </c>
      <c r="C4293" s="17"/>
      <c r="D4293" s="17"/>
      <c r="E4293" s="17"/>
      <c r="F4293" s="17"/>
      <c r="G4293" s="24">
        <f t="shared" si="284"/>
        <v>0</v>
      </c>
      <c r="H4293" s="17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</row>
    <row r="4294">
      <c r="A4294" s="25" t="s">
        <v>15</v>
      </c>
      <c r="B4294" s="2"/>
      <c r="C4294" s="2"/>
      <c r="D4294" s="2"/>
      <c r="E4294" s="2"/>
      <c r="F4294" s="2"/>
      <c r="G4294" s="3"/>
      <c r="H4294" s="26">
        <f>SUM(G4291:G4293)</f>
        <v>1318290</v>
      </c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</row>
    <row r="4295">
      <c r="A4295" s="25" t="s">
        <v>16</v>
      </c>
      <c r="B4295" s="2"/>
      <c r="C4295" s="2"/>
      <c r="D4295" s="2"/>
      <c r="E4295" s="2"/>
      <c r="F4295" s="2"/>
      <c r="G4295" s="3"/>
      <c r="H4295" s="26">
        <f>MAX(0,H4294-648000)</f>
        <v>670290</v>
      </c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</row>
    <row r="4296">
      <c r="A4296" s="27" t="s">
        <v>17</v>
      </c>
      <c r="B4296" s="2"/>
      <c r="C4296" s="2"/>
      <c r="D4296" s="2"/>
      <c r="E4296" s="2"/>
      <c r="F4296" s="2"/>
      <c r="G4296" s="3"/>
      <c r="H4296" s="28">
        <v>649000.0</v>
      </c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</row>
    <row r="4297">
      <c r="A4297" s="1" t="s">
        <v>18</v>
      </c>
      <c r="B4297" s="2"/>
      <c r="C4297" s="2"/>
      <c r="D4297" s="2"/>
      <c r="E4297" s="2"/>
      <c r="F4297" s="2"/>
      <c r="G4297" s="2"/>
      <c r="H4297" s="3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</row>
    <row r="4302" ht="29.25" customHeight="1">
      <c r="A4302" s="1" t="s">
        <v>0</v>
      </c>
      <c r="B4302" s="2"/>
      <c r="C4302" s="2"/>
      <c r="D4302" s="2"/>
      <c r="E4302" s="2"/>
      <c r="F4302" s="2"/>
      <c r="G4302" s="2"/>
      <c r="H4302" s="3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</row>
    <row r="4303">
      <c r="A4303" s="6" t="s">
        <v>996</v>
      </c>
      <c r="B4303" s="2"/>
      <c r="C4303" s="2"/>
      <c r="D4303" s="2"/>
      <c r="E4303" s="2"/>
      <c r="F4303" s="2"/>
      <c r="G4303" s="2"/>
      <c r="H4303" s="3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</row>
    <row r="4304">
      <c r="A4304" s="7" t="s">
        <v>2</v>
      </c>
      <c r="B4304" s="7" t="s">
        <v>3</v>
      </c>
      <c r="C4304" s="7" t="s">
        <v>4</v>
      </c>
      <c r="D4304" s="7" t="s">
        <v>5</v>
      </c>
      <c r="E4304" s="7" t="s">
        <v>6</v>
      </c>
      <c r="F4304" s="8" t="s">
        <v>7</v>
      </c>
      <c r="G4304" s="7" t="s">
        <v>8</v>
      </c>
      <c r="H4304" s="9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</row>
    <row r="4305">
      <c r="A4305" s="10">
        <v>1.0</v>
      </c>
      <c r="B4305" s="33" t="s">
        <v>391</v>
      </c>
      <c r="C4305" s="34" t="s">
        <v>997</v>
      </c>
      <c r="D4305" s="13" t="s">
        <v>11</v>
      </c>
      <c r="E4305" s="35">
        <v>1.0</v>
      </c>
      <c r="F4305" s="15">
        <v>293000.0</v>
      </c>
      <c r="G4305" s="16">
        <f t="shared" ref="G4305:G4307" si="285">IFERROR(E4305*F4305,0)</f>
        <v>293000</v>
      </c>
      <c r="H4305" s="17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</row>
    <row r="4306">
      <c r="A4306" s="10">
        <v>2.0</v>
      </c>
      <c r="B4306" s="36" t="s">
        <v>98</v>
      </c>
      <c r="C4306" s="37" t="s">
        <v>998</v>
      </c>
      <c r="D4306" s="20" t="s">
        <v>13</v>
      </c>
      <c r="E4306" s="38">
        <v>2.4</v>
      </c>
      <c r="F4306" s="22">
        <v>435000.0</v>
      </c>
      <c r="G4306" s="16">
        <f t="shared" si="285"/>
        <v>1044000</v>
      </c>
      <c r="H4306" s="17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</row>
    <row r="4307">
      <c r="A4307" s="10">
        <v>3.0</v>
      </c>
      <c r="B4307" s="23" t="s">
        <v>14</v>
      </c>
      <c r="C4307" s="17"/>
      <c r="D4307" s="17"/>
      <c r="E4307" s="17"/>
      <c r="F4307" s="17"/>
      <c r="G4307" s="24">
        <f t="shared" si="285"/>
        <v>0</v>
      </c>
      <c r="H4307" s="17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</row>
    <row r="4308">
      <c r="A4308" s="25" t="s">
        <v>15</v>
      </c>
      <c r="B4308" s="2"/>
      <c r="C4308" s="2"/>
      <c r="D4308" s="2"/>
      <c r="E4308" s="2"/>
      <c r="F4308" s="2"/>
      <c r="G4308" s="3"/>
      <c r="H4308" s="26">
        <f>SUM(G4305:G4307)</f>
        <v>1337000</v>
      </c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</row>
    <row r="4309">
      <c r="A4309" s="25" t="s">
        <v>16</v>
      </c>
      <c r="B4309" s="2"/>
      <c r="C4309" s="2"/>
      <c r="D4309" s="2"/>
      <c r="E4309" s="2"/>
      <c r="F4309" s="2"/>
      <c r="G4309" s="3"/>
      <c r="H4309" s="26">
        <f>MAX(0,H4308-648000)</f>
        <v>689000</v>
      </c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</row>
    <row r="4310">
      <c r="A4310" s="27" t="s">
        <v>17</v>
      </c>
      <c r="B4310" s="2"/>
      <c r="C4310" s="2"/>
      <c r="D4310" s="2"/>
      <c r="E4310" s="2"/>
      <c r="F4310" s="2"/>
      <c r="G4310" s="3"/>
      <c r="H4310" s="28">
        <v>649000.0</v>
      </c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</row>
    <row r="4311">
      <c r="A4311" s="1" t="s">
        <v>18</v>
      </c>
      <c r="B4311" s="2"/>
      <c r="C4311" s="2"/>
      <c r="D4311" s="2"/>
      <c r="E4311" s="2"/>
      <c r="F4311" s="2"/>
      <c r="G4311" s="2"/>
      <c r="H4311" s="3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</row>
    <row r="4316" ht="29.25" customHeight="1">
      <c r="A4316" s="1" t="s">
        <v>0</v>
      </c>
      <c r="B4316" s="2"/>
      <c r="C4316" s="2"/>
      <c r="D4316" s="2"/>
      <c r="E4316" s="2"/>
      <c r="F4316" s="2"/>
      <c r="G4316" s="2"/>
      <c r="H4316" s="3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</row>
    <row r="4317">
      <c r="A4317" s="6" t="s">
        <v>999</v>
      </c>
      <c r="B4317" s="2"/>
      <c r="C4317" s="2"/>
      <c r="D4317" s="2"/>
      <c r="E4317" s="2"/>
      <c r="F4317" s="2"/>
      <c r="G4317" s="2"/>
      <c r="H4317" s="3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</row>
    <row r="4318">
      <c r="A4318" s="7" t="s">
        <v>2</v>
      </c>
      <c r="B4318" s="7" t="s">
        <v>3</v>
      </c>
      <c r="C4318" s="7" t="s">
        <v>4</v>
      </c>
      <c r="D4318" s="7" t="s">
        <v>5</v>
      </c>
      <c r="E4318" s="7" t="s">
        <v>6</v>
      </c>
      <c r="F4318" s="8" t="s">
        <v>7</v>
      </c>
      <c r="G4318" s="7" t="s">
        <v>8</v>
      </c>
      <c r="H4318" s="9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</row>
    <row r="4319">
      <c r="A4319" s="10">
        <v>1.0</v>
      </c>
      <c r="B4319" s="33" t="s">
        <v>1000</v>
      </c>
      <c r="C4319" s="34" t="s">
        <v>1001</v>
      </c>
      <c r="D4319" s="13" t="s">
        <v>11</v>
      </c>
      <c r="E4319" s="35">
        <v>2.0</v>
      </c>
      <c r="F4319" s="15">
        <v>293000.0</v>
      </c>
      <c r="G4319" s="16">
        <f t="shared" ref="G4319:G4321" si="286">IFERROR(E4319*F4319,0)</f>
        <v>586000</v>
      </c>
      <c r="H4319" s="17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</row>
    <row r="4320">
      <c r="A4320" s="10">
        <v>2.0</v>
      </c>
      <c r="B4320" s="36" t="s">
        <v>65</v>
      </c>
      <c r="C4320" s="37" t="s">
        <v>1002</v>
      </c>
      <c r="D4320" s="20" t="s">
        <v>13</v>
      </c>
      <c r="E4320" s="38">
        <v>1.4</v>
      </c>
      <c r="F4320" s="22">
        <v>435000.0</v>
      </c>
      <c r="G4320" s="16">
        <f t="shared" si="286"/>
        <v>609000</v>
      </c>
      <c r="H4320" s="17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</row>
    <row r="4321">
      <c r="A4321" s="10">
        <v>3.0</v>
      </c>
      <c r="B4321" s="23" t="s">
        <v>14</v>
      </c>
      <c r="C4321" s="17"/>
      <c r="D4321" s="17"/>
      <c r="E4321" s="17"/>
      <c r="F4321" s="17"/>
      <c r="G4321" s="24">
        <f t="shared" si="286"/>
        <v>0</v>
      </c>
      <c r="H4321" s="17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</row>
    <row r="4322">
      <c r="A4322" s="25" t="s">
        <v>15</v>
      </c>
      <c r="B4322" s="2"/>
      <c r="C4322" s="2"/>
      <c r="D4322" s="2"/>
      <c r="E4322" s="2"/>
      <c r="F4322" s="2"/>
      <c r="G4322" s="3"/>
      <c r="H4322" s="26">
        <f>SUM(G4319:G4321)</f>
        <v>1195000</v>
      </c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</row>
    <row r="4323">
      <c r="A4323" s="25" t="s">
        <v>16</v>
      </c>
      <c r="B4323" s="2"/>
      <c r="C4323" s="2"/>
      <c r="D4323" s="2"/>
      <c r="E4323" s="2"/>
      <c r="F4323" s="2"/>
      <c r="G4323" s="3"/>
      <c r="H4323" s="26">
        <f>MAX(0,H4322-648000)</f>
        <v>547000</v>
      </c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</row>
    <row r="4324">
      <c r="A4324" s="27" t="s">
        <v>17</v>
      </c>
      <c r="B4324" s="2"/>
      <c r="C4324" s="2"/>
      <c r="D4324" s="2"/>
      <c r="E4324" s="2"/>
      <c r="F4324" s="2"/>
      <c r="G4324" s="3"/>
      <c r="H4324" s="28">
        <v>649000.0</v>
      </c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</row>
    <row r="4325">
      <c r="A4325" s="1" t="s">
        <v>18</v>
      </c>
      <c r="B4325" s="2"/>
      <c r="C4325" s="2"/>
      <c r="D4325" s="2"/>
      <c r="E4325" s="2"/>
      <c r="F4325" s="2"/>
      <c r="G4325" s="2"/>
      <c r="H4325" s="3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</row>
    <row r="4330" ht="29.25" customHeight="1">
      <c r="A4330" s="1" t="s">
        <v>0</v>
      </c>
      <c r="B4330" s="2"/>
      <c r="C4330" s="2"/>
      <c r="D4330" s="2"/>
      <c r="E4330" s="2"/>
      <c r="F4330" s="2"/>
      <c r="G4330" s="2"/>
      <c r="H4330" s="3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</row>
    <row r="4331">
      <c r="A4331" s="6" t="s">
        <v>1003</v>
      </c>
      <c r="B4331" s="2"/>
      <c r="C4331" s="2"/>
      <c r="D4331" s="2"/>
      <c r="E4331" s="2"/>
      <c r="F4331" s="2"/>
      <c r="G4331" s="2"/>
      <c r="H4331" s="3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</row>
    <row r="4332">
      <c r="A4332" s="7" t="s">
        <v>2</v>
      </c>
      <c r="B4332" s="7" t="s">
        <v>3</v>
      </c>
      <c r="C4332" s="7" t="s">
        <v>4</v>
      </c>
      <c r="D4332" s="7" t="s">
        <v>5</v>
      </c>
      <c r="E4332" s="7" t="s">
        <v>6</v>
      </c>
      <c r="F4332" s="8" t="s">
        <v>7</v>
      </c>
      <c r="G4332" s="7" t="s">
        <v>8</v>
      </c>
      <c r="H4332" s="9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</row>
    <row r="4333">
      <c r="A4333" s="10">
        <v>1.0</v>
      </c>
      <c r="B4333" s="33" t="s">
        <v>1004</v>
      </c>
      <c r="C4333" s="34" t="s">
        <v>1005</v>
      </c>
      <c r="D4333" s="13" t="s">
        <v>11</v>
      </c>
      <c r="E4333" s="35">
        <v>1.45</v>
      </c>
      <c r="F4333" s="15">
        <v>293000.0</v>
      </c>
      <c r="G4333" s="16">
        <f t="shared" ref="G4333:G4335" si="287">IFERROR(E4333*F4333,0)</f>
        <v>424850</v>
      </c>
      <c r="H4333" s="17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</row>
    <row r="4334">
      <c r="A4334" s="10">
        <v>2.0</v>
      </c>
      <c r="B4334" s="33" t="s">
        <v>1006</v>
      </c>
      <c r="C4334" s="37" t="s">
        <v>166</v>
      </c>
      <c r="D4334" s="20" t="s">
        <v>13</v>
      </c>
      <c r="E4334" s="38">
        <v>2.0</v>
      </c>
      <c r="F4334" s="22">
        <v>435000.0</v>
      </c>
      <c r="G4334" s="16">
        <f t="shared" si="287"/>
        <v>870000</v>
      </c>
      <c r="H4334" s="17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</row>
    <row r="4335">
      <c r="A4335" s="10">
        <v>3.0</v>
      </c>
      <c r="B4335" s="23" t="s">
        <v>14</v>
      </c>
      <c r="C4335" s="17"/>
      <c r="D4335" s="17"/>
      <c r="E4335" s="17"/>
      <c r="F4335" s="17"/>
      <c r="G4335" s="24">
        <f t="shared" si="287"/>
        <v>0</v>
      </c>
      <c r="H4335" s="17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</row>
    <row r="4336">
      <c r="A4336" s="25" t="s">
        <v>15</v>
      </c>
      <c r="B4336" s="2"/>
      <c r="C4336" s="2"/>
      <c r="D4336" s="2"/>
      <c r="E4336" s="2"/>
      <c r="F4336" s="2"/>
      <c r="G4336" s="3"/>
      <c r="H4336" s="26">
        <f>SUM(G4333:G4335)</f>
        <v>1294850</v>
      </c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</row>
    <row r="4337">
      <c r="A4337" s="25" t="s">
        <v>16</v>
      </c>
      <c r="B4337" s="2"/>
      <c r="C4337" s="2"/>
      <c r="D4337" s="2"/>
      <c r="E4337" s="2"/>
      <c r="F4337" s="2"/>
      <c r="G4337" s="3"/>
      <c r="H4337" s="26">
        <f>MAX(0,H4336-648000)</f>
        <v>646850</v>
      </c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</row>
    <row r="4338">
      <c r="A4338" s="27" t="s">
        <v>17</v>
      </c>
      <c r="B4338" s="2"/>
      <c r="C4338" s="2"/>
      <c r="D4338" s="2"/>
      <c r="E4338" s="2"/>
      <c r="F4338" s="2"/>
      <c r="G4338" s="3"/>
      <c r="H4338" s="28">
        <v>649000.0</v>
      </c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</row>
    <row r="4339">
      <c r="A4339" s="1" t="s">
        <v>18</v>
      </c>
      <c r="B4339" s="2"/>
      <c r="C4339" s="2"/>
      <c r="D4339" s="2"/>
      <c r="E4339" s="2"/>
      <c r="F4339" s="2"/>
      <c r="G4339" s="2"/>
      <c r="H4339" s="3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</row>
    <row r="4345" ht="29.25" customHeight="1">
      <c r="A4345" s="1" t="s">
        <v>0</v>
      </c>
      <c r="B4345" s="2"/>
      <c r="C4345" s="2"/>
      <c r="D4345" s="2"/>
      <c r="E4345" s="2"/>
      <c r="F4345" s="2"/>
      <c r="G4345" s="2"/>
      <c r="H4345" s="3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</row>
    <row r="4346">
      <c r="A4346" s="6" t="s">
        <v>1007</v>
      </c>
      <c r="B4346" s="2"/>
      <c r="C4346" s="2"/>
      <c r="D4346" s="2"/>
      <c r="E4346" s="2"/>
      <c r="F4346" s="2"/>
      <c r="G4346" s="2"/>
      <c r="H4346" s="3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</row>
    <row r="4347">
      <c r="A4347" s="7" t="s">
        <v>2</v>
      </c>
      <c r="B4347" s="7" t="s">
        <v>3</v>
      </c>
      <c r="C4347" s="7" t="s">
        <v>4</v>
      </c>
      <c r="D4347" s="7" t="s">
        <v>5</v>
      </c>
      <c r="E4347" s="7" t="s">
        <v>6</v>
      </c>
      <c r="F4347" s="8" t="s">
        <v>7</v>
      </c>
      <c r="G4347" s="7" t="s">
        <v>8</v>
      </c>
      <c r="H4347" s="9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</row>
    <row r="4348">
      <c r="A4348" s="10">
        <v>1.0</v>
      </c>
      <c r="B4348" s="33" t="s">
        <v>1008</v>
      </c>
      <c r="C4348" s="34" t="s">
        <v>1009</v>
      </c>
      <c r="D4348" s="13" t="s">
        <v>11</v>
      </c>
      <c r="E4348" s="35">
        <v>1.5</v>
      </c>
      <c r="F4348" s="15">
        <v>293000.0</v>
      </c>
      <c r="G4348" s="16">
        <f t="shared" ref="G4348:G4350" si="288">IFERROR(E4348*F4348,0)</f>
        <v>439500</v>
      </c>
      <c r="H4348" s="17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</row>
    <row r="4349">
      <c r="A4349" s="10">
        <v>2.0</v>
      </c>
      <c r="B4349" s="33" t="s">
        <v>1006</v>
      </c>
      <c r="C4349" s="37" t="s">
        <v>166</v>
      </c>
      <c r="D4349" s="20" t="s">
        <v>13</v>
      </c>
      <c r="E4349" s="38">
        <v>2.0</v>
      </c>
      <c r="F4349" s="22">
        <v>435000.0</v>
      </c>
      <c r="G4349" s="16">
        <f t="shared" si="288"/>
        <v>870000</v>
      </c>
      <c r="H4349" s="17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</row>
    <row r="4350">
      <c r="A4350" s="10">
        <v>3.0</v>
      </c>
      <c r="B4350" s="23" t="s">
        <v>14</v>
      </c>
      <c r="C4350" s="17"/>
      <c r="D4350" s="17"/>
      <c r="E4350" s="17"/>
      <c r="F4350" s="17"/>
      <c r="G4350" s="24">
        <f t="shared" si="288"/>
        <v>0</v>
      </c>
      <c r="H4350" s="17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</row>
    <row r="4351">
      <c r="A4351" s="25" t="s">
        <v>15</v>
      </c>
      <c r="B4351" s="2"/>
      <c r="C4351" s="2"/>
      <c r="D4351" s="2"/>
      <c r="E4351" s="2"/>
      <c r="F4351" s="2"/>
      <c r="G4351" s="3"/>
      <c r="H4351" s="26">
        <f>SUM(G4348:G4350)</f>
        <v>1309500</v>
      </c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</row>
    <row r="4352">
      <c r="A4352" s="25" t="s">
        <v>16</v>
      </c>
      <c r="B4352" s="2"/>
      <c r="C4352" s="2"/>
      <c r="D4352" s="2"/>
      <c r="E4352" s="2"/>
      <c r="F4352" s="2"/>
      <c r="G4352" s="3"/>
      <c r="H4352" s="26">
        <f>MAX(0,H4351-648000)</f>
        <v>661500</v>
      </c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</row>
    <row r="4353">
      <c r="A4353" s="27" t="s">
        <v>17</v>
      </c>
      <c r="B4353" s="2"/>
      <c r="C4353" s="2"/>
      <c r="D4353" s="2"/>
      <c r="E4353" s="2"/>
      <c r="F4353" s="2"/>
      <c r="G4353" s="3"/>
      <c r="H4353" s="28">
        <v>649000.0</v>
      </c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</row>
    <row r="4354">
      <c r="A4354" s="1" t="s">
        <v>18</v>
      </c>
      <c r="B4354" s="2"/>
      <c r="C4354" s="2"/>
      <c r="D4354" s="2"/>
      <c r="E4354" s="2"/>
      <c r="F4354" s="2"/>
      <c r="G4354" s="2"/>
      <c r="H4354" s="3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</row>
    <row r="4358" ht="29.25" customHeight="1">
      <c r="A4358" s="1" t="s">
        <v>0</v>
      </c>
      <c r="B4358" s="2"/>
      <c r="C4358" s="2"/>
      <c r="D4358" s="2"/>
      <c r="E4358" s="2"/>
      <c r="F4358" s="2"/>
      <c r="G4358" s="2"/>
      <c r="H4358" s="3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</row>
    <row r="4359">
      <c r="A4359" s="6" t="s">
        <v>1010</v>
      </c>
      <c r="B4359" s="2"/>
      <c r="C4359" s="2"/>
      <c r="D4359" s="2"/>
      <c r="E4359" s="2"/>
      <c r="F4359" s="2"/>
      <c r="G4359" s="2"/>
      <c r="H4359" s="3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</row>
    <row r="4360">
      <c r="A4360" s="7" t="s">
        <v>2</v>
      </c>
      <c r="B4360" s="7" t="s">
        <v>3</v>
      </c>
      <c r="C4360" s="7" t="s">
        <v>4</v>
      </c>
      <c r="D4360" s="7" t="s">
        <v>5</v>
      </c>
      <c r="E4360" s="7" t="s">
        <v>6</v>
      </c>
      <c r="F4360" s="8" t="s">
        <v>7</v>
      </c>
      <c r="G4360" s="7" t="s">
        <v>8</v>
      </c>
      <c r="H4360" s="9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</row>
    <row r="4361">
      <c r="A4361" s="10">
        <v>1.0</v>
      </c>
      <c r="B4361" s="33" t="s">
        <v>178</v>
      </c>
      <c r="C4361" s="34" t="s">
        <v>104</v>
      </c>
      <c r="D4361" s="13" t="s">
        <v>11</v>
      </c>
      <c r="E4361" s="35">
        <v>2.0</v>
      </c>
      <c r="F4361" s="15">
        <v>293000.0</v>
      </c>
      <c r="G4361" s="16">
        <f t="shared" ref="G4361:G4363" si="289">IFERROR(E4361*F4361,0)</f>
        <v>586000</v>
      </c>
      <c r="H4361" s="17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</row>
    <row r="4362">
      <c r="A4362" s="10">
        <v>2.0</v>
      </c>
      <c r="B4362" s="33" t="s">
        <v>431</v>
      </c>
      <c r="C4362" s="37" t="s">
        <v>1011</v>
      </c>
      <c r="D4362" s="20" t="s">
        <v>13</v>
      </c>
      <c r="E4362" s="38">
        <v>1.5</v>
      </c>
      <c r="F4362" s="22">
        <v>435000.0</v>
      </c>
      <c r="G4362" s="16">
        <f t="shared" si="289"/>
        <v>652500</v>
      </c>
      <c r="H4362" s="17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</row>
    <row r="4363">
      <c r="A4363" s="10">
        <v>3.0</v>
      </c>
      <c r="B4363" s="23" t="s">
        <v>14</v>
      </c>
      <c r="C4363" s="17"/>
      <c r="D4363" s="17"/>
      <c r="E4363" s="17"/>
      <c r="F4363" s="17"/>
      <c r="G4363" s="24">
        <f t="shared" si="289"/>
        <v>0</v>
      </c>
      <c r="H4363" s="17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</row>
    <row r="4364">
      <c r="A4364" s="25" t="s">
        <v>15</v>
      </c>
      <c r="B4364" s="2"/>
      <c r="C4364" s="2"/>
      <c r="D4364" s="2"/>
      <c r="E4364" s="2"/>
      <c r="F4364" s="2"/>
      <c r="G4364" s="3"/>
      <c r="H4364" s="26">
        <f>SUM(G4361:G4363)</f>
        <v>1238500</v>
      </c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</row>
    <row r="4365">
      <c r="A4365" s="25" t="s">
        <v>16</v>
      </c>
      <c r="B4365" s="2"/>
      <c r="C4365" s="2"/>
      <c r="D4365" s="2"/>
      <c r="E4365" s="2"/>
      <c r="F4365" s="2"/>
      <c r="G4365" s="3"/>
      <c r="H4365" s="26">
        <f>MAX(0,H4364-648000)</f>
        <v>590500</v>
      </c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</row>
    <row r="4366">
      <c r="A4366" s="27" t="s">
        <v>17</v>
      </c>
      <c r="B4366" s="2"/>
      <c r="C4366" s="2"/>
      <c r="D4366" s="2"/>
      <c r="E4366" s="2"/>
      <c r="F4366" s="2"/>
      <c r="G4366" s="3"/>
      <c r="H4366" s="28">
        <v>649000.0</v>
      </c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</row>
    <row r="4367">
      <c r="A4367" s="1" t="s">
        <v>18</v>
      </c>
      <c r="B4367" s="2"/>
      <c r="C4367" s="2"/>
      <c r="D4367" s="2"/>
      <c r="E4367" s="2"/>
      <c r="F4367" s="2"/>
      <c r="G4367" s="2"/>
      <c r="H4367" s="3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</row>
    <row r="4372" ht="29.25" customHeight="1">
      <c r="A4372" s="1" t="s">
        <v>0</v>
      </c>
      <c r="B4372" s="2"/>
      <c r="C4372" s="2"/>
      <c r="D4372" s="2"/>
      <c r="E4372" s="2"/>
      <c r="F4372" s="2"/>
      <c r="G4372" s="2"/>
      <c r="H4372" s="3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</row>
    <row r="4373">
      <c r="A4373" s="6" t="s">
        <v>1012</v>
      </c>
      <c r="B4373" s="2"/>
      <c r="C4373" s="2"/>
      <c r="D4373" s="2"/>
      <c r="E4373" s="2"/>
      <c r="F4373" s="2"/>
      <c r="G4373" s="2"/>
      <c r="H4373" s="3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</row>
    <row r="4374">
      <c r="A4374" s="7" t="s">
        <v>2</v>
      </c>
      <c r="B4374" s="7" t="s">
        <v>3</v>
      </c>
      <c r="C4374" s="7" t="s">
        <v>4</v>
      </c>
      <c r="D4374" s="7" t="s">
        <v>5</v>
      </c>
      <c r="E4374" s="7" t="s">
        <v>6</v>
      </c>
      <c r="F4374" s="8" t="s">
        <v>7</v>
      </c>
      <c r="G4374" s="7" t="s">
        <v>8</v>
      </c>
      <c r="H4374" s="9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</row>
    <row r="4375">
      <c r="A4375" s="10">
        <v>1.0</v>
      </c>
      <c r="B4375" s="33" t="s">
        <v>79</v>
      </c>
      <c r="C4375" s="34" t="s">
        <v>1013</v>
      </c>
      <c r="D4375" s="13" t="s">
        <v>11</v>
      </c>
      <c r="E4375" s="35">
        <v>2.0</v>
      </c>
      <c r="F4375" s="15">
        <v>293000.0</v>
      </c>
      <c r="G4375" s="16">
        <f t="shared" ref="G4375:G4377" si="290">IFERROR(E4375*F4375,0)</f>
        <v>586000</v>
      </c>
      <c r="H4375" s="17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</row>
    <row r="4376">
      <c r="A4376" s="10">
        <v>2.0</v>
      </c>
      <c r="B4376" s="36" t="s">
        <v>1014</v>
      </c>
      <c r="C4376" s="37" t="s">
        <v>1015</v>
      </c>
      <c r="D4376" s="20" t="s">
        <v>13</v>
      </c>
      <c r="E4376" s="38">
        <v>1.57</v>
      </c>
      <c r="F4376" s="22">
        <v>435000.0</v>
      </c>
      <c r="G4376" s="16">
        <f t="shared" si="290"/>
        <v>682950</v>
      </c>
      <c r="H4376" s="17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</row>
    <row r="4377">
      <c r="A4377" s="10">
        <v>3.0</v>
      </c>
      <c r="B4377" s="23" t="s">
        <v>14</v>
      </c>
      <c r="C4377" s="17"/>
      <c r="D4377" s="17"/>
      <c r="E4377" s="17"/>
      <c r="F4377" s="17"/>
      <c r="G4377" s="24">
        <f t="shared" si="290"/>
        <v>0</v>
      </c>
      <c r="H4377" s="17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</row>
    <row r="4378">
      <c r="A4378" s="25" t="s">
        <v>15</v>
      </c>
      <c r="B4378" s="2"/>
      <c r="C4378" s="2"/>
      <c r="D4378" s="2"/>
      <c r="E4378" s="2"/>
      <c r="F4378" s="2"/>
      <c r="G4378" s="3"/>
      <c r="H4378" s="26">
        <f>SUM(G4375:G4377)</f>
        <v>1268950</v>
      </c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</row>
    <row r="4379">
      <c r="A4379" s="25" t="s">
        <v>16</v>
      </c>
      <c r="B4379" s="2"/>
      <c r="C4379" s="2"/>
      <c r="D4379" s="2"/>
      <c r="E4379" s="2"/>
      <c r="F4379" s="2"/>
      <c r="G4379" s="3"/>
      <c r="H4379" s="26">
        <f>MAX(0,H4378-648000)</f>
        <v>620950</v>
      </c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</row>
    <row r="4380">
      <c r="A4380" s="27" t="s">
        <v>17</v>
      </c>
      <c r="B4380" s="2"/>
      <c r="C4380" s="2"/>
      <c r="D4380" s="2"/>
      <c r="E4380" s="2"/>
      <c r="F4380" s="2"/>
      <c r="G4380" s="3"/>
      <c r="H4380" s="28">
        <v>649000.0</v>
      </c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</row>
    <row r="4381">
      <c r="A4381" s="1" t="s">
        <v>18</v>
      </c>
      <c r="B4381" s="2"/>
      <c r="C4381" s="2"/>
      <c r="D4381" s="2"/>
      <c r="E4381" s="2"/>
      <c r="F4381" s="2"/>
      <c r="G4381" s="2"/>
      <c r="H4381" s="3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</row>
    <row r="4386" ht="29.25" customHeight="1">
      <c r="A4386" s="1" t="s">
        <v>0</v>
      </c>
      <c r="B4386" s="2"/>
      <c r="C4386" s="2"/>
      <c r="D4386" s="2"/>
      <c r="E4386" s="2"/>
      <c r="F4386" s="2"/>
      <c r="G4386" s="2"/>
      <c r="H4386" s="3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</row>
    <row r="4387">
      <c r="A4387" s="6" t="s">
        <v>1016</v>
      </c>
      <c r="B4387" s="2"/>
      <c r="C4387" s="2"/>
      <c r="D4387" s="2"/>
      <c r="E4387" s="2"/>
      <c r="F4387" s="2"/>
      <c r="G4387" s="2"/>
      <c r="H4387" s="3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</row>
    <row r="4388">
      <c r="A4388" s="7" t="s">
        <v>2</v>
      </c>
      <c r="B4388" s="7" t="s">
        <v>3</v>
      </c>
      <c r="C4388" s="7" t="s">
        <v>4</v>
      </c>
      <c r="D4388" s="7" t="s">
        <v>5</v>
      </c>
      <c r="E4388" s="7" t="s">
        <v>6</v>
      </c>
      <c r="F4388" s="8" t="s">
        <v>7</v>
      </c>
      <c r="G4388" s="7" t="s">
        <v>8</v>
      </c>
      <c r="H4388" s="9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</row>
    <row r="4389">
      <c r="A4389" s="10">
        <v>1.0</v>
      </c>
      <c r="B4389" s="33" t="s">
        <v>950</v>
      </c>
      <c r="C4389" s="34" t="s">
        <v>959</v>
      </c>
      <c r="D4389" s="13" t="s">
        <v>11</v>
      </c>
      <c r="E4389" s="35">
        <v>2.0</v>
      </c>
      <c r="F4389" s="15">
        <v>293000.0</v>
      </c>
      <c r="G4389" s="16">
        <f t="shared" ref="G4389:G4391" si="291">IFERROR(E4389*F4389,0)</f>
        <v>586000</v>
      </c>
      <c r="H4389" s="17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</row>
    <row r="4390">
      <c r="A4390" s="10">
        <v>2.0</v>
      </c>
      <c r="B4390" s="33" t="s">
        <v>1006</v>
      </c>
      <c r="C4390" s="37" t="s">
        <v>166</v>
      </c>
      <c r="D4390" s="20" t="s">
        <v>13</v>
      </c>
      <c r="E4390" s="38">
        <v>2.0</v>
      </c>
      <c r="F4390" s="22">
        <v>435000.0</v>
      </c>
      <c r="G4390" s="16">
        <f t="shared" si="291"/>
        <v>870000</v>
      </c>
      <c r="H4390" s="17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</row>
    <row r="4391">
      <c r="A4391" s="10">
        <v>3.0</v>
      </c>
      <c r="B4391" s="23" t="s">
        <v>14</v>
      </c>
      <c r="C4391" s="17"/>
      <c r="D4391" s="17"/>
      <c r="E4391" s="17"/>
      <c r="F4391" s="17"/>
      <c r="G4391" s="24">
        <f t="shared" si="291"/>
        <v>0</v>
      </c>
      <c r="H4391" s="17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</row>
    <row r="4392">
      <c r="A4392" s="25" t="s">
        <v>15</v>
      </c>
      <c r="B4392" s="2"/>
      <c r="C4392" s="2"/>
      <c r="D4392" s="2"/>
      <c r="E4392" s="2"/>
      <c r="F4392" s="2"/>
      <c r="G4392" s="3"/>
      <c r="H4392" s="26">
        <f>SUM(G4389:G4391)</f>
        <v>1456000</v>
      </c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</row>
    <row r="4393">
      <c r="A4393" s="25" t="s">
        <v>16</v>
      </c>
      <c r="B4393" s="2"/>
      <c r="C4393" s="2"/>
      <c r="D4393" s="2"/>
      <c r="E4393" s="2"/>
      <c r="F4393" s="2"/>
      <c r="G4393" s="3"/>
      <c r="H4393" s="26">
        <f>MAX(0,H4392-648000)</f>
        <v>808000</v>
      </c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</row>
    <row r="4394">
      <c r="A4394" s="27" t="s">
        <v>17</v>
      </c>
      <c r="B4394" s="2"/>
      <c r="C4394" s="2"/>
      <c r="D4394" s="2"/>
      <c r="E4394" s="2"/>
      <c r="F4394" s="2"/>
      <c r="G4394" s="3"/>
      <c r="H4394" s="28">
        <v>649000.0</v>
      </c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</row>
    <row r="4395">
      <c r="A4395" s="1" t="s">
        <v>18</v>
      </c>
      <c r="B4395" s="2"/>
      <c r="C4395" s="2"/>
      <c r="D4395" s="2"/>
      <c r="E4395" s="2"/>
      <c r="F4395" s="2"/>
      <c r="G4395" s="2"/>
      <c r="H4395" s="3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</row>
    <row r="4401" ht="29.25" customHeight="1">
      <c r="A4401" s="1" t="s">
        <v>0</v>
      </c>
      <c r="B4401" s="2"/>
      <c r="C4401" s="2"/>
      <c r="D4401" s="2"/>
      <c r="E4401" s="2"/>
      <c r="F4401" s="2"/>
      <c r="G4401" s="2"/>
      <c r="H4401" s="3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</row>
    <row r="4402">
      <c r="A4402" s="6" t="s">
        <v>1017</v>
      </c>
      <c r="B4402" s="2"/>
      <c r="C4402" s="2"/>
      <c r="D4402" s="2"/>
      <c r="E4402" s="2"/>
      <c r="F4402" s="2"/>
      <c r="G4402" s="2"/>
      <c r="H4402" s="3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</row>
    <row r="4403">
      <c r="A4403" s="7" t="s">
        <v>2</v>
      </c>
      <c r="B4403" s="7" t="s">
        <v>3</v>
      </c>
      <c r="C4403" s="7" t="s">
        <v>4</v>
      </c>
      <c r="D4403" s="7" t="s">
        <v>5</v>
      </c>
      <c r="E4403" s="7" t="s">
        <v>6</v>
      </c>
      <c r="F4403" s="8" t="s">
        <v>7</v>
      </c>
      <c r="G4403" s="7" t="s">
        <v>8</v>
      </c>
      <c r="H4403" s="9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</row>
    <row r="4404">
      <c r="A4404" s="10">
        <v>1.0</v>
      </c>
      <c r="B4404" s="33" t="s">
        <v>44</v>
      </c>
      <c r="C4404" s="34" t="s">
        <v>900</v>
      </c>
      <c r="D4404" s="13" t="s">
        <v>11</v>
      </c>
      <c r="E4404" s="35">
        <v>1.5</v>
      </c>
      <c r="F4404" s="15">
        <v>293000.0</v>
      </c>
      <c r="G4404" s="16">
        <f t="shared" ref="G4404:G4406" si="292">IFERROR(E4404*F4404,0)</f>
        <v>439500</v>
      </c>
      <c r="H4404" s="17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</row>
    <row r="4405">
      <c r="A4405" s="10">
        <v>2.0</v>
      </c>
      <c r="B4405" s="33" t="s">
        <v>1006</v>
      </c>
      <c r="C4405" s="37" t="s">
        <v>166</v>
      </c>
      <c r="D4405" s="20" t="s">
        <v>13</v>
      </c>
      <c r="E4405" s="38">
        <v>2.0</v>
      </c>
      <c r="F4405" s="22">
        <v>435000.0</v>
      </c>
      <c r="G4405" s="16">
        <f t="shared" si="292"/>
        <v>870000</v>
      </c>
      <c r="H4405" s="17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</row>
    <row r="4406">
      <c r="A4406" s="10">
        <v>3.0</v>
      </c>
      <c r="B4406" s="23" t="s">
        <v>14</v>
      </c>
      <c r="C4406" s="17"/>
      <c r="D4406" s="17"/>
      <c r="E4406" s="17"/>
      <c r="F4406" s="17"/>
      <c r="G4406" s="24">
        <f t="shared" si="292"/>
        <v>0</v>
      </c>
      <c r="H4406" s="17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</row>
    <row r="4407">
      <c r="A4407" s="25" t="s">
        <v>15</v>
      </c>
      <c r="B4407" s="2"/>
      <c r="C4407" s="2"/>
      <c r="D4407" s="2"/>
      <c r="E4407" s="2"/>
      <c r="F4407" s="2"/>
      <c r="G4407" s="3"/>
      <c r="H4407" s="26">
        <f>SUM(G4404:G4406)</f>
        <v>1309500</v>
      </c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</row>
    <row r="4408">
      <c r="A4408" s="25" t="s">
        <v>16</v>
      </c>
      <c r="B4408" s="2"/>
      <c r="C4408" s="2"/>
      <c r="D4408" s="2"/>
      <c r="E4408" s="2"/>
      <c r="F4408" s="2"/>
      <c r="G4408" s="3"/>
      <c r="H4408" s="26">
        <f>MAX(0,H4407-648000)</f>
        <v>661500</v>
      </c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</row>
    <row r="4409">
      <c r="A4409" s="27" t="s">
        <v>17</v>
      </c>
      <c r="B4409" s="2"/>
      <c r="C4409" s="2"/>
      <c r="D4409" s="2"/>
      <c r="E4409" s="2"/>
      <c r="F4409" s="2"/>
      <c r="G4409" s="3"/>
      <c r="H4409" s="28">
        <v>649000.0</v>
      </c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</row>
    <row r="4410">
      <c r="A4410" s="1" t="s">
        <v>18</v>
      </c>
      <c r="B4410" s="2"/>
      <c r="C4410" s="2"/>
      <c r="D4410" s="2"/>
      <c r="E4410" s="2"/>
      <c r="F4410" s="2"/>
      <c r="G4410" s="2"/>
      <c r="H4410" s="3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</row>
    <row r="4416" ht="29.25" customHeight="1">
      <c r="A4416" s="1" t="s">
        <v>0</v>
      </c>
      <c r="B4416" s="2"/>
      <c r="C4416" s="2"/>
      <c r="D4416" s="2"/>
      <c r="E4416" s="2"/>
      <c r="F4416" s="2"/>
      <c r="G4416" s="2"/>
      <c r="H4416" s="3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</row>
    <row r="4417">
      <c r="A4417" s="6" t="s">
        <v>1018</v>
      </c>
      <c r="B4417" s="2"/>
      <c r="C4417" s="2"/>
      <c r="D4417" s="2"/>
      <c r="E4417" s="2"/>
      <c r="F4417" s="2"/>
      <c r="G4417" s="2"/>
      <c r="H4417" s="3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</row>
    <row r="4418">
      <c r="A4418" s="7" t="s">
        <v>2</v>
      </c>
      <c r="B4418" s="7" t="s">
        <v>3</v>
      </c>
      <c r="C4418" s="7" t="s">
        <v>4</v>
      </c>
      <c r="D4418" s="7" t="s">
        <v>5</v>
      </c>
      <c r="E4418" s="7" t="s">
        <v>6</v>
      </c>
      <c r="F4418" s="8" t="s">
        <v>7</v>
      </c>
      <c r="G4418" s="7" t="s">
        <v>8</v>
      </c>
      <c r="H4418" s="9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</row>
    <row r="4419">
      <c r="A4419" s="10">
        <v>1.0</v>
      </c>
      <c r="B4419" s="33" t="s">
        <v>487</v>
      </c>
      <c r="C4419" s="34" t="s">
        <v>1019</v>
      </c>
      <c r="D4419" s="13" t="s">
        <v>11</v>
      </c>
      <c r="E4419" s="35">
        <v>1.6</v>
      </c>
      <c r="F4419" s="15">
        <v>293000.0</v>
      </c>
      <c r="G4419" s="16">
        <f t="shared" ref="G4419:G4421" si="293">IFERROR(E4419*F4419,0)</f>
        <v>468800</v>
      </c>
      <c r="H4419" s="17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</row>
    <row r="4420">
      <c r="A4420" s="10">
        <v>2.0</v>
      </c>
      <c r="B4420" s="36" t="s">
        <v>1020</v>
      </c>
      <c r="C4420" s="37" t="s">
        <v>1021</v>
      </c>
      <c r="D4420" s="20" t="s">
        <v>13</v>
      </c>
      <c r="E4420" s="38">
        <v>1.8</v>
      </c>
      <c r="F4420" s="22">
        <v>435000.0</v>
      </c>
      <c r="G4420" s="16">
        <f t="shared" si="293"/>
        <v>783000</v>
      </c>
      <c r="H4420" s="17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</row>
    <row r="4421">
      <c r="A4421" s="10">
        <v>3.0</v>
      </c>
      <c r="B4421" s="23" t="s">
        <v>14</v>
      </c>
      <c r="C4421" s="17"/>
      <c r="D4421" s="17"/>
      <c r="E4421" s="17"/>
      <c r="F4421" s="17"/>
      <c r="G4421" s="24">
        <f t="shared" si="293"/>
        <v>0</v>
      </c>
      <c r="H4421" s="17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</row>
    <row r="4422">
      <c r="A4422" s="25" t="s">
        <v>15</v>
      </c>
      <c r="B4422" s="2"/>
      <c r="C4422" s="2"/>
      <c r="D4422" s="2"/>
      <c r="E4422" s="2"/>
      <c r="F4422" s="2"/>
      <c r="G4422" s="3"/>
      <c r="H4422" s="26">
        <f>SUM(G4419:G4421)</f>
        <v>1251800</v>
      </c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</row>
    <row r="4423">
      <c r="A4423" s="25" t="s">
        <v>16</v>
      </c>
      <c r="B4423" s="2"/>
      <c r="C4423" s="2"/>
      <c r="D4423" s="2"/>
      <c r="E4423" s="2"/>
      <c r="F4423" s="2"/>
      <c r="G4423" s="3"/>
      <c r="H4423" s="26">
        <f>MAX(0,H4422-648000)</f>
        <v>603800</v>
      </c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</row>
    <row r="4424">
      <c r="A4424" s="27" t="s">
        <v>17</v>
      </c>
      <c r="B4424" s="2"/>
      <c r="C4424" s="2"/>
      <c r="D4424" s="2"/>
      <c r="E4424" s="2"/>
      <c r="F4424" s="2"/>
      <c r="G4424" s="3"/>
      <c r="H4424" s="28">
        <v>649000.0</v>
      </c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</row>
    <row r="4425">
      <c r="A4425" s="1" t="s">
        <v>18</v>
      </c>
      <c r="B4425" s="2"/>
      <c r="C4425" s="2"/>
      <c r="D4425" s="2"/>
      <c r="E4425" s="2"/>
      <c r="F4425" s="2"/>
      <c r="G4425" s="2"/>
      <c r="H4425" s="3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</row>
    <row r="4430" ht="29.25" customHeight="1">
      <c r="A4430" s="1" t="s">
        <v>0</v>
      </c>
      <c r="B4430" s="2"/>
      <c r="C4430" s="2"/>
      <c r="D4430" s="2"/>
      <c r="E4430" s="2"/>
      <c r="F4430" s="2"/>
      <c r="G4430" s="2"/>
      <c r="H4430" s="3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</row>
    <row r="4431">
      <c r="A4431" s="6" t="s">
        <v>1022</v>
      </c>
      <c r="B4431" s="2"/>
      <c r="C4431" s="2"/>
      <c r="D4431" s="2"/>
      <c r="E4431" s="2"/>
      <c r="F4431" s="2"/>
      <c r="G4431" s="2"/>
      <c r="H4431" s="3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</row>
    <row r="4432">
      <c r="A4432" s="7" t="s">
        <v>2</v>
      </c>
      <c r="B4432" s="7" t="s">
        <v>3</v>
      </c>
      <c r="C4432" s="7" t="s">
        <v>4</v>
      </c>
      <c r="D4432" s="7" t="s">
        <v>5</v>
      </c>
      <c r="E4432" s="7" t="s">
        <v>6</v>
      </c>
      <c r="F4432" s="8" t="s">
        <v>7</v>
      </c>
      <c r="G4432" s="7" t="s">
        <v>8</v>
      </c>
      <c r="H4432" s="9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</row>
    <row r="4433">
      <c r="A4433" s="10">
        <v>1.0</v>
      </c>
      <c r="B4433" s="33" t="s">
        <v>1023</v>
      </c>
      <c r="C4433" s="34" t="s">
        <v>1024</v>
      </c>
      <c r="D4433" s="13" t="s">
        <v>11</v>
      </c>
      <c r="E4433" s="35">
        <v>2.25</v>
      </c>
      <c r="F4433" s="15">
        <v>293000.0</v>
      </c>
      <c r="G4433" s="16">
        <f t="shared" ref="G4433:G4435" si="294">IFERROR(E4433*F4433,0)</f>
        <v>659250</v>
      </c>
      <c r="H4433" s="17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</row>
    <row r="4434">
      <c r="A4434" s="10">
        <v>2.0</v>
      </c>
      <c r="B4434" s="36" t="s">
        <v>175</v>
      </c>
      <c r="C4434" s="37" t="s">
        <v>1025</v>
      </c>
      <c r="D4434" s="20" t="s">
        <v>13</v>
      </c>
      <c r="E4434" s="38">
        <v>1.32</v>
      </c>
      <c r="F4434" s="22">
        <v>435000.0</v>
      </c>
      <c r="G4434" s="16">
        <f t="shared" si="294"/>
        <v>574200</v>
      </c>
      <c r="H4434" s="17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</row>
    <row r="4435">
      <c r="A4435" s="10">
        <v>3.0</v>
      </c>
      <c r="B4435" s="23" t="s">
        <v>14</v>
      </c>
      <c r="C4435" s="17"/>
      <c r="D4435" s="17"/>
      <c r="E4435" s="17"/>
      <c r="F4435" s="17"/>
      <c r="G4435" s="24">
        <f t="shared" si="294"/>
        <v>0</v>
      </c>
      <c r="H4435" s="17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</row>
    <row r="4436">
      <c r="A4436" s="25" t="s">
        <v>15</v>
      </c>
      <c r="B4436" s="2"/>
      <c r="C4436" s="2"/>
      <c r="D4436" s="2"/>
      <c r="E4436" s="2"/>
      <c r="F4436" s="2"/>
      <c r="G4436" s="3"/>
      <c r="H4436" s="26">
        <f>SUM(G4433:G4435)</f>
        <v>1233450</v>
      </c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</row>
    <row r="4437">
      <c r="A4437" s="25" t="s">
        <v>16</v>
      </c>
      <c r="B4437" s="2"/>
      <c r="C4437" s="2"/>
      <c r="D4437" s="2"/>
      <c r="E4437" s="2"/>
      <c r="F4437" s="2"/>
      <c r="G4437" s="3"/>
      <c r="H4437" s="26">
        <f>MAX(0,H4436-648000)</f>
        <v>585450</v>
      </c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</row>
    <row r="4438">
      <c r="A4438" s="27" t="s">
        <v>17</v>
      </c>
      <c r="B4438" s="2"/>
      <c r="C4438" s="2"/>
      <c r="D4438" s="2"/>
      <c r="E4438" s="2"/>
      <c r="F4438" s="2"/>
      <c r="G4438" s="3"/>
      <c r="H4438" s="28">
        <v>649000.0</v>
      </c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</row>
    <row r="4439">
      <c r="A4439" s="1" t="s">
        <v>18</v>
      </c>
      <c r="B4439" s="2"/>
      <c r="C4439" s="2"/>
      <c r="D4439" s="2"/>
      <c r="E4439" s="2"/>
      <c r="F4439" s="2"/>
      <c r="G4439" s="2"/>
      <c r="H4439" s="3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</row>
    <row r="4444" ht="29.25" customHeight="1">
      <c r="A4444" s="1" t="s">
        <v>0</v>
      </c>
      <c r="B4444" s="2"/>
      <c r="C4444" s="2"/>
      <c r="D4444" s="2"/>
      <c r="E4444" s="2"/>
      <c r="F4444" s="2"/>
      <c r="G4444" s="2"/>
      <c r="H4444" s="3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</row>
    <row r="4445">
      <c r="A4445" s="6" t="s">
        <v>1026</v>
      </c>
      <c r="B4445" s="2"/>
      <c r="C4445" s="2"/>
      <c r="D4445" s="2"/>
      <c r="E4445" s="2"/>
      <c r="F4445" s="2"/>
      <c r="G4445" s="2"/>
      <c r="H4445" s="3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</row>
    <row r="4446">
      <c r="A4446" s="7" t="s">
        <v>2</v>
      </c>
      <c r="B4446" s="7" t="s">
        <v>3</v>
      </c>
      <c r="C4446" s="7" t="s">
        <v>4</v>
      </c>
      <c r="D4446" s="7" t="s">
        <v>5</v>
      </c>
      <c r="E4446" s="7" t="s">
        <v>6</v>
      </c>
      <c r="F4446" s="8" t="s">
        <v>7</v>
      </c>
      <c r="G4446" s="7" t="s">
        <v>8</v>
      </c>
      <c r="H4446" s="9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</row>
    <row r="4447">
      <c r="A4447" s="10">
        <v>1.0</v>
      </c>
      <c r="B4447" s="33" t="s">
        <v>375</v>
      </c>
      <c r="C4447" s="34" t="s">
        <v>1027</v>
      </c>
      <c r="D4447" s="13" t="s">
        <v>11</v>
      </c>
      <c r="E4447" s="35">
        <v>2.0</v>
      </c>
      <c r="F4447" s="15">
        <v>293000.0</v>
      </c>
      <c r="G4447" s="16">
        <f t="shared" ref="G4447:G4449" si="295">IFERROR(E4447*F4447,0)</f>
        <v>586000</v>
      </c>
      <c r="H4447" s="17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</row>
    <row r="4448">
      <c r="A4448" s="10">
        <v>2.0</v>
      </c>
      <c r="B4448" s="36" t="s">
        <v>12</v>
      </c>
      <c r="C4448" s="37" t="s">
        <v>1028</v>
      </c>
      <c r="D4448" s="20" t="s">
        <v>13</v>
      </c>
      <c r="E4448" s="38">
        <v>1.5</v>
      </c>
      <c r="F4448" s="22">
        <v>435000.0</v>
      </c>
      <c r="G4448" s="16">
        <f t="shared" si="295"/>
        <v>652500</v>
      </c>
      <c r="H4448" s="17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</row>
    <row r="4449">
      <c r="A4449" s="10">
        <v>3.0</v>
      </c>
      <c r="B4449" s="23" t="s">
        <v>14</v>
      </c>
      <c r="C4449" s="17"/>
      <c r="D4449" s="17"/>
      <c r="E4449" s="17"/>
      <c r="F4449" s="17"/>
      <c r="G4449" s="24">
        <f t="shared" si="295"/>
        <v>0</v>
      </c>
      <c r="H4449" s="17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</row>
    <row r="4450">
      <c r="A4450" s="25" t="s">
        <v>15</v>
      </c>
      <c r="B4450" s="2"/>
      <c r="C4450" s="2"/>
      <c r="D4450" s="2"/>
      <c r="E4450" s="2"/>
      <c r="F4450" s="2"/>
      <c r="G4450" s="3"/>
      <c r="H4450" s="26">
        <f>SUM(G4447:G4449)</f>
        <v>1238500</v>
      </c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</row>
    <row r="4451">
      <c r="A4451" s="25" t="s">
        <v>16</v>
      </c>
      <c r="B4451" s="2"/>
      <c r="C4451" s="2"/>
      <c r="D4451" s="2"/>
      <c r="E4451" s="2"/>
      <c r="F4451" s="2"/>
      <c r="G4451" s="3"/>
      <c r="H4451" s="26">
        <f>MAX(0,H4450-648000)</f>
        <v>590500</v>
      </c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</row>
    <row r="4452">
      <c r="A4452" s="27" t="s">
        <v>17</v>
      </c>
      <c r="B4452" s="2"/>
      <c r="C4452" s="2"/>
      <c r="D4452" s="2"/>
      <c r="E4452" s="2"/>
      <c r="F4452" s="2"/>
      <c r="G4452" s="3"/>
      <c r="H4452" s="28">
        <v>649000.0</v>
      </c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</row>
    <row r="4453">
      <c r="A4453" s="1" t="s">
        <v>18</v>
      </c>
      <c r="B4453" s="2"/>
      <c r="C4453" s="2"/>
      <c r="D4453" s="2"/>
      <c r="E4453" s="2"/>
      <c r="F4453" s="2"/>
      <c r="G4453" s="2"/>
      <c r="H4453" s="3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</row>
    <row r="4458" ht="29.25" customHeight="1">
      <c r="A4458" s="1" t="s">
        <v>0</v>
      </c>
      <c r="B4458" s="2"/>
      <c r="C4458" s="2"/>
      <c r="D4458" s="2"/>
      <c r="E4458" s="2"/>
      <c r="F4458" s="2"/>
      <c r="G4458" s="2"/>
      <c r="H4458" s="3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</row>
    <row r="4459">
      <c r="A4459" s="6" t="s">
        <v>1029</v>
      </c>
      <c r="B4459" s="2"/>
      <c r="C4459" s="2"/>
      <c r="D4459" s="2"/>
      <c r="E4459" s="2"/>
      <c r="F4459" s="2"/>
      <c r="G4459" s="2"/>
      <c r="H4459" s="3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</row>
    <row r="4460">
      <c r="A4460" s="7" t="s">
        <v>2</v>
      </c>
      <c r="B4460" s="7" t="s">
        <v>3</v>
      </c>
      <c r="C4460" s="7" t="s">
        <v>4</v>
      </c>
      <c r="D4460" s="7" t="s">
        <v>5</v>
      </c>
      <c r="E4460" s="7" t="s">
        <v>6</v>
      </c>
      <c r="F4460" s="8" t="s">
        <v>7</v>
      </c>
      <c r="G4460" s="7" t="s">
        <v>8</v>
      </c>
      <c r="H4460" s="9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</row>
    <row r="4461">
      <c r="A4461" s="10">
        <v>1.0</v>
      </c>
      <c r="B4461" s="33" t="s">
        <v>1030</v>
      </c>
      <c r="C4461" s="34" t="s">
        <v>1031</v>
      </c>
      <c r="D4461" s="13" t="s">
        <v>11</v>
      </c>
      <c r="E4461" s="35">
        <v>2.7</v>
      </c>
      <c r="F4461" s="15">
        <v>293000.0</v>
      </c>
      <c r="G4461" s="16">
        <f t="shared" ref="G4461:G4463" si="296">IFERROR(E4461*F4461,0)</f>
        <v>791100</v>
      </c>
      <c r="H4461" s="17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</row>
    <row r="4462">
      <c r="A4462" s="10">
        <v>2.0</v>
      </c>
      <c r="B4462" s="36" t="s">
        <v>263</v>
      </c>
      <c r="C4462" s="37" t="s">
        <v>936</v>
      </c>
      <c r="D4462" s="20" t="s">
        <v>13</v>
      </c>
      <c r="E4462" s="38">
        <v>0.9</v>
      </c>
      <c r="F4462" s="22">
        <v>435000.0</v>
      </c>
      <c r="G4462" s="16">
        <f t="shared" si="296"/>
        <v>391500</v>
      </c>
      <c r="H4462" s="17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</row>
    <row r="4463">
      <c r="A4463" s="10">
        <v>3.0</v>
      </c>
      <c r="B4463" s="23" t="s">
        <v>14</v>
      </c>
      <c r="C4463" s="17"/>
      <c r="D4463" s="17"/>
      <c r="E4463" s="17"/>
      <c r="F4463" s="17"/>
      <c r="G4463" s="24">
        <f t="shared" si="296"/>
        <v>0</v>
      </c>
      <c r="H4463" s="17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</row>
    <row r="4464">
      <c r="A4464" s="25" t="s">
        <v>15</v>
      </c>
      <c r="B4464" s="2"/>
      <c r="C4464" s="2"/>
      <c r="D4464" s="2"/>
      <c r="E4464" s="2"/>
      <c r="F4464" s="2"/>
      <c r="G4464" s="3"/>
      <c r="H4464" s="26">
        <f>SUM(G4461:G4463)</f>
        <v>1182600</v>
      </c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</row>
    <row r="4465">
      <c r="A4465" s="25" t="s">
        <v>16</v>
      </c>
      <c r="B4465" s="2"/>
      <c r="C4465" s="2"/>
      <c r="D4465" s="2"/>
      <c r="E4465" s="2"/>
      <c r="F4465" s="2"/>
      <c r="G4465" s="3"/>
      <c r="H4465" s="26">
        <f>MAX(0,H4464-648000)</f>
        <v>534600</v>
      </c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</row>
    <row r="4466">
      <c r="A4466" s="27" t="s">
        <v>17</v>
      </c>
      <c r="B4466" s="2"/>
      <c r="C4466" s="2"/>
      <c r="D4466" s="2"/>
      <c r="E4466" s="2"/>
      <c r="F4466" s="2"/>
      <c r="G4466" s="3"/>
      <c r="H4466" s="28">
        <v>649000.0</v>
      </c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</row>
    <row r="4467">
      <c r="A4467" s="1" t="s">
        <v>18</v>
      </c>
      <c r="B4467" s="2"/>
      <c r="C4467" s="2"/>
      <c r="D4467" s="2"/>
      <c r="E4467" s="2"/>
      <c r="F4467" s="2"/>
      <c r="G4467" s="2"/>
      <c r="H4467" s="3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</row>
    <row r="4471" ht="29.25" customHeight="1">
      <c r="A4471" s="1" t="s">
        <v>0</v>
      </c>
      <c r="B4471" s="2"/>
      <c r="C4471" s="2"/>
      <c r="D4471" s="2"/>
      <c r="E4471" s="2"/>
      <c r="F4471" s="2"/>
      <c r="G4471" s="2"/>
      <c r="H4471" s="3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</row>
    <row r="4472">
      <c r="A4472" s="6" t="s">
        <v>1032</v>
      </c>
      <c r="B4472" s="2"/>
      <c r="C4472" s="2"/>
      <c r="D4472" s="2"/>
      <c r="E4472" s="2"/>
      <c r="F4472" s="2"/>
      <c r="G4472" s="2"/>
      <c r="H4472" s="3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</row>
    <row r="4473">
      <c r="A4473" s="7" t="s">
        <v>2</v>
      </c>
      <c r="B4473" s="7" t="s">
        <v>3</v>
      </c>
      <c r="C4473" s="7" t="s">
        <v>4</v>
      </c>
      <c r="D4473" s="7" t="s">
        <v>5</v>
      </c>
      <c r="E4473" s="7" t="s">
        <v>6</v>
      </c>
      <c r="F4473" s="8" t="s">
        <v>7</v>
      </c>
      <c r="G4473" s="7" t="s">
        <v>8</v>
      </c>
      <c r="H4473" s="9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</row>
    <row r="4474">
      <c r="A4474" s="10">
        <v>1.0</v>
      </c>
      <c r="B4474" s="33" t="s">
        <v>151</v>
      </c>
      <c r="C4474" s="34" t="s">
        <v>1033</v>
      </c>
      <c r="D4474" s="13" t="s">
        <v>11</v>
      </c>
      <c r="E4474" s="35">
        <v>2.0</v>
      </c>
      <c r="F4474" s="15">
        <v>293000.0</v>
      </c>
      <c r="G4474" s="16">
        <f t="shared" ref="G4474:G4476" si="297">IFERROR(E4474*F4474,0)</f>
        <v>586000</v>
      </c>
      <c r="H4474" s="17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</row>
    <row r="4475">
      <c r="A4475" s="10">
        <v>2.0</v>
      </c>
      <c r="B4475" s="36" t="s">
        <v>1034</v>
      </c>
      <c r="C4475" s="37" t="s">
        <v>1035</v>
      </c>
      <c r="D4475" s="20" t="s">
        <v>13</v>
      </c>
      <c r="E4475" s="38">
        <v>1.33</v>
      </c>
      <c r="F4475" s="22">
        <v>435000.0</v>
      </c>
      <c r="G4475" s="16">
        <f t="shared" si="297"/>
        <v>578550</v>
      </c>
      <c r="H4475" s="17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</row>
    <row r="4476">
      <c r="A4476" s="10">
        <v>3.0</v>
      </c>
      <c r="B4476" s="23" t="s">
        <v>14</v>
      </c>
      <c r="C4476" s="17"/>
      <c r="D4476" s="17"/>
      <c r="E4476" s="17"/>
      <c r="F4476" s="17"/>
      <c r="G4476" s="24">
        <f t="shared" si="297"/>
        <v>0</v>
      </c>
      <c r="H4476" s="17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</row>
    <row r="4477">
      <c r="A4477" s="25" t="s">
        <v>15</v>
      </c>
      <c r="B4477" s="2"/>
      <c r="C4477" s="2"/>
      <c r="D4477" s="2"/>
      <c r="E4477" s="2"/>
      <c r="F4477" s="2"/>
      <c r="G4477" s="3"/>
      <c r="H4477" s="26">
        <f>SUM(G4474:G4476)</f>
        <v>1164550</v>
      </c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</row>
    <row r="4478">
      <c r="A4478" s="25" t="s">
        <v>16</v>
      </c>
      <c r="B4478" s="2"/>
      <c r="C4478" s="2"/>
      <c r="D4478" s="2"/>
      <c r="E4478" s="2"/>
      <c r="F4478" s="2"/>
      <c r="G4478" s="3"/>
      <c r="H4478" s="26">
        <f>MAX(0,H4477-648000)</f>
        <v>516550</v>
      </c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</row>
    <row r="4479">
      <c r="A4479" s="27" t="s">
        <v>17</v>
      </c>
      <c r="B4479" s="2"/>
      <c r="C4479" s="2"/>
      <c r="D4479" s="2"/>
      <c r="E4479" s="2"/>
      <c r="F4479" s="2"/>
      <c r="G4479" s="3"/>
      <c r="H4479" s="28">
        <v>649000.0</v>
      </c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</row>
    <row r="4480">
      <c r="A4480" s="1" t="s">
        <v>18</v>
      </c>
      <c r="B4480" s="2"/>
      <c r="C4480" s="2"/>
      <c r="D4480" s="2"/>
      <c r="E4480" s="2"/>
      <c r="F4480" s="2"/>
      <c r="G4480" s="2"/>
      <c r="H4480" s="3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</row>
    <row r="4485" ht="29.25" customHeight="1">
      <c r="A4485" s="1" t="s">
        <v>0</v>
      </c>
      <c r="B4485" s="2"/>
      <c r="C4485" s="2"/>
      <c r="D4485" s="2"/>
      <c r="E4485" s="2"/>
      <c r="F4485" s="2"/>
      <c r="G4485" s="2"/>
      <c r="H4485" s="3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</row>
    <row r="4486">
      <c r="A4486" s="6" t="s">
        <v>1036</v>
      </c>
      <c r="B4486" s="2"/>
      <c r="C4486" s="2"/>
      <c r="D4486" s="2"/>
      <c r="E4486" s="2"/>
      <c r="F4486" s="2"/>
      <c r="G4486" s="2"/>
      <c r="H4486" s="3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</row>
    <row r="4487">
      <c r="A4487" s="7" t="s">
        <v>2</v>
      </c>
      <c r="B4487" s="7" t="s">
        <v>3</v>
      </c>
      <c r="C4487" s="7" t="s">
        <v>4</v>
      </c>
      <c r="D4487" s="7" t="s">
        <v>5</v>
      </c>
      <c r="E4487" s="7" t="s">
        <v>6</v>
      </c>
      <c r="F4487" s="8" t="s">
        <v>7</v>
      </c>
      <c r="G4487" s="7" t="s">
        <v>8</v>
      </c>
      <c r="H4487" s="9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</row>
    <row r="4488">
      <c r="A4488" s="10">
        <v>1.0</v>
      </c>
      <c r="B4488" s="33" t="s">
        <v>41</v>
      </c>
      <c r="C4488" s="34" t="s">
        <v>1037</v>
      </c>
      <c r="D4488" s="13" t="s">
        <v>11</v>
      </c>
      <c r="E4488" s="35">
        <v>2.43</v>
      </c>
      <c r="F4488" s="15">
        <v>293000.0</v>
      </c>
      <c r="G4488" s="16">
        <f t="shared" ref="G4488:G4490" si="298">IFERROR(E4488*F4488,0)</f>
        <v>711990</v>
      </c>
      <c r="H4488" s="17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</row>
    <row r="4489">
      <c r="A4489" s="10">
        <v>2.0</v>
      </c>
      <c r="B4489" s="36" t="s">
        <v>218</v>
      </c>
      <c r="C4489" s="37" t="s">
        <v>1038</v>
      </c>
      <c r="D4489" s="20" t="s">
        <v>13</v>
      </c>
      <c r="E4489" s="38">
        <v>0.96</v>
      </c>
      <c r="F4489" s="22">
        <v>435000.0</v>
      </c>
      <c r="G4489" s="16">
        <f t="shared" si="298"/>
        <v>417600</v>
      </c>
      <c r="H4489" s="17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</row>
    <row r="4490">
      <c r="A4490" s="10">
        <v>3.0</v>
      </c>
      <c r="B4490" s="23" t="s">
        <v>14</v>
      </c>
      <c r="C4490" s="17"/>
      <c r="D4490" s="17"/>
      <c r="E4490" s="17"/>
      <c r="F4490" s="17"/>
      <c r="G4490" s="24">
        <f t="shared" si="298"/>
        <v>0</v>
      </c>
      <c r="H4490" s="17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</row>
    <row r="4491">
      <c r="A4491" s="25" t="s">
        <v>15</v>
      </c>
      <c r="B4491" s="2"/>
      <c r="C4491" s="2"/>
      <c r="D4491" s="2"/>
      <c r="E4491" s="2"/>
      <c r="F4491" s="2"/>
      <c r="G4491" s="3"/>
      <c r="H4491" s="26">
        <f>SUM(G4488:G4490)</f>
        <v>1129590</v>
      </c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</row>
    <row r="4492">
      <c r="A4492" s="25" t="s">
        <v>16</v>
      </c>
      <c r="B4492" s="2"/>
      <c r="C4492" s="2"/>
      <c r="D4492" s="2"/>
      <c r="E4492" s="2"/>
      <c r="F4492" s="2"/>
      <c r="G4492" s="3"/>
      <c r="H4492" s="26">
        <f>MAX(0,H4491-648000)</f>
        <v>481590</v>
      </c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</row>
    <row r="4493">
      <c r="A4493" s="27" t="s">
        <v>17</v>
      </c>
      <c r="B4493" s="2"/>
      <c r="C4493" s="2"/>
      <c r="D4493" s="2"/>
      <c r="E4493" s="2"/>
      <c r="F4493" s="2"/>
      <c r="G4493" s="3"/>
      <c r="H4493" s="28">
        <v>649000.0</v>
      </c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</row>
    <row r="4494">
      <c r="A4494" s="1" t="s">
        <v>18</v>
      </c>
      <c r="B4494" s="2"/>
      <c r="C4494" s="2"/>
      <c r="D4494" s="2"/>
      <c r="E4494" s="2"/>
      <c r="F4494" s="2"/>
      <c r="G4494" s="2"/>
      <c r="H4494" s="3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</row>
    <row r="4499" ht="29.25" customHeight="1">
      <c r="A4499" s="1" t="s">
        <v>0</v>
      </c>
      <c r="B4499" s="2"/>
      <c r="C4499" s="2"/>
      <c r="D4499" s="2"/>
      <c r="E4499" s="2"/>
      <c r="F4499" s="2"/>
      <c r="G4499" s="2"/>
      <c r="H4499" s="3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</row>
    <row r="4500">
      <c r="A4500" s="6" t="s">
        <v>1039</v>
      </c>
      <c r="B4500" s="2"/>
      <c r="C4500" s="2"/>
      <c r="D4500" s="2"/>
      <c r="E4500" s="2"/>
      <c r="F4500" s="2"/>
      <c r="G4500" s="2"/>
      <c r="H4500" s="3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</row>
    <row r="4501">
      <c r="A4501" s="7" t="s">
        <v>2</v>
      </c>
      <c r="B4501" s="7" t="s">
        <v>3</v>
      </c>
      <c r="C4501" s="7" t="s">
        <v>4</v>
      </c>
      <c r="D4501" s="7" t="s">
        <v>5</v>
      </c>
      <c r="E4501" s="7" t="s">
        <v>6</v>
      </c>
      <c r="F4501" s="8" t="s">
        <v>7</v>
      </c>
      <c r="G4501" s="7" t="s">
        <v>8</v>
      </c>
      <c r="H4501" s="9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</row>
    <row r="4502">
      <c r="A4502" s="10">
        <v>1.0</v>
      </c>
      <c r="B4502" s="33" t="s">
        <v>137</v>
      </c>
      <c r="C4502" s="34" t="s">
        <v>21</v>
      </c>
      <c r="D4502" s="13" t="s">
        <v>11</v>
      </c>
      <c r="E4502" s="35">
        <v>2.93</v>
      </c>
      <c r="F4502" s="15">
        <v>293000.0</v>
      </c>
      <c r="G4502" s="16">
        <f t="shared" ref="G4502:G4504" si="299">IFERROR(E4502*F4502,0)</f>
        <v>858490</v>
      </c>
      <c r="H4502" s="17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</row>
    <row r="4503">
      <c r="A4503" s="10">
        <v>2.0</v>
      </c>
      <c r="B4503" s="36" t="s">
        <v>74</v>
      </c>
      <c r="C4503" s="37" t="s">
        <v>1040</v>
      </c>
      <c r="D4503" s="20" t="s">
        <v>13</v>
      </c>
      <c r="E4503" s="38">
        <v>0.73</v>
      </c>
      <c r="F4503" s="22">
        <v>435000.0</v>
      </c>
      <c r="G4503" s="16">
        <f t="shared" si="299"/>
        <v>317550</v>
      </c>
      <c r="H4503" s="17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</row>
    <row r="4504">
      <c r="A4504" s="10">
        <v>3.0</v>
      </c>
      <c r="B4504" s="23" t="s">
        <v>14</v>
      </c>
      <c r="C4504" s="17"/>
      <c r="D4504" s="17"/>
      <c r="E4504" s="17"/>
      <c r="F4504" s="17"/>
      <c r="G4504" s="24">
        <f t="shared" si="299"/>
        <v>0</v>
      </c>
      <c r="H4504" s="17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</row>
    <row r="4505">
      <c r="A4505" s="25" t="s">
        <v>15</v>
      </c>
      <c r="B4505" s="2"/>
      <c r="C4505" s="2"/>
      <c r="D4505" s="2"/>
      <c r="E4505" s="2"/>
      <c r="F4505" s="2"/>
      <c r="G4505" s="3"/>
      <c r="H4505" s="26">
        <f>SUM(G4502:G4504)</f>
        <v>1176040</v>
      </c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</row>
    <row r="4506">
      <c r="A4506" s="25" t="s">
        <v>16</v>
      </c>
      <c r="B4506" s="2"/>
      <c r="C4506" s="2"/>
      <c r="D4506" s="2"/>
      <c r="E4506" s="2"/>
      <c r="F4506" s="2"/>
      <c r="G4506" s="3"/>
      <c r="H4506" s="26">
        <f>MAX(0,H4505-648000)</f>
        <v>528040</v>
      </c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</row>
    <row r="4507">
      <c r="A4507" s="27" t="s">
        <v>17</v>
      </c>
      <c r="B4507" s="2"/>
      <c r="C4507" s="2"/>
      <c r="D4507" s="2"/>
      <c r="E4507" s="2"/>
      <c r="F4507" s="2"/>
      <c r="G4507" s="3"/>
      <c r="H4507" s="28">
        <v>649000.0</v>
      </c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</row>
    <row r="4508">
      <c r="A4508" s="1" t="s">
        <v>18</v>
      </c>
      <c r="B4508" s="2"/>
      <c r="C4508" s="2"/>
      <c r="D4508" s="2"/>
      <c r="E4508" s="2"/>
      <c r="F4508" s="2"/>
      <c r="G4508" s="2"/>
      <c r="H4508" s="3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</row>
    <row r="4513" ht="29.25" customHeight="1">
      <c r="A4513" s="1" t="s">
        <v>0</v>
      </c>
      <c r="B4513" s="2"/>
      <c r="C4513" s="2"/>
      <c r="D4513" s="2"/>
      <c r="E4513" s="2"/>
      <c r="F4513" s="2"/>
      <c r="G4513" s="2"/>
      <c r="H4513" s="3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</row>
    <row r="4514">
      <c r="A4514" s="6" t="s">
        <v>1041</v>
      </c>
      <c r="B4514" s="2"/>
      <c r="C4514" s="2"/>
      <c r="D4514" s="2"/>
      <c r="E4514" s="2"/>
      <c r="F4514" s="2"/>
      <c r="G4514" s="2"/>
      <c r="H4514" s="3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</row>
    <row r="4515">
      <c r="A4515" s="7" t="s">
        <v>2</v>
      </c>
      <c r="B4515" s="7" t="s">
        <v>3</v>
      </c>
      <c r="C4515" s="7" t="s">
        <v>4</v>
      </c>
      <c r="D4515" s="7" t="s">
        <v>5</v>
      </c>
      <c r="E4515" s="7" t="s">
        <v>6</v>
      </c>
      <c r="F4515" s="8" t="s">
        <v>7</v>
      </c>
      <c r="G4515" s="7" t="s">
        <v>8</v>
      </c>
      <c r="H4515" s="9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</row>
    <row r="4516">
      <c r="A4516" s="10">
        <v>1.0</v>
      </c>
      <c r="B4516" s="33" t="s">
        <v>22</v>
      </c>
      <c r="C4516" s="34" t="s">
        <v>1042</v>
      </c>
      <c r="D4516" s="13" t="s">
        <v>11</v>
      </c>
      <c r="E4516" s="35">
        <v>3.0</v>
      </c>
      <c r="F4516" s="15">
        <v>293000.0</v>
      </c>
      <c r="G4516" s="16">
        <f t="shared" ref="G4516:G4518" si="300">IFERROR(E4516*F4516,0)</f>
        <v>879000</v>
      </c>
      <c r="H4516" s="17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</row>
    <row r="4517">
      <c r="A4517" s="10">
        <v>2.0</v>
      </c>
      <c r="B4517" s="36" t="s">
        <v>197</v>
      </c>
      <c r="C4517" s="37">
        <v>4206.0</v>
      </c>
      <c r="D4517" s="20" t="s">
        <v>13</v>
      </c>
      <c r="E4517" s="38">
        <v>0.44</v>
      </c>
      <c r="F4517" s="22">
        <v>435000.0</v>
      </c>
      <c r="G4517" s="16">
        <f t="shared" si="300"/>
        <v>191400</v>
      </c>
      <c r="H4517" s="17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</row>
    <row r="4518">
      <c r="A4518" s="10">
        <v>3.0</v>
      </c>
      <c r="B4518" s="23" t="s">
        <v>14</v>
      </c>
      <c r="C4518" s="17"/>
      <c r="D4518" s="17"/>
      <c r="E4518" s="17"/>
      <c r="F4518" s="17"/>
      <c r="G4518" s="24">
        <f t="shared" si="300"/>
        <v>0</v>
      </c>
      <c r="H4518" s="17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</row>
    <row r="4519">
      <c r="A4519" s="25" t="s">
        <v>15</v>
      </c>
      <c r="B4519" s="2"/>
      <c r="C4519" s="2"/>
      <c r="D4519" s="2"/>
      <c r="E4519" s="2"/>
      <c r="F4519" s="2"/>
      <c r="G4519" s="3"/>
      <c r="H4519" s="26">
        <f>SUM(G4516:G4518)</f>
        <v>1070400</v>
      </c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</row>
    <row r="4520">
      <c r="A4520" s="25" t="s">
        <v>16</v>
      </c>
      <c r="B4520" s="2"/>
      <c r="C4520" s="2"/>
      <c r="D4520" s="2"/>
      <c r="E4520" s="2"/>
      <c r="F4520" s="2"/>
      <c r="G4520" s="3"/>
      <c r="H4520" s="26">
        <f>MAX(0,H4519-648000)</f>
        <v>422400</v>
      </c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</row>
    <row r="4521">
      <c r="A4521" s="27" t="s">
        <v>17</v>
      </c>
      <c r="B4521" s="2"/>
      <c r="C4521" s="2"/>
      <c r="D4521" s="2"/>
      <c r="E4521" s="2"/>
      <c r="F4521" s="2"/>
      <c r="G4521" s="3"/>
      <c r="H4521" s="28">
        <v>649000.0</v>
      </c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</row>
    <row r="4522">
      <c r="A4522" s="1" t="s">
        <v>18</v>
      </c>
      <c r="B4522" s="2"/>
      <c r="C4522" s="2"/>
      <c r="D4522" s="2"/>
      <c r="E4522" s="2"/>
      <c r="F4522" s="2"/>
      <c r="G4522" s="2"/>
      <c r="H4522" s="3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</row>
    <row r="4527" ht="29.25" customHeight="1">
      <c r="A4527" s="1" t="s">
        <v>0</v>
      </c>
      <c r="B4527" s="2"/>
      <c r="C4527" s="2"/>
      <c r="D4527" s="2"/>
      <c r="E4527" s="2"/>
      <c r="F4527" s="2"/>
      <c r="G4527" s="2"/>
      <c r="H4527" s="3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</row>
    <row r="4528">
      <c r="A4528" s="6" t="s">
        <v>1043</v>
      </c>
      <c r="B4528" s="2"/>
      <c r="C4528" s="2"/>
      <c r="D4528" s="2"/>
      <c r="E4528" s="2"/>
      <c r="F4528" s="2"/>
      <c r="G4528" s="2"/>
      <c r="H4528" s="3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</row>
    <row r="4529">
      <c r="A4529" s="7" t="s">
        <v>2</v>
      </c>
      <c r="B4529" s="7" t="s">
        <v>3</v>
      </c>
      <c r="C4529" s="7" t="s">
        <v>4</v>
      </c>
      <c r="D4529" s="7" t="s">
        <v>5</v>
      </c>
      <c r="E4529" s="7" t="s">
        <v>6</v>
      </c>
      <c r="F4529" s="8" t="s">
        <v>7</v>
      </c>
      <c r="G4529" s="7" t="s">
        <v>8</v>
      </c>
      <c r="H4529" s="9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</row>
    <row r="4530">
      <c r="A4530" s="10">
        <v>1.0</v>
      </c>
      <c r="B4530" s="33" t="s">
        <v>383</v>
      </c>
      <c r="C4530" s="34" t="s">
        <v>1044</v>
      </c>
      <c r="D4530" s="13" t="s">
        <v>11</v>
      </c>
      <c r="E4530" s="35">
        <v>3.0</v>
      </c>
      <c r="F4530" s="15">
        <v>293000.0</v>
      </c>
      <c r="G4530" s="16">
        <f t="shared" ref="G4530:G4532" si="301">IFERROR(E4530*F4530,0)</f>
        <v>879000</v>
      </c>
      <c r="H4530" s="17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</row>
    <row r="4531">
      <c r="A4531" s="10">
        <v>2.0</v>
      </c>
      <c r="B4531" s="36" t="s">
        <v>331</v>
      </c>
      <c r="C4531" s="37" t="s">
        <v>1045</v>
      </c>
      <c r="D4531" s="20" t="s">
        <v>13</v>
      </c>
      <c r="E4531" s="38">
        <v>0.57</v>
      </c>
      <c r="F4531" s="22">
        <v>435000.0</v>
      </c>
      <c r="G4531" s="16">
        <f t="shared" si="301"/>
        <v>247950</v>
      </c>
      <c r="H4531" s="17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</row>
    <row r="4532">
      <c r="A4532" s="10">
        <v>3.0</v>
      </c>
      <c r="B4532" s="23" t="s">
        <v>14</v>
      </c>
      <c r="C4532" s="17"/>
      <c r="D4532" s="17"/>
      <c r="E4532" s="17"/>
      <c r="F4532" s="17"/>
      <c r="G4532" s="24">
        <f t="shared" si="301"/>
        <v>0</v>
      </c>
      <c r="H4532" s="17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</row>
    <row r="4533">
      <c r="A4533" s="25" t="s">
        <v>15</v>
      </c>
      <c r="B4533" s="2"/>
      <c r="C4533" s="2"/>
      <c r="D4533" s="2"/>
      <c r="E4533" s="2"/>
      <c r="F4533" s="2"/>
      <c r="G4533" s="3"/>
      <c r="H4533" s="26">
        <f>SUM(G4530:G4532)</f>
        <v>1126950</v>
      </c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</row>
    <row r="4534">
      <c r="A4534" s="25" t="s">
        <v>16</v>
      </c>
      <c r="B4534" s="2"/>
      <c r="C4534" s="2"/>
      <c r="D4534" s="2"/>
      <c r="E4534" s="2"/>
      <c r="F4534" s="2"/>
      <c r="G4534" s="3"/>
      <c r="H4534" s="26">
        <f>MAX(0,H4533-648000)</f>
        <v>478950</v>
      </c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</row>
    <row r="4535">
      <c r="A4535" s="27" t="s">
        <v>17</v>
      </c>
      <c r="B4535" s="2"/>
      <c r="C4535" s="2"/>
      <c r="D4535" s="2"/>
      <c r="E4535" s="2"/>
      <c r="F4535" s="2"/>
      <c r="G4535" s="3"/>
      <c r="H4535" s="28">
        <v>649000.0</v>
      </c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</row>
    <row r="4536">
      <c r="A4536" s="1" t="s">
        <v>18</v>
      </c>
      <c r="B4536" s="2"/>
      <c r="C4536" s="2"/>
      <c r="D4536" s="2"/>
      <c r="E4536" s="2"/>
      <c r="F4536" s="2"/>
      <c r="G4536" s="2"/>
      <c r="H4536" s="3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</row>
    <row r="4541" ht="29.25" customHeight="1">
      <c r="A4541" s="1" t="s">
        <v>0</v>
      </c>
      <c r="B4541" s="2"/>
      <c r="C4541" s="2"/>
      <c r="D4541" s="2"/>
      <c r="E4541" s="2"/>
      <c r="F4541" s="2"/>
      <c r="G4541" s="2"/>
      <c r="H4541" s="3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</row>
    <row r="4542">
      <c r="A4542" s="6" t="s">
        <v>1046</v>
      </c>
      <c r="B4542" s="2"/>
      <c r="C4542" s="2"/>
      <c r="D4542" s="2"/>
      <c r="E4542" s="2"/>
      <c r="F4542" s="2"/>
      <c r="G4542" s="2"/>
      <c r="H4542" s="3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</row>
    <row r="4543">
      <c r="A4543" s="7" t="s">
        <v>2</v>
      </c>
      <c r="B4543" s="7" t="s">
        <v>3</v>
      </c>
      <c r="C4543" s="7" t="s">
        <v>4</v>
      </c>
      <c r="D4543" s="7" t="s">
        <v>5</v>
      </c>
      <c r="E4543" s="7" t="s">
        <v>6</v>
      </c>
      <c r="F4543" s="8" t="s">
        <v>7</v>
      </c>
      <c r="G4543" s="7" t="s">
        <v>8</v>
      </c>
      <c r="H4543" s="9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</row>
    <row r="4544">
      <c r="A4544" s="10">
        <v>1.0</v>
      </c>
      <c r="B4544" s="33" t="s">
        <v>48</v>
      </c>
      <c r="C4544" s="34" t="s">
        <v>1047</v>
      </c>
      <c r="D4544" s="13" t="s">
        <v>11</v>
      </c>
      <c r="E4544" s="35">
        <v>1.48</v>
      </c>
      <c r="F4544" s="15">
        <v>293000.0</v>
      </c>
      <c r="G4544" s="16">
        <f t="shared" ref="G4544:G4546" si="302">IFERROR(E4544*F4544,0)</f>
        <v>433640</v>
      </c>
      <c r="H4544" s="17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</row>
    <row r="4545">
      <c r="A4545" s="10">
        <v>2.0</v>
      </c>
      <c r="B4545" s="36" t="s">
        <v>27</v>
      </c>
      <c r="C4545" s="37" t="s">
        <v>1048</v>
      </c>
      <c r="D4545" s="20" t="s">
        <v>13</v>
      </c>
      <c r="E4545" s="38">
        <v>1.87</v>
      </c>
      <c r="F4545" s="22">
        <v>435000.0</v>
      </c>
      <c r="G4545" s="16">
        <f t="shared" si="302"/>
        <v>813450</v>
      </c>
      <c r="H4545" s="17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</row>
    <row r="4546">
      <c r="A4546" s="10">
        <v>3.0</v>
      </c>
      <c r="B4546" s="23" t="s">
        <v>14</v>
      </c>
      <c r="C4546" s="17"/>
      <c r="D4546" s="17"/>
      <c r="E4546" s="31" t="s">
        <v>70</v>
      </c>
      <c r="F4546" s="17"/>
      <c r="G4546" s="24">
        <f t="shared" si="302"/>
        <v>0</v>
      </c>
      <c r="H4546" s="17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</row>
    <row r="4547">
      <c r="A4547" s="25" t="s">
        <v>15</v>
      </c>
      <c r="B4547" s="2"/>
      <c r="C4547" s="2"/>
      <c r="D4547" s="2"/>
      <c r="E4547" s="2"/>
      <c r="F4547" s="2"/>
      <c r="G4547" s="3"/>
      <c r="H4547" s="26">
        <f>SUM(G4544:G4546)</f>
        <v>1247090</v>
      </c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</row>
    <row r="4548">
      <c r="A4548" s="25" t="s">
        <v>16</v>
      </c>
      <c r="B4548" s="2"/>
      <c r="C4548" s="2"/>
      <c r="D4548" s="2"/>
      <c r="E4548" s="2"/>
      <c r="F4548" s="2"/>
      <c r="G4548" s="3"/>
      <c r="H4548" s="26">
        <f>MAX(0,H4547-648000)</f>
        <v>599090</v>
      </c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</row>
    <row r="4549">
      <c r="A4549" s="27" t="s">
        <v>17</v>
      </c>
      <c r="B4549" s="2"/>
      <c r="C4549" s="2"/>
      <c r="D4549" s="2"/>
      <c r="E4549" s="2"/>
      <c r="F4549" s="2"/>
      <c r="G4549" s="3"/>
      <c r="H4549" s="28">
        <v>649000.0</v>
      </c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</row>
    <row r="4550">
      <c r="A4550" s="1" t="s">
        <v>18</v>
      </c>
      <c r="B4550" s="2"/>
      <c r="C4550" s="2"/>
      <c r="D4550" s="2"/>
      <c r="E4550" s="2"/>
      <c r="F4550" s="2"/>
      <c r="G4550" s="2"/>
      <c r="H4550" s="3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</row>
    <row r="4555" ht="29.25" customHeight="1">
      <c r="A4555" s="1" t="s">
        <v>0</v>
      </c>
      <c r="B4555" s="2"/>
      <c r="C4555" s="2"/>
      <c r="D4555" s="2"/>
      <c r="E4555" s="2"/>
      <c r="F4555" s="2"/>
      <c r="G4555" s="2"/>
      <c r="H4555" s="3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</row>
    <row r="4556">
      <c r="A4556" s="6" t="s">
        <v>1049</v>
      </c>
      <c r="B4556" s="2"/>
      <c r="C4556" s="2"/>
      <c r="D4556" s="2"/>
      <c r="E4556" s="2"/>
      <c r="F4556" s="2"/>
      <c r="G4556" s="2"/>
      <c r="H4556" s="3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</row>
    <row r="4557">
      <c r="A4557" s="7" t="s">
        <v>2</v>
      </c>
      <c r="B4557" s="7" t="s">
        <v>3</v>
      </c>
      <c r="C4557" s="7" t="s">
        <v>4</v>
      </c>
      <c r="D4557" s="7" t="s">
        <v>5</v>
      </c>
      <c r="E4557" s="7" t="s">
        <v>6</v>
      </c>
      <c r="F4557" s="8" t="s">
        <v>7</v>
      </c>
      <c r="G4557" s="7" t="s">
        <v>8</v>
      </c>
      <c r="H4557" s="9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</row>
    <row r="4558">
      <c r="A4558" s="10">
        <v>1.0</v>
      </c>
      <c r="B4558" s="33" t="s">
        <v>621</v>
      </c>
      <c r="C4558" s="34" t="s">
        <v>1050</v>
      </c>
      <c r="D4558" s="13" t="s">
        <v>11</v>
      </c>
      <c r="E4558" s="35">
        <v>2.0</v>
      </c>
      <c r="F4558" s="15">
        <v>293000.0</v>
      </c>
      <c r="G4558" s="16">
        <f t="shared" ref="G4558:G4560" si="303">IFERROR(E4558*F4558,0)</f>
        <v>586000</v>
      </c>
      <c r="H4558" s="17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</row>
    <row r="4559">
      <c r="A4559" s="10">
        <v>2.0</v>
      </c>
      <c r="B4559" s="36" t="s">
        <v>1051</v>
      </c>
      <c r="C4559" s="37" t="s">
        <v>936</v>
      </c>
      <c r="D4559" s="20" t="s">
        <v>13</v>
      </c>
      <c r="E4559" s="38">
        <v>1.46</v>
      </c>
      <c r="F4559" s="22">
        <v>435000.0</v>
      </c>
      <c r="G4559" s="16">
        <f t="shared" si="303"/>
        <v>635100</v>
      </c>
      <c r="H4559" s="17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</row>
    <row r="4560">
      <c r="A4560" s="10">
        <v>3.0</v>
      </c>
      <c r="B4560" s="23" t="s">
        <v>14</v>
      </c>
      <c r="C4560" s="17"/>
      <c r="D4560" s="17"/>
      <c r="E4560" s="17"/>
      <c r="F4560" s="17"/>
      <c r="G4560" s="24">
        <f t="shared" si="303"/>
        <v>0</v>
      </c>
      <c r="H4560" s="17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</row>
    <row r="4561">
      <c r="A4561" s="25" t="s">
        <v>15</v>
      </c>
      <c r="B4561" s="2"/>
      <c r="C4561" s="2"/>
      <c r="D4561" s="2"/>
      <c r="E4561" s="2"/>
      <c r="F4561" s="2"/>
      <c r="G4561" s="3"/>
      <c r="H4561" s="26">
        <f>SUM(G4558:G4560)</f>
        <v>1221100</v>
      </c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</row>
    <row r="4562">
      <c r="A4562" s="25" t="s">
        <v>16</v>
      </c>
      <c r="B4562" s="2"/>
      <c r="C4562" s="2"/>
      <c r="D4562" s="2"/>
      <c r="E4562" s="2"/>
      <c r="F4562" s="2"/>
      <c r="G4562" s="3"/>
      <c r="H4562" s="26">
        <f>MAX(0,H4561-648000)</f>
        <v>573100</v>
      </c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</row>
    <row r="4563">
      <c r="A4563" s="27" t="s">
        <v>17</v>
      </c>
      <c r="B4563" s="2"/>
      <c r="C4563" s="2"/>
      <c r="D4563" s="2"/>
      <c r="E4563" s="2"/>
      <c r="F4563" s="2"/>
      <c r="G4563" s="3"/>
      <c r="H4563" s="28">
        <v>649000.0</v>
      </c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</row>
    <row r="4564">
      <c r="A4564" s="1" t="s">
        <v>18</v>
      </c>
      <c r="B4564" s="2"/>
      <c r="C4564" s="2"/>
      <c r="D4564" s="2"/>
      <c r="E4564" s="2"/>
      <c r="F4564" s="2"/>
      <c r="G4564" s="2"/>
      <c r="H4564" s="3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</row>
    <row r="4569" ht="29.25" customHeight="1">
      <c r="A4569" s="1" t="s">
        <v>0</v>
      </c>
      <c r="B4569" s="2"/>
      <c r="C4569" s="2"/>
      <c r="D4569" s="2"/>
      <c r="E4569" s="2"/>
      <c r="F4569" s="2"/>
      <c r="G4569" s="2"/>
      <c r="H4569" s="3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</row>
    <row r="4570">
      <c r="A4570" s="6" t="s">
        <v>1052</v>
      </c>
      <c r="B4570" s="2"/>
      <c r="C4570" s="2"/>
      <c r="D4570" s="2"/>
      <c r="E4570" s="2"/>
      <c r="F4570" s="2"/>
      <c r="G4570" s="2"/>
      <c r="H4570" s="3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</row>
    <row r="4571">
      <c r="A4571" s="7" t="s">
        <v>2</v>
      </c>
      <c r="B4571" s="7" t="s">
        <v>3</v>
      </c>
      <c r="C4571" s="7" t="s">
        <v>4</v>
      </c>
      <c r="D4571" s="7" t="s">
        <v>5</v>
      </c>
      <c r="E4571" s="7" t="s">
        <v>6</v>
      </c>
      <c r="F4571" s="8" t="s">
        <v>7</v>
      </c>
      <c r="G4571" s="7" t="s">
        <v>8</v>
      </c>
      <c r="H4571" s="9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</row>
    <row r="4572">
      <c r="A4572" s="10">
        <v>1.0</v>
      </c>
      <c r="B4572" s="33" t="s">
        <v>27</v>
      </c>
      <c r="C4572" s="34" t="s">
        <v>1053</v>
      </c>
      <c r="D4572" s="13" t="s">
        <v>11</v>
      </c>
      <c r="E4572" s="35">
        <v>1.8</v>
      </c>
      <c r="F4572" s="15">
        <v>293000.0</v>
      </c>
      <c r="G4572" s="16">
        <f t="shared" ref="G4572:G4574" si="304">IFERROR(E4572*F4572,0)</f>
        <v>527400</v>
      </c>
      <c r="H4572" s="17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</row>
    <row r="4573">
      <c r="A4573" s="10">
        <v>2.0</v>
      </c>
      <c r="B4573" s="36" t="s">
        <v>131</v>
      </c>
      <c r="C4573" s="37" t="s">
        <v>1054</v>
      </c>
      <c r="D4573" s="20" t="s">
        <v>13</v>
      </c>
      <c r="E4573" s="38">
        <v>1.59</v>
      </c>
      <c r="F4573" s="22">
        <v>435000.0</v>
      </c>
      <c r="G4573" s="16">
        <f t="shared" si="304"/>
        <v>691650</v>
      </c>
      <c r="H4573" s="17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</row>
    <row r="4574">
      <c r="A4574" s="10">
        <v>3.0</v>
      </c>
      <c r="B4574" s="23" t="s">
        <v>14</v>
      </c>
      <c r="C4574" s="17"/>
      <c r="D4574" s="17"/>
      <c r="E4574" s="17"/>
      <c r="F4574" s="17"/>
      <c r="G4574" s="24">
        <f t="shared" si="304"/>
        <v>0</v>
      </c>
      <c r="H4574" s="17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</row>
    <row r="4575">
      <c r="A4575" s="25" t="s">
        <v>15</v>
      </c>
      <c r="B4575" s="2"/>
      <c r="C4575" s="2"/>
      <c r="D4575" s="2"/>
      <c r="E4575" s="2"/>
      <c r="F4575" s="2"/>
      <c r="G4575" s="3"/>
      <c r="H4575" s="26">
        <f>SUM(G4572:G4574)</f>
        <v>1219050</v>
      </c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</row>
    <row r="4576">
      <c r="A4576" s="25" t="s">
        <v>16</v>
      </c>
      <c r="B4576" s="2"/>
      <c r="C4576" s="2"/>
      <c r="D4576" s="2"/>
      <c r="E4576" s="2"/>
      <c r="F4576" s="2"/>
      <c r="G4576" s="3"/>
      <c r="H4576" s="26">
        <f>MAX(0,H4575-648000)</f>
        <v>571050</v>
      </c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</row>
    <row r="4577">
      <c r="A4577" s="27" t="s">
        <v>17</v>
      </c>
      <c r="B4577" s="2"/>
      <c r="C4577" s="2"/>
      <c r="D4577" s="2"/>
      <c r="E4577" s="2"/>
      <c r="F4577" s="2"/>
      <c r="G4577" s="3"/>
      <c r="H4577" s="28">
        <v>649000.0</v>
      </c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</row>
    <row r="4578">
      <c r="A4578" s="1" t="s">
        <v>18</v>
      </c>
      <c r="B4578" s="2"/>
      <c r="C4578" s="2"/>
      <c r="D4578" s="2"/>
      <c r="E4578" s="2"/>
      <c r="F4578" s="2"/>
      <c r="G4578" s="2"/>
      <c r="H4578" s="3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</row>
    <row r="4583" ht="29.25" customHeight="1">
      <c r="A4583" s="1" t="s">
        <v>0</v>
      </c>
      <c r="B4583" s="2"/>
      <c r="C4583" s="2"/>
      <c r="D4583" s="2"/>
      <c r="E4583" s="2"/>
      <c r="F4583" s="2"/>
      <c r="G4583" s="2"/>
      <c r="H4583" s="3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</row>
    <row r="4584">
      <c r="A4584" s="6" t="s">
        <v>1055</v>
      </c>
      <c r="B4584" s="2"/>
      <c r="C4584" s="2"/>
      <c r="D4584" s="2"/>
      <c r="E4584" s="2"/>
      <c r="F4584" s="2"/>
      <c r="G4584" s="2"/>
      <c r="H4584" s="3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</row>
    <row r="4585">
      <c r="A4585" s="7" t="s">
        <v>2</v>
      </c>
      <c r="B4585" s="7" t="s">
        <v>3</v>
      </c>
      <c r="C4585" s="7" t="s">
        <v>4</v>
      </c>
      <c r="D4585" s="7" t="s">
        <v>5</v>
      </c>
      <c r="E4585" s="7" t="s">
        <v>6</v>
      </c>
      <c r="F4585" s="8" t="s">
        <v>7</v>
      </c>
      <c r="G4585" s="7" t="s">
        <v>8</v>
      </c>
      <c r="H4585" s="9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</row>
    <row r="4586">
      <c r="A4586" s="10">
        <v>1.0</v>
      </c>
      <c r="B4586" s="33" t="s">
        <v>1056</v>
      </c>
      <c r="C4586" s="34" t="s">
        <v>1057</v>
      </c>
      <c r="D4586" s="13" t="s">
        <v>11</v>
      </c>
      <c r="E4586" s="35">
        <v>2.73</v>
      </c>
      <c r="F4586" s="15">
        <v>293000.0</v>
      </c>
      <c r="G4586" s="16">
        <f t="shared" ref="G4586:G4588" si="305">IFERROR(E4586*F4586,0)</f>
        <v>799890</v>
      </c>
      <c r="H4586" s="17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</row>
    <row r="4587">
      <c r="A4587" s="10">
        <v>2.0</v>
      </c>
      <c r="B4587" s="36" t="s">
        <v>94</v>
      </c>
      <c r="C4587" s="37" t="s">
        <v>1058</v>
      </c>
      <c r="D4587" s="20" t="s">
        <v>13</v>
      </c>
      <c r="E4587" s="38">
        <v>0.77</v>
      </c>
      <c r="F4587" s="22">
        <v>435000.0</v>
      </c>
      <c r="G4587" s="16">
        <f t="shared" si="305"/>
        <v>334950</v>
      </c>
      <c r="H4587" s="17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</row>
    <row r="4588">
      <c r="A4588" s="10">
        <v>3.0</v>
      </c>
      <c r="B4588" s="23" t="s">
        <v>14</v>
      </c>
      <c r="C4588" s="17"/>
      <c r="D4588" s="17"/>
      <c r="E4588" s="17"/>
      <c r="F4588" s="17"/>
      <c r="G4588" s="24">
        <f t="shared" si="305"/>
        <v>0</v>
      </c>
      <c r="H4588" s="17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</row>
    <row r="4589">
      <c r="A4589" s="25" t="s">
        <v>15</v>
      </c>
      <c r="B4589" s="2"/>
      <c r="C4589" s="2"/>
      <c r="D4589" s="2"/>
      <c r="E4589" s="2"/>
      <c r="F4589" s="2"/>
      <c r="G4589" s="3"/>
      <c r="H4589" s="26">
        <f>SUM(G4586:G4588)</f>
        <v>1134840</v>
      </c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</row>
    <row r="4590">
      <c r="A4590" s="25" t="s">
        <v>16</v>
      </c>
      <c r="B4590" s="2"/>
      <c r="C4590" s="2"/>
      <c r="D4590" s="2"/>
      <c r="E4590" s="2"/>
      <c r="F4590" s="2"/>
      <c r="G4590" s="3"/>
      <c r="H4590" s="26">
        <f>MAX(0,H4589-648000)</f>
        <v>486840</v>
      </c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</row>
    <row r="4591">
      <c r="A4591" s="27" t="s">
        <v>17</v>
      </c>
      <c r="B4591" s="2"/>
      <c r="C4591" s="2"/>
      <c r="D4591" s="2"/>
      <c r="E4591" s="2"/>
      <c r="F4591" s="2"/>
      <c r="G4591" s="3"/>
      <c r="H4591" s="28">
        <v>649000.0</v>
      </c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</row>
    <row r="4592">
      <c r="A4592" s="1" t="s">
        <v>18</v>
      </c>
      <c r="B4592" s="2"/>
      <c r="C4592" s="2"/>
      <c r="D4592" s="2"/>
      <c r="E4592" s="2"/>
      <c r="F4592" s="2"/>
      <c r="G4592" s="2"/>
      <c r="H4592" s="3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</row>
    <row r="4598" ht="29.25" customHeight="1">
      <c r="A4598" s="1" t="s">
        <v>0</v>
      </c>
      <c r="B4598" s="2"/>
      <c r="C4598" s="2"/>
      <c r="D4598" s="2"/>
      <c r="E4598" s="2"/>
      <c r="F4598" s="2"/>
      <c r="G4598" s="2"/>
      <c r="H4598" s="3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</row>
    <row r="4599">
      <c r="A4599" s="6" t="s">
        <v>1059</v>
      </c>
      <c r="B4599" s="2"/>
      <c r="C4599" s="2"/>
      <c r="D4599" s="2"/>
      <c r="E4599" s="2"/>
      <c r="F4599" s="2"/>
      <c r="G4599" s="2"/>
      <c r="H4599" s="3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</row>
    <row r="4600">
      <c r="A4600" s="7" t="s">
        <v>2</v>
      </c>
      <c r="B4600" s="7" t="s">
        <v>3</v>
      </c>
      <c r="C4600" s="7" t="s">
        <v>4</v>
      </c>
      <c r="D4600" s="7" t="s">
        <v>5</v>
      </c>
      <c r="E4600" s="7" t="s">
        <v>6</v>
      </c>
      <c r="F4600" s="8" t="s">
        <v>7</v>
      </c>
      <c r="G4600" s="7" t="s">
        <v>8</v>
      </c>
      <c r="H4600" s="9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</row>
    <row r="4601">
      <c r="A4601" s="10">
        <v>1.0</v>
      </c>
      <c r="B4601" s="33" t="s">
        <v>1034</v>
      </c>
      <c r="C4601" s="34" t="s">
        <v>114</v>
      </c>
      <c r="D4601" s="13" t="s">
        <v>11</v>
      </c>
      <c r="E4601" s="35">
        <v>3.0</v>
      </c>
      <c r="F4601" s="15">
        <v>293000.0</v>
      </c>
      <c r="G4601" s="16">
        <f t="shared" ref="G4601:G4603" si="306">IFERROR(E4601*F4601,0)</f>
        <v>879000</v>
      </c>
      <c r="H4601" s="17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</row>
    <row r="4602">
      <c r="A4602" s="10">
        <v>2.0</v>
      </c>
      <c r="B4602" s="36" t="s">
        <v>22</v>
      </c>
      <c r="C4602" s="37" t="s">
        <v>1060</v>
      </c>
      <c r="D4602" s="20" t="s">
        <v>13</v>
      </c>
      <c r="E4602" s="38">
        <v>0.44</v>
      </c>
      <c r="F4602" s="22">
        <v>435000.0</v>
      </c>
      <c r="G4602" s="16">
        <f t="shared" si="306"/>
        <v>191400</v>
      </c>
      <c r="H4602" s="17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</row>
    <row r="4603">
      <c r="A4603" s="10">
        <v>3.0</v>
      </c>
      <c r="B4603" s="23" t="s">
        <v>14</v>
      </c>
      <c r="C4603" s="17"/>
      <c r="D4603" s="17"/>
      <c r="E4603" s="17"/>
      <c r="F4603" s="17"/>
      <c r="G4603" s="24">
        <f t="shared" si="306"/>
        <v>0</v>
      </c>
      <c r="H4603" s="17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</row>
    <row r="4604">
      <c r="A4604" s="25" t="s">
        <v>15</v>
      </c>
      <c r="B4604" s="2"/>
      <c r="C4604" s="2"/>
      <c r="D4604" s="2"/>
      <c r="E4604" s="2"/>
      <c r="F4604" s="2"/>
      <c r="G4604" s="3"/>
      <c r="H4604" s="26">
        <f>SUM(G4601:G4603)</f>
        <v>1070400</v>
      </c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</row>
    <row r="4605">
      <c r="A4605" s="25" t="s">
        <v>16</v>
      </c>
      <c r="B4605" s="2"/>
      <c r="C4605" s="2"/>
      <c r="D4605" s="2"/>
      <c r="E4605" s="2"/>
      <c r="F4605" s="2"/>
      <c r="G4605" s="3"/>
      <c r="H4605" s="26">
        <f>MAX(0,H4604-648000)</f>
        <v>422400</v>
      </c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</row>
    <row r="4606">
      <c r="A4606" s="27" t="s">
        <v>17</v>
      </c>
      <c r="B4606" s="2"/>
      <c r="C4606" s="2"/>
      <c r="D4606" s="2"/>
      <c r="E4606" s="2"/>
      <c r="F4606" s="2"/>
      <c r="G4606" s="3"/>
      <c r="H4606" s="28">
        <v>649000.0</v>
      </c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</row>
    <row r="4607">
      <c r="A4607" s="1" t="s">
        <v>18</v>
      </c>
      <c r="B4607" s="2"/>
      <c r="C4607" s="2"/>
      <c r="D4607" s="2"/>
      <c r="E4607" s="2"/>
      <c r="F4607" s="2"/>
      <c r="G4607" s="2"/>
      <c r="H4607" s="3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</row>
    <row r="4614" ht="29.25" customHeight="1">
      <c r="A4614" s="1" t="s">
        <v>0</v>
      </c>
      <c r="B4614" s="2"/>
      <c r="C4614" s="2"/>
      <c r="D4614" s="2"/>
      <c r="E4614" s="2"/>
      <c r="F4614" s="2"/>
      <c r="G4614" s="2"/>
      <c r="H4614" s="3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</row>
    <row r="4615">
      <c r="A4615" s="6" t="s">
        <v>1061</v>
      </c>
      <c r="B4615" s="2"/>
      <c r="C4615" s="2"/>
      <c r="D4615" s="2"/>
      <c r="E4615" s="2"/>
      <c r="F4615" s="2"/>
      <c r="G4615" s="2"/>
      <c r="H4615" s="3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</row>
    <row r="4616">
      <c r="A4616" s="7" t="s">
        <v>2</v>
      </c>
      <c r="B4616" s="7" t="s">
        <v>3</v>
      </c>
      <c r="C4616" s="7" t="s">
        <v>4</v>
      </c>
      <c r="D4616" s="7" t="s">
        <v>5</v>
      </c>
      <c r="E4616" s="7" t="s">
        <v>6</v>
      </c>
      <c r="F4616" s="8" t="s">
        <v>7</v>
      </c>
      <c r="G4616" s="7" t="s">
        <v>8</v>
      </c>
      <c r="H4616" s="9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</row>
    <row r="4617">
      <c r="A4617" s="10">
        <v>1.0</v>
      </c>
      <c r="B4617" s="33" t="s">
        <v>776</v>
      </c>
      <c r="C4617" s="34" t="s">
        <v>777</v>
      </c>
      <c r="D4617" s="13" t="s">
        <v>11</v>
      </c>
      <c r="E4617" s="35">
        <v>2.06</v>
      </c>
      <c r="F4617" s="15">
        <v>293000.0</v>
      </c>
      <c r="G4617" s="16">
        <f t="shared" ref="G4617:G4619" si="307">IFERROR(E4617*F4617,0)</f>
        <v>603580</v>
      </c>
      <c r="H4617" s="17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</row>
    <row r="4618">
      <c r="A4618" s="10">
        <v>2.0</v>
      </c>
      <c r="B4618" s="36" t="s">
        <v>12</v>
      </c>
      <c r="C4618" s="37" t="s">
        <v>1062</v>
      </c>
      <c r="D4618" s="20" t="s">
        <v>13</v>
      </c>
      <c r="E4618" s="38">
        <v>1.48</v>
      </c>
      <c r="F4618" s="22">
        <v>435000.0</v>
      </c>
      <c r="G4618" s="16">
        <f t="shared" si="307"/>
        <v>643800</v>
      </c>
      <c r="H4618" s="17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</row>
    <row r="4619">
      <c r="A4619" s="10">
        <v>3.0</v>
      </c>
      <c r="B4619" s="23" t="s">
        <v>14</v>
      </c>
      <c r="C4619" s="17"/>
      <c r="D4619" s="17"/>
      <c r="E4619" s="17"/>
      <c r="F4619" s="17"/>
      <c r="G4619" s="24">
        <f t="shared" si="307"/>
        <v>0</v>
      </c>
      <c r="H4619" s="17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</row>
    <row r="4620">
      <c r="A4620" s="25" t="s">
        <v>15</v>
      </c>
      <c r="B4620" s="2"/>
      <c r="C4620" s="2"/>
      <c r="D4620" s="2"/>
      <c r="E4620" s="2"/>
      <c r="F4620" s="2"/>
      <c r="G4620" s="3"/>
      <c r="H4620" s="26">
        <f>SUM(G4617:G4619)</f>
        <v>1247380</v>
      </c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</row>
    <row r="4621">
      <c r="A4621" s="25" t="s">
        <v>16</v>
      </c>
      <c r="B4621" s="2"/>
      <c r="C4621" s="2"/>
      <c r="D4621" s="2"/>
      <c r="E4621" s="2"/>
      <c r="F4621" s="2"/>
      <c r="G4621" s="3"/>
      <c r="H4621" s="26">
        <f>MAX(0,H4620-648000)</f>
        <v>599380</v>
      </c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</row>
    <row r="4622">
      <c r="A4622" s="27" t="s">
        <v>17</v>
      </c>
      <c r="B4622" s="2"/>
      <c r="C4622" s="2"/>
      <c r="D4622" s="2"/>
      <c r="E4622" s="2"/>
      <c r="F4622" s="2"/>
      <c r="G4622" s="3"/>
      <c r="H4622" s="28">
        <v>649000.0</v>
      </c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</row>
    <row r="4623">
      <c r="A4623" s="1" t="s">
        <v>18</v>
      </c>
      <c r="B4623" s="2"/>
      <c r="C4623" s="2"/>
      <c r="D4623" s="2"/>
      <c r="E4623" s="2"/>
      <c r="F4623" s="2"/>
      <c r="G4623" s="2"/>
      <c r="H4623" s="3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</row>
    <row r="4629" ht="29.25" customHeight="1">
      <c r="A4629" s="1" t="s">
        <v>0</v>
      </c>
      <c r="B4629" s="2"/>
      <c r="C4629" s="2"/>
      <c r="D4629" s="2"/>
      <c r="E4629" s="2"/>
      <c r="F4629" s="2"/>
      <c r="G4629" s="2"/>
      <c r="H4629" s="3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</row>
    <row r="4630">
      <c r="A4630" s="6" t="s">
        <v>1063</v>
      </c>
      <c r="B4630" s="2"/>
      <c r="C4630" s="2"/>
      <c r="D4630" s="2"/>
      <c r="E4630" s="2"/>
      <c r="F4630" s="2"/>
      <c r="G4630" s="2"/>
      <c r="H4630" s="3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</row>
    <row r="4631">
      <c r="A4631" s="7" t="s">
        <v>2</v>
      </c>
      <c r="B4631" s="7" t="s">
        <v>3</v>
      </c>
      <c r="C4631" s="7" t="s">
        <v>4</v>
      </c>
      <c r="D4631" s="7" t="s">
        <v>5</v>
      </c>
      <c r="E4631" s="7" t="s">
        <v>6</v>
      </c>
      <c r="F4631" s="8" t="s">
        <v>7</v>
      </c>
      <c r="G4631" s="7" t="s">
        <v>8</v>
      </c>
      <c r="H4631" s="9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</row>
    <row r="4632">
      <c r="A4632" s="10">
        <v>1.0</v>
      </c>
      <c r="B4632" s="33" t="s">
        <v>234</v>
      </c>
      <c r="C4632" s="34" t="s">
        <v>1064</v>
      </c>
      <c r="D4632" s="13" t="s">
        <v>11</v>
      </c>
      <c r="E4632" s="35">
        <v>1.0</v>
      </c>
      <c r="F4632" s="15">
        <v>293000.0</v>
      </c>
      <c r="G4632" s="16">
        <f t="shared" ref="G4632:G4634" si="308">IFERROR(E4632*F4632,0)</f>
        <v>293000</v>
      </c>
      <c r="H4632" s="17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</row>
    <row r="4633">
      <c r="A4633" s="10">
        <v>2.0</v>
      </c>
      <c r="B4633" s="36" t="s">
        <v>122</v>
      </c>
      <c r="C4633" s="37" t="s">
        <v>1065</v>
      </c>
      <c r="D4633" s="20" t="s">
        <v>13</v>
      </c>
      <c r="E4633" s="38">
        <v>2.5</v>
      </c>
      <c r="F4633" s="22">
        <v>435000.0</v>
      </c>
      <c r="G4633" s="16">
        <f t="shared" si="308"/>
        <v>1087500</v>
      </c>
      <c r="H4633" s="17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</row>
    <row r="4634">
      <c r="A4634" s="10">
        <v>3.0</v>
      </c>
      <c r="B4634" s="23" t="s">
        <v>14</v>
      </c>
      <c r="C4634" s="17"/>
      <c r="D4634" s="17"/>
      <c r="E4634" s="17"/>
      <c r="F4634" s="17"/>
      <c r="G4634" s="24">
        <f t="shared" si="308"/>
        <v>0</v>
      </c>
      <c r="H4634" s="17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</row>
    <row r="4635">
      <c r="A4635" s="25" t="s">
        <v>15</v>
      </c>
      <c r="B4635" s="2"/>
      <c r="C4635" s="2"/>
      <c r="D4635" s="2"/>
      <c r="E4635" s="2"/>
      <c r="F4635" s="2"/>
      <c r="G4635" s="3"/>
      <c r="H4635" s="26">
        <f>SUM(G4632:G4634)</f>
        <v>1380500</v>
      </c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</row>
    <row r="4636">
      <c r="A4636" s="25" t="s">
        <v>16</v>
      </c>
      <c r="B4636" s="2"/>
      <c r="C4636" s="2"/>
      <c r="D4636" s="2"/>
      <c r="E4636" s="2"/>
      <c r="F4636" s="2"/>
      <c r="G4636" s="3"/>
      <c r="H4636" s="26">
        <f>MAX(0,H4635-648000)</f>
        <v>732500</v>
      </c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</row>
    <row r="4637">
      <c r="A4637" s="27" t="s">
        <v>17</v>
      </c>
      <c r="B4637" s="2"/>
      <c r="C4637" s="2"/>
      <c r="D4637" s="2"/>
      <c r="E4637" s="2"/>
      <c r="F4637" s="2"/>
      <c r="G4637" s="3"/>
      <c r="H4637" s="28">
        <v>649000.0</v>
      </c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</row>
    <row r="4638">
      <c r="A4638" s="1" t="s">
        <v>18</v>
      </c>
      <c r="B4638" s="2"/>
      <c r="C4638" s="2"/>
      <c r="D4638" s="2"/>
      <c r="E4638" s="2"/>
      <c r="F4638" s="2"/>
      <c r="G4638" s="2"/>
      <c r="H4638" s="3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</row>
    <row r="4644" ht="29.25" customHeight="1">
      <c r="A4644" s="1" t="s">
        <v>0</v>
      </c>
      <c r="B4644" s="2"/>
      <c r="C4644" s="2"/>
      <c r="D4644" s="2"/>
      <c r="E4644" s="2"/>
      <c r="F4644" s="2"/>
      <c r="G4644" s="2"/>
      <c r="H4644" s="3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</row>
    <row r="4645">
      <c r="A4645" s="6" t="s">
        <v>1066</v>
      </c>
      <c r="B4645" s="2"/>
      <c r="C4645" s="2"/>
      <c r="D4645" s="2"/>
      <c r="E4645" s="2"/>
      <c r="F4645" s="2"/>
      <c r="G4645" s="2"/>
      <c r="H4645" s="3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</row>
    <row r="4646">
      <c r="A4646" s="7" t="s">
        <v>2</v>
      </c>
      <c r="B4646" s="7" t="s">
        <v>3</v>
      </c>
      <c r="C4646" s="7" t="s">
        <v>4</v>
      </c>
      <c r="D4646" s="7" t="s">
        <v>5</v>
      </c>
      <c r="E4646" s="7" t="s">
        <v>6</v>
      </c>
      <c r="F4646" s="8" t="s">
        <v>7</v>
      </c>
      <c r="G4646" s="7" t="s">
        <v>8</v>
      </c>
      <c r="H4646" s="9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</row>
    <row r="4647">
      <c r="A4647" s="10">
        <v>1.0</v>
      </c>
      <c r="B4647" s="33" t="s">
        <v>1067</v>
      </c>
      <c r="C4647" s="34" t="s">
        <v>1068</v>
      </c>
      <c r="D4647" s="13" t="s">
        <v>11</v>
      </c>
      <c r="E4647" s="35">
        <v>2.9</v>
      </c>
      <c r="F4647" s="15">
        <v>293000.0</v>
      </c>
      <c r="G4647" s="16">
        <f t="shared" ref="G4647:G4649" si="309">IFERROR(E4647*F4647,0)</f>
        <v>849700</v>
      </c>
      <c r="H4647" s="17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</row>
    <row r="4648">
      <c r="A4648" s="10">
        <v>2.0</v>
      </c>
      <c r="B4648" s="36" t="s">
        <v>88</v>
      </c>
      <c r="C4648" s="37" t="s">
        <v>166</v>
      </c>
      <c r="D4648" s="20" t="s">
        <v>13</v>
      </c>
      <c r="E4648" s="38">
        <v>0.55</v>
      </c>
      <c r="F4648" s="22">
        <v>435000.0</v>
      </c>
      <c r="G4648" s="16">
        <f t="shared" si="309"/>
        <v>239250</v>
      </c>
      <c r="H4648" s="17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</row>
    <row r="4649">
      <c r="A4649" s="10">
        <v>3.0</v>
      </c>
      <c r="B4649" s="23" t="s">
        <v>14</v>
      </c>
      <c r="C4649" s="17"/>
      <c r="D4649" s="17"/>
      <c r="E4649" s="17"/>
      <c r="F4649" s="17"/>
      <c r="G4649" s="24">
        <f t="shared" si="309"/>
        <v>0</v>
      </c>
      <c r="H4649" s="17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</row>
    <row r="4650">
      <c r="A4650" s="25" t="s">
        <v>15</v>
      </c>
      <c r="B4650" s="2"/>
      <c r="C4650" s="2"/>
      <c r="D4650" s="2"/>
      <c r="E4650" s="2"/>
      <c r="F4650" s="2"/>
      <c r="G4650" s="3"/>
      <c r="H4650" s="26">
        <f>SUM(G4647:G4649)</f>
        <v>1088950</v>
      </c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</row>
    <row r="4651">
      <c r="A4651" s="25" t="s">
        <v>16</v>
      </c>
      <c r="B4651" s="2"/>
      <c r="C4651" s="2"/>
      <c r="D4651" s="2"/>
      <c r="E4651" s="2"/>
      <c r="F4651" s="2"/>
      <c r="G4651" s="3"/>
      <c r="H4651" s="26">
        <f>MAX(0,H4650-648000)</f>
        <v>440950</v>
      </c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</row>
    <row r="4652">
      <c r="A4652" s="27" t="s">
        <v>17</v>
      </c>
      <c r="B4652" s="2"/>
      <c r="C4652" s="2"/>
      <c r="D4652" s="2"/>
      <c r="E4652" s="2"/>
      <c r="F4652" s="2"/>
      <c r="G4652" s="3"/>
      <c r="H4652" s="28">
        <v>649000.0</v>
      </c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</row>
    <row r="4653">
      <c r="A4653" s="1" t="s">
        <v>18</v>
      </c>
      <c r="B4653" s="2"/>
      <c r="C4653" s="2"/>
      <c r="D4653" s="2"/>
      <c r="E4653" s="2"/>
      <c r="F4653" s="2"/>
      <c r="G4653" s="2"/>
      <c r="H4653" s="3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</row>
    <row r="4659" ht="29.25" customHeight="1">
      <c r="A4659" s="1" t="s">
        <v>0</v>
      </c>
      <c r="B4659" s="2"/>
      <c r="C4659" s="2"/>
      <c r="D4659" s="2"/>
      <c r="E4659" s="2"/>
      <c r="F4659" s="2"/>
      <c r="G4659" s="2"/>
      <c r="H4659" s="3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</row>
    <row r="4660">
      <c r="A4660" s="6" t="s">
        <v>1069</v>
      </c>
      <c r="B4660" s="2"/>
      <c r="C4660" s="2"/>
      <c r="D4660" s="2"/>
      <c r="E4660" s="2"/>
      <c r="F4660" s="2"/>
      <c r="G4660" s="2"/>
      <c r="H4660" s="3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</row>
    <row r="4661">
      <c r="A4661" s="7" t="s">
        <v>2</v>
      </c>
      <c r="B4661" s="7" t="s">
        <v>3</v>
      </c>
      <c r="C4661" s="7" t="s">
        <v>4</v>
      </c>
      <c r="D4661" s="7" t="s">
        <v>5</v>
      </c>
      <c r="E4661" s="7" t="s">
        <v>6</v>
      </c>
      <c r="F4661" s="8" t="s">
        <v>7</v>
      </c>
      <c r="G4661" s="7" t="s">
        <v>8</v>
      </c>
      <c r="H4661" s="9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</row>
    <row r="4662">
      <c r="A4662" s="10">
        <v>1.0</v>
      </c>
      <c r="B4662" s="33" t="s">
        <v>298</v>
      </c>
      <c r="C4662" s="34" t="s">
        <v>1070</v>
      </c>
      <c r="D4662" s="13" t="s">
        <v>11</v>
      </c>
      <c r="E4662" s="35">
        <v>2.5</v>
      </c>
      <c r="F4662" s="15">
        <v>293000.0</v>
      </c>
      <c r="G4662" s="16">
        <f t="shared" ref="G4662:G4664" si="310">IFERROR(E4662*F4662,0)</f>
        <v>732500</v>
      </c>
      <c r="H4662" s="17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</row>
    <row r="4663">
      <c r="A4663" s="10">
        <v>2.0</v>
      </c>
      <c r="B4663" s="36" t="s">
        <v>218</v>
      </c>
      <c r="C4663" s="37" t="s">
        <v>1071</v>
      </c>
      <c r="D4663" s="20" t="s">
        <v>13</v>
      </c>
      <c r="E4663" s="38">
        <v>1.0</v>
      </c>
      <c r="F4663" s="22">
        <v>435000.0</v>
      </c>
      <c r="G4663" s="16">
        <f t="shared" si="310"/>
        <v>435000</v>
      </c>
      <c r="H4663" s="17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</row>
    <row r="4664">
      <c r="A4664" s="10">
        <v>3.0</v>
      </c>
      <c r="B4664" s="23" t="s">
        <v>14</v>
      </c>
      <c r="C4664" s="17"/>
      <c r="D4664" s="17"/>
      <c r="E4664" s="17"/>
      <c r="F4664" s="17"/>
      <c r="G4664" s="24">
        <f t="shared" si="310"/>
        <v>0</v>
      </c>
      <c r="H4664" s="17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</row>
    <row r="4665">
      <c r="A4665" s="25" t="s">
        <v>15</v>
      </c>
      <c r="B4665" s="2"/>
      <c r="C4665" s="2"/>
      <c r="D4665" s="2"/>
      <c r="E4665" s="2"/>
      <c r="F4665" s="2"/>
      <c r="G4665" s="3"/>
      <c r="H4665" s="26">
        <f>SUM(G4662:G4664)</f>
        <v>1167500</v>
      </c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</row>
    <row r="4666">
      <c r="A4666" s="25" t="s">
        <v>16</v>
      </c>
      <c r="B4666" s="2"/>
      <c r="C4666" s="2"/>
      <c r="D4666" s="2"/>
      <c r="E4666" s="2"/>
      <c r="F4666" s="2"/>
      <c r="G4666" s="3"/>
      <c r="H4666" s="26">
        <f>MAX(0,H4665-648000)</f>
        <v>519500</v>
      </c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</row>
    <row r="4667">
      <c r="A4667" s="27" t="s">
        <v>17</v>
      </c>
      <c r="B4667" s="2"/>
      <c r="C4667" s="2"/>
      <c r="D4667" s="2"/>
      <c r="E4667" s="2"/>
      <c r="F4667" s="2"/>
      <c r="G4667" s="3"/>
      <c r="H4667" s="28">
        <v>649000.0</v>
      </c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</row>
    <row r="4668">
      <c r="A4668" s="1" t="s">
        <v>18</v>
      </c>
      <c r="B4668" s="2"/>
      <c r="C4668" s="2"/>
      <c r="D4668" s="2"/>
      <c r="E4668" s="2"/>
      <c r="F4668" s="2"/>
      <c r="G4668" s="2"/>
      <c r="H4668" s="3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</row>
    <row r="4673" ht="29.25" customHeight="1">
      <c r="A4673" s="1" t="s">
        <v>0</v>
      </c>
      <c r="B4673" s="2"/>
      <c r="C4673" s="2"/>
      <c r="D4673" s="2"/>
      <c r="E4673" s="2"/>
      <c r="F4673" s="2"/>
      <c r="G4673" s="2"/>
      <c r="H4673" s="3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</row>
    <row r="4674">
      <c r="A4674" s="6" t="s">
        <v>1072</v>
      </c>
      <c r="B4674" s="2"/>
      <c r="C4674" s="2"/>
      <c r="D4674" s="2"/>
      <c r="E4674" s="2"/>
      <c r="F4674" s="2"/>
      <c r="G4674" s="2"/>
      <c r="H4674" s="3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</row>
    <row r="4675">
      <c r="A4675" s="7" t="s">
        <v>2</v>
      </c>
      <c r="B4675" s="7" t="s">
        <v>3</v>
      </c>
      <c r="C4675" s="7" t="s">
        <v>4</v>
      </c>
      <c r="D4675" s="7" t="s">
        <v>5</v>
      </c>
      <c r="E4675" s="7" t="s">
        <v>6</v>
      </c>
      <c r="F4675" s="8" t="s">
        <v>7</v>
      </c>
      <c r="G4675" s="7" t="s">
        <v>8</v>
      </c>
      <c r="H4675" s="9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</row>
    <row r="4676">
      <c r="A4676" s="10">
        <v>1.0</v>
      </c>
      <c r="B4676" s="33" t="s">
        <v>1073</v>
      </c>
      <c r="C4676" s="34" t="s">
        <v>1074</v>
      </c>
      <c r="D4676" s="13" t="s">
        <v>11</v>
      </c>
      <c r="E4676" s="35">
        <v>1.4</v>
      </c>
      <c r="F4676" s="15">
        <v>293000.0</v>
      </c>
      <c r="G4676" s="16">
        <f t="shared" ref="G4676:G4678" si="311">IFERROR(E4676*F4676,0)</f>
        <v>410200</v>
      </c>
      <c r="H4676" s="17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</row>
    <row r="4677">
      <c r="A4677" s="10">
        <v>2.0</v>
      </c>
      <c r="B4677" s="36" t="s">
        <v>34</v>
      </c>
      <c r="C4677" s="37" t="s">
        <v>10</v>
      </c>
      <c r="D4677" s="20" t="s">
        <v>13</v>
      </c>
      <c r="E4677" s="38">
        <v>2.0</v>
      </c>
      <c r="F4677" s="22">
        <v>435000.0</v>
      </c>
      <c r="G4677" s="16">
        <f t="shared" si="311"/>
        <v>870000</v>
      </c>
      <c r="H4677" s="17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</row>
    <row r="4678">
      <c r="A4678" s="10">
        <v>3.0</v>
      </c>
      <c r="B4678" s="23" t="s">
        <v>14</v>
      </c>
      <c r="C4678" s="17"/>
      <c r="D4678" s="17"/>
      <c r="E4678" s="17"/>
      <c r="F4678" s="17"/>
      <c r="G4678" s="24">
        <f t="shared" si="311"/>
        <v>0</v>
      </c>
      <c r="H4678" s="17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</row>
    <row r="4679">
      <c r="A4679" s="25" t="s">
        <v>15</v>
      </c>
      <c r="B4679" s="2"/>
      <c r="C4679" s="2"/>
      <c r="D4679" s="2"/>
      <c r="E4679" s="2"/>
      <c r="F4679" s="2"/>
      <c r="G4679" s="3"/>
      <c r="H4679" s="26">
        <f>SUM(G4676:G4678)</f>
        <v>1280200</v>
      </c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</row>
    <row r="4680">
      <c r="A4680" s="25" t="s">
        <v>16</v>
      </c>
      <c r="B4680" s="2"/>
      <c r="C4680" s="2"/>
      <c r="D4680" s="2"/>
      <c r="E4680" s="2"/>
      <c r="F4680" s="2"/>
      <c r="G4680" s="3"/>
      <c r="H4680" s="26">
        <f>MAX(0,H4679-648000)</f>
        <v>632200</v>
      </c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</row>
    <row r="4681">
      <c r="A4681" s="27" t="s">
        <v>17</v>
      </c>
      <c r="B4681" s="2"/>
      <c r="C4681" s="2"/>
      <c r="D4681" s="2"/>
      <c r="E4681" s="2"/>
      <c r="F4681" s="2"/>
      <c r="G4681" s="3"/>
      <c r="H4681" s="28">
        <v>649000.0</v>
      </c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</row>
    <row r="4682">
      <c r="A4682" s="1" t="s">
        <v>18</v>
      </c>
      <c r="B4682" s="2"/>
      <c r="C4682" s="2"/>
      <c r="D4682" s="2"/>
      <c r="E4682" s="2"/>
      <c r="F4682" s="2"/>
      <c r="G4682" s="2"/>
      <c r="H4682" s="3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</row>
    <row r="4687" ht="29.25" customHeight="1">
      <c r="A4687" s="1" t="s">
        <v>0</v>
      </c>
      <c r="B4687" s="2"/>
      <c r="C4687" s="2"/>
      <c r="D4687" s="2"/>
      <c r="E4687" s="2"/>
      <c r="F4687" s="2"/>
      <c r="G4687" s="2"/>
      <c r="H4687" s="3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</row>
    <row r="4688">
      <c r="A4688" s="6" t="s">
        <v>1075</v>
      </c>
      <c r="B4688" s="2"/>
      <c r="C4688" s="2"/>
      <c r="D4688" s="2"/>
      <c r="E4688" s="2"/>
      <c r="F4688" s="2"/>
      <c r="G4688" s="2"/>
      <c r="H4688" s="3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</row>
    <row r="4689">
      <c r="A4689" s="7" t="s">
        <v>2</v>
      </c>
      <c r="B4689" s="7" t="s">
        <v>3</v>
      </c>
      <c r="C4689" s="7" t="s">
        <v>4</v>
      </c>
      <c r="D4689" s="7" t="s">
        <v>5</v>
      </c>
      <c r="E4689" s="7" t="s">
        <v>6</v>
      </c>
      <c r="F4689" s="8" t="s">
        <v>7</v>
      </c>
      <c r="G4689" s="7" t="s">
        <v>8</v>
      </c>
      <c r="H4689" s="9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</row>
    <row r="4690">
      <c r="A4690" s="10">
        <v>1.0</v>
      </c>
      <c r="B4690" s="33" t="s">
        <v>383</v>
      </c>
      <c r="C4690" s="34" t="s">
        <v>1076</v>
      </c>
      <c r="D4690" s="13" t="s">
        <v>11</v>
      </c>
      <c r="E4690" s="35">
        <v>1.5</v>
      </c>
      <c r="F4690" s="15">
        <v>293000.0</v>
      </c>
      <c r="G4690" s="16">
        <f t="shared" ref="G4690:G4692" si="312">IFERROR(E4690*F4690,0)</f>
        <v>439500</v>
      </c>
      <c r="H4690" s="17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</row>
    <row r="4691">
      <c r="A4691" s="10">
        <v>2.0</v>
      </c>
      <c r="B4691" s="36" t="s">
        <v>12</v>
      </c>
      <c r="C4691" s="37" t="s">
        <v>1077</v>
      </c>
      <c r="D4691" s="20" t="s">
        <v>13</v>
      </c>
      <c r="E4691" s="38">
        <v>2.0</v>
      </c>
      <c r="F4691" s="22">
        <v>435000.0</v>
      </c>
      <c r="G4691" s="16">
        <f t="shared" si="312"/>
        <v>870000</v>
      </c>
      <c r="H4691" s="17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</row>
    <row r="4692">
      <c r="A4692" s="10">
        <v>3.0</v>
      </c>
      <c r="B4692" s="23" t="s">
        <v>14</v>
      </c>
      <c r="C4692" s="17"/>
      <c r="D4692" s="17"/>
      <c r="E4692" s="17"/>
      <c r="F4692" s="17"/>
      <c r="G4692" s="24">
        <f t="shared" si="312"/>
        <v>0</v>
      </c>
      <c r="H4692" s="17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</row>
    <row r="4693">
      <c r="A4693" s="25" t="s">
        <v>15</v>
      </c>
      <c r="B4693" s="2"/>
      <c r="C4693" s="2"/>
      <c r="D4693" s="2"/>
      <c r="E4693" s="2"/>
      <c r="F4693" s="2"/>
      <c r="G4693" s="3"/>
      <c r="H4693" s="26">
        <f>SUM(G4690:G4692)</f>
        <v>1309500</v>
      </c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</row>
    <row r="4694">
      <c r="A4694" s="25" t="s">
        <v>16</v>
      </c>
      <c r="B4694" s="2"/>
      <c r="C4694" s="2"/>
      <c r="D4694" s="2"/>
      <c r="E4694" s="2"/>
      <c r="F4694" s="2"/>
      <c r="G4694" s="3"/>
      <c r="H4694" s="26">
        <f>MAX(0,H4693-648000)</f>
        <v>661500</v>
      </c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</row>
    <row r="4695">
      <c r="A4695" s="27" t="s">
        <v>17</v>
      </c>
      <c r="B4695" s="2"/>
      <c r="C4695" s="2"/>
      <c r="D4695" s="2"/>
      <c r="E4695" s="2"/>
      <c r="F4695" s="2"/>
      <c r="G4695" s="3"/>
      <c r="H4695" s="28">
        <v>649000.0</v>
      </c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</row>
    <row r="4696">
      <c r="A4696" s="1" t="s">
        <v>18</v>
      </c>
      <c r="B4696" s="2"/>
      <c r="C4696" s="2"/>
      <c r="D4696" s="2"/>
      <c r="E4696" s="2"/>
      <c r="F4696" s="2"/>
      <c r="G4696" s="2"/>
      <c r="H4696" s="3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</row>
    <row r="4702" ht="29.25" customHeight="1">
      <c r="A4702" s="1" t="s">
        <v>0</v>
      </c>
      <c r="B4702" s="2"/>
      <c r="C4702" s="2"/>
      <c r="D4702" s="2"/>
      <c r="E4702" s="2"/>
      <c r="F4702" s="2"/>
      <c r="G4702" s="2"/>
      <c r="H4702" s="3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</row>
    <row r="4703">
      <c r="A4703" s="6" t="s">
        <v>1078</v>
      </c>
      <c r="B4703" s="2"/>
      <c r="C4703" s="2"/>
      <c r="D4703" s="2"/>
      <c r="E4703" s="2"/>
      <c r="F4703" s="2"/>
      <c r="G4703" s="2"/>
      <c r="H4703" s="3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</row>
    <row r="4704">
      <c r="A4704" s="7" t="s">
        <v>2</v>
      </c>
      <c r="B4704" s="7" t="s">
        <v>3</v>
      </c>
      <c r="C4704" s="7" t="s">
        <v>4</v>
      </c>
      <c r="D4704" s="7" t="s">
        <v>5</v>
      </c>
      <c r="E4704" s="7" t="s">
        <v>6</v>
      </c>
      <c r="F4704" s="8" t="s">
        <v>7</v>
      </c>
      <c r="G4704" s="7" t="s">
        <v>8</v>
      </c>
      <c r="H4704" s="9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</row>
    <row r="4705">
      <c r="A4705" s="10">
        <v>1.0</v>
      </c>
      <c r="B4705" s="33" t="s">
        <v>1079</v>
      </c>
      <c r="C4705" s="34" t="s">
        <v>1080</v>
      </c>
      <c r="D4705" s="13" t="s">
        <v>11</v>
      </c>
      <c r="E4705" s="35">
        <v>2.2</v>
      </c>
      <c r="F4705" s="15">
        <v>293000.0</v>
      </c>
      <c r="G4705" s="16">
        <f t="shared" ref="G4705:G4707" si="313">IFERROR(E4705*F4705,0)</f>
        <v>644600</v>
      </c>
      <c r="H4705" s="17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</row>
    <row r="4706">
      <c r="A4706" s="10">
        <v>2.0</v>
      </c>
      <c r="B4706" s="36" t="s">
        <v>12</v>
      </c>
      <c r="C4706" s="37" t="s">
        <v>1081</v>
      </c>
      <c r="D4706" s="20" t="s">
        <v>13</v>
      </c>
      <c r="E4706" s="38">
        <v>1.47</v>
      </c>
      <c r="F4706" s="22">
        <v>435000.0</v>
      </c>
      <c r="G4706" s="16">
        <f t="shared" si="313"/>
        <v>639450</v>
      </c>
      <c r="H4706" s="17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</row>
    <row r="4707">
      <c r="A4707" s="10">
        <v>3.0</v>
      </c>
      <c r="B4707" s="23" t="s">
        <v>14</v>
      </c>
      <c r="C4707" s="17"/>
      <c r="D4707" s="17"/>
      <c r="E4707" s="17"/>
      <c r="F4707" s="17"/>
      <c r="G4707" s="24">
        <f t="shared" si="313"/>
        <v>0</v>
      </c>
      <c r="H4707" s="17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</row>
    <row r="4708">
      <c r="A4708" s="25" t="s">
        <v>15</v>
      </c>
      <c r="B4708" s="2"/>
      <c r="C4708" s="2"/>
      <c r="D4708" s="2"/>
      <c r="E4708" s="2"/>
      <c r="F4708" s="2"/>
      <c r="G4708" s="3"/>
      <c r="H4708" s="26">
        <f>SUM(G4705:G4707)</f>
        <v>1284050</v>
      </c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</row>
    <row r="4709">
      <c r="A4709" s="25" t="s">
        <v>16</v>
      </c>
      <c r="B4709" s="2"/>
      <c r="C4709" s="2"/>
      <c r="D4709" s="2"/>
      <c r="E4709" s="2"/>
      <c r="F4709" s="2"/>
      <c r="G4709" s="3"/>
      <c r="H4709" s="26">
        <f>MAX(0,H4708-648000)</f>
        <v>636050</v>
      </c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</row>
    <row r="4710">
      <c r="A4710" s="27" t="s">
        <v>17</v>
      </c>
      <c r="B4710" s="2"/>
      <c r="C4710" s="2"/>
      <c r="D4710" s="2"/>
      <c r="E4710" s="2"/>
      <c r="F4710" s="2"/>
      <c r="G4710" s="3"/>
      <c r="H4710" s="28">
        <v>649000.0</v>
      </c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</row>
    <row r="4711">
      <c r="A4711" s="1" t="s">
        <v>18</v>
      </c>
      <c r="B4711" s="2"/>
      <c r="C4711" s="2"/>
      <c r="D4711" s="2"/>
      <c r="E4711" s="2"/>
      <c r="F4711" s="2"/>
      <c r="G4711" s="2"/>
      <c r="H4711" s="3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</row>
    <row r="4718" ht="29.25" customHeight="1">
      <c r="A4718" s="1" t="s">
        <v>0</v>
      </c>
      <c r="B4718" s="2"/>
      <c r="C4718" s="2"/>
      <c r="D4718" s="2"/>
      <c r="E4718" s="2"/>
      <c r="F4718" s="2"/>
      <c r="G4718" s="2"/>
      <c r="H4718" s="3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</row>
    <row r="4719">
      <c r="A4719" s="6" t="s">
        <v>1082</v>
      </c>
      <c r="B4719" s="2"/>
      <c r="C4719" s="2"/>
      <c r="D4719" s="2"/>
      <c r="E4719" s="2"/>
      <c r="F4719" s="2"/>
      <c r="G4719" s="2"/>
      <c r="H4719" s="3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</row>
    <row r="4720">
      <c r="A4720" s="7" t="s">
        <v>2</v>
      </c>
      <c r="B4720" s="7" t="s">
        <v>3</v>
      </c>
      <c r="C4720" s="7" t="s">
        <v>4</v>
      </c>
      <c r="D4720" s="7" t="s">
        <v>5</v>
      </c>
      <c r="E4720" s="7" t="s">
        <v>6</v>
      </c>
      <c r="F4720" s="8" t="s">
        <v>7</v>
      </c>
      <c r="G4720" s="7" t="s">
        <v>8</v>
      </c>
      <c r="H4720" s="9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</row>
    <row r="4721">
      <c r="A4721" s="10">
        <v>1.0</v>
      </c>
      <c r="B4721" s="33" t="s">
        <v>763</v>
      </c>
      <c r="C4721" s="34" t="s">
        <v>1083</v>
      </c>
      <c r="D4721" s="13" t="s">
        <v>11</v>
      </c>
      <c r="E4721" s="35">
        <v>0.79</v>
      </c>
      <c r="F4721" s="15">
        <v>293000.0</v>
      </c>
      <c r="G4721" s="16">
        <f t="shared" ref="G4721:G4723" si="314">IFERROR(E4721*F4721,0)</f>
        <v>231470</v>
      </c>
      <c r="H4721" s="17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</row>
    <row r="4722">
      <c r="A4722" s="10">
        <v>2.0</v>
      </c>
      <c r="B4722" s="36" t="s">
        <v>22</v>
      </c>
      <c r="C4722" s="37" t="s">
        <v>551</v>
      </c>
      <c r="D4722" s="20" t="s">
        <v>13</v>
      </c>
      <c r="E4722" s="38">
        <v>2.7</v>
      </c>
      <c r="F4722" s="22">
        <v>435000.0</v>
      </c>
      <c r="G4722" s="16">
        <f t="shared" si="314"/>
        <v>1174500</v>
      </c>
      <c r="H4722" s="17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</row>
    <row r="4723">
      <c r="A4723" s="10">
        <v>3.0</v>
      </c>
      <c r="B4723" s="23" t="s">
        <v>14</v>
      </c>
      <c r="C4723" s="17"/>
      <c r="D4723" s="17"/>
      <c r="E4723" s="17"/>
      <c r="F4723" s="17"/>
      <c r="G4723" s="24">
        <f t="shared" si="314"/>
        <v>0</v>
      </c>
      <c r="H4723" s="17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</row>
    <row r="4724">
      <c r="A4724" s="25" t="s">
        <v>15</v>
      </c>
      <c r="B4724" s="2"/>
      <c r="C4724" s="2"/>
      <c r="D4724" s="2"/>
      <c r="E4724" s="2"/>
      <c r="F4724" s="2"/>
      <c r="G4724" s="3"/>
      <c r="H4724" s="26">
        <f>SUM(G4721:G4723)</f>
        <v>1405970</v>
      </c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</row>
    <row r="4725">
      <c r="A4725" s="25" t="s">
        <v>16</v>
      </c>
      <c r="B4725" s="2"/>
      <c r="C4725" s="2"/>
      <c r="D4725" s="2"/>
      <c r="E4725" s="2"/>
      <c r="F4725" s="2"/>
      <c r="G4725" s="3"/>
      <c r="H4725" s="26">
        <f>MAX(0,H4724-648000)</f>
        <v>757970</v>
      </c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</row>
    <row r="4726">
      <c r="A4726" s="27" t="s">
        <v>17</v>
      </c>
      <c r="B4726" s="2"/>
      <c r="C4726" s="2"/>
      <c r="D4726" s="2"/>
      <c r="E4726" s="2"/>
      <c r="F4726" s="2"/>
      <c r="G4726" s="3"/>
      <c r="H4726" s="28">
        <v>649000.0</v>
      </c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</row>
    <row r="4727">
      <c r="A4727" s="1" t="s">
        <v>18</v>
      </c>
      <c r="B4727" s="2"/>
      <c r="C4727" s="2"/>
      <c r="D4727" s="2"/>
      <c r="E4727" s="2"/>
      <c r="F4727" s="2"/>
      <c r="G4727" s="2"/>
      <c r="H4727" s="3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</row>
    <row r="4734" ht="29.25" customHeight="1">
      <c r="A4734" s="1" t="s">
        <v>0</v>
      </c>
      <c r="B4734" s="2"/>
      <c r="C4734" s="2"/>
      <c r="D4734" s="2"/>
      <c r="E4734" s="2"/>
      <c r="F4734" s="2"/>
      <c r="G4734" s="2"/>
      <c r="H4734" s="3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</row>
    <row r="4735">
      <c r="A4735" s="6" t="s">
        <v>1084</v>
      </c>
      <c r="B4735" s="2"/>
      <c r="C4735" s="2"/>
      <c r="D4735" s="2"/>
      <c r="E4735" s="2"/>
      <c r="F4735" s="2"/>
      <c r="G4735" s="2"/>
      <c r="H4735" s="3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</row>
    <row r="4736">
      <c r="A4736" s="7" t="s">
        <v>2</v>
      </c>
      <c r="B4736" s="7" t="s">
        <v>3</v>
      </c>
      <c r="C4736" s="7" t="s">
        <v>4</v>
      </c>
      <c r="D4736" s="7" t="s">
        <v>5</v>
      </c>
      <c r="E4736" s="7" t="s">
        <v>6</v>
      </c>
      <c r="F4736" s="8" t="s">
        <v>7</v>
      </c>
      <c r="G4736" s="7" t="s">
        <v>8</v>
      </c>
      <c r="H4736" s="9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</row>
    <row r="4737">
      <c r="A4737" s="10">
        <v>1.0</v>
      </c>
      <c r="B4737" s="33" t="s">
        <v>27</v>
      </c>
      <c r="C4737" s="34" t="s">
        <v>1085</v>
      </c>
      <c r="D4737" s="13" t="s">
        <v>11</v>
      </c>
      <c r="E4737" s="35">
        <v>1.83</v>
      </c>
      <c r="F4737" s="15">
        <v>293000.0</v>
      </c>
      <c r="G4737" s="16">
        <f t="shared" ref="G4737:G4739" si="315">IFERROR(E4737*F4737,0)</f>
        <v>536190</v>
      </c>
      <c r="H4737" s="17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</row>
    <row r="4738">
      <c r="A4738" s="10">
        <v>2.0</v>
      </c>
      <c r="B4738" s="36" t="s">
        <v>12</v>
      </c>
      <c r="C4738" s="37" t="s">
        <v>1086</v>
      </c>
      <c r="D4738" s="20" t="s">
        <v>13</v>
      </c>
      <c r="E4738" s="38">
        <v>1.45</v>
      </c>
      <c r="F4738" s="22">
        <v>435000.0</v>
      </c>
      <c r="G4738" s="16">
        <f t="shared" si="315"/>
        <v>630750</v>
      </c>
      <c r="H4738" s="17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</row>
    <row r="4739">
      <c r="A4739" s="10">
        <v>3.0</v>
      </c>
      <c r="B4739" s="23" t="s">
        <v>14</v>
      </c>
      <c r="C4739" s="17"/>
      <c r="D4739" s="17"/>
      <c r="E4739" s="17"/>
      <c r="F4739" s="17"/>
      <c r="G4739" s="24">
        <f t="shared" si="315"/>
        <v>0</v>
      </c>
      <c r="H4739" s="17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</row>
    <row r="4740">
      <c r="A4740" s="25" t="s">
        <v>15</v>
      </c>
      <c r="B4740" s="2"/>
      <c r="C4740" s="2"/>
      <c r="D4740" s="2"/>
      <c r="E4740" s="2"/>
      <c r="F4740" s="2"/>
      <c r="G4740" s="3"/>
      <c r="H4740" s="26">
        <f>SUM(G4737:G4739)</f>
        <v>1166940</v>
      </c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</row>
    <row r="4741">
      <c r="A4741" s="25" t="s">
        <v>16</v>
      </c>
      <c r="B4741" s="2"/>
      <c r="C4741" s="2"/>
      <c r="D4741" s="2"/>
      <c r="E4741" s="2"/>
      <c r="F4741" s="2"/>
      <c r="G4741" s="3"/>
      <c r="H4741" s="26">
        <f>MAX(0,H4740-648000)</f>
        <v>518940</v>
      </c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</row>
    <row r="4742">
      <c r="A4742" s="27" t="s">
        <v>17</v>
      </c>
      <c r="B4742" s="2"/>
      <c r="C4742" s="2"/>
      <c r="D4742" s="2"/>
      <c r="E4742" s="2"/>
      <c r="F4742" s="2"/>
      <c r="G4742" s="3"/>
      <c r="H4742" s="28">
        <v>649000.0</v>
      </c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</row>
    <row r="4743">
      <c r="A4743" s="1" t="s">
        <v>18</v>
      </c>
      <c r="B4743" s="2"/>
      <c r="C4743" s="2"/>
      <c r="D4743" s="2"/>
      <c r="E4743" s="2"/>
      <c r="F4743" s="2"/>
      <c r="G4743" s="2"/>
      <c r="H4743" s="3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</row>
    <row r="4751" ht="29.25" customHeight="1">
      <c r="A4751" s="1" t="s">
        <v>0</v>
      </c>
      <c r="B4751" s="2"/>
      <c r="C4751" s="2"/>
      <c r="D4751" s="2"/>
      <c r="E4751" s="2"/>
      <c r="F4751" s="2"/>
      <c r="G4751" s="2"/>
      <c r="H4751" s="3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</row>
    <row r="4752">
      <c r="A4752" s="6" t="s">
        <v>1087</v>
      </c>
      <c r="B4752" s="2"/>
      <c r="C4752" s="2"/>
      <c r="D4752" s="2"/>
      <c r="E4752" s="2"/>
      <c r="F4752" s="2"/>
      <c r="G4752" s="2"/>
      <c r="H4752" s="3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</row>
    <row r="4753">
      <c r="A4753" s="7" t="s">
        <v>2</v>
      </c>
      <c r="B4753" s="7" t="s">
        <v>3</v>
      </c>
      <c r="C4753" s="7" t="s">
        <v>4</v>
      </c>
      <c r="D4753" s="7" t="s">
        <v>5</v>
      </c>
      <c r="E4753" s="7" t="s">
        <v>6</v>
      </c>
      <c r="F4753" s="8" t="s">
        <v>7</v>
      </c>
      <c r="G4753" s="7" t="s">
        <v>8</v>
      </c>
      <c r="H4753" s="9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</row>
    <row r="4754">
      <c r="A4754" s="10">
        <v>1.0</v>
      </c>
      <c r="B4754" s="33" t="s">
        <v>950</v>
      </c>
      <c r="C4754" s="34" t="s">
        <v>1088</v>
      </c>
      <c r="D4754" s="13" t="s">
        <v>11</v>
      </c>
      <c r="E4754" s="35">
        <v>2.36</v>
      </c>
      <c r="F4754" s="15">
        <v>293000.0</v>
      </c>
      <c r="G4754" s="16">
        <f t="shared" ref="G4754:G4756" si="316">IFERROR(E4754*F4754,0)</f>
        <v>691480</v>
      </c>
      <c r="H4754" s="17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</row>
    <row r="4755">
      <c r="A4755" s="10">
        <v>2.0</v>
      </c>
      <c r="B4755" s="36" t="s">
        <v>391</v>
      </c>
      <c r="C4755" s="37" t="s">
        <v>1089</v>
      </c>
      <c r="D4755" s="20" t="s">
        <v>13</v>
      </c>
      <c r="E4755" s="38">
        <v>1.2</v>
      </c>
      <c r="F4755" s="22">
        <v>435000.0</v>
      </c>
      <c r="G4755" s="16">
        <f t="shared" si="316"/>
        <v>522000</v>
      </c>
      <c r="H4755" s="17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</row>
    <row r="4756">
      <c r="A4756" s="10">
        <v>3.0</v>
      </c>
      <c r="B4756" s="23" t="s">
        <v>14</v>
      </c>
      <c r="C4756" s="17"/>
      <c r="D4756" s="17"/>
      <c r="E4756" s="17"/>
      <c r="F4756" s="17"/>
      <c r="G4756" s="24">
        <f t="shared" si="316"/>
        <v>0</v>
      </c>
      <c r="H4756" s="17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</row>
    <row r="4757">
      <c r="A4757" s="25" t="s">
        <v>15</v>
      </c>
      <c r="B4757" s="2"/>
      <c r="C4757" s="2"/>
      <c r="D4757" s="2"/>
      <c r="E4757" s="2"/>
      <c r="F4757" s="2"/>
      <c r="G4757" s="3"/>
      <c r="H4757" s="26">
        <f>SUM(G4754:G4756)</f>
        <v>1213480</v>
      </c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</row>
    <row r="4758">
      <c r="A4758" s="25" t="s">
        <v>16</v>
      </c>
      <c r="B4758" s="2"/>
      <c r="C4758" s="2"/>
      <c r="D4758" s="2"/>
      <c r="E4758" s="2"/>
      <c r="F4758" s="2"/>
      <c r="G4758" s="3"/>
      <c r="H4758" s="26">
        <f>MAX(0,H4757-648000)</f>
        <v>565480</v>
      </c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</row>
    <row r="4759">
      <c r="A4759" s="27" t="s">
        <v>17</v>
      </c>
      <c r="B4759" s="2"/>
      <c r="C4759" s="2"/>
      <c r="D4759" s="2"/>
      <c r="E4759" s="2"/>
      <c r="F4759" s="2"/>
      <c r="G4759" s="3"/>
      <c r="H4759" s="28">
        <v>649000.0</v>
      </c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</row>
    <row r="4760">
      <c r="A4760" s="1" t="s">
        <v>18</v>
      </c>
      <c r="B4760" s="2"/>
      <c r="C4760" s="2"/>
      <c r="D4760" s="2"/>
      <c r="E4760" s="2"/>
      <c r="F4760" s="2"/>
      <c r="G4760" s="2"/>
      <c r="H4760" s="3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</row>
    <row r="4767" ht="29.25" customHeight="1">
      <c r="A4767" s="1" t="s">
        <v>0</v>
      </c>
      <c r="B4767" s="2"/>
      <c r="C4767" s="2"/>
      <c r="D4767" s="2"/>
      <c r="E4767" s="2"/>
      <c r="F4767" s="2"/>
      <c r="G4767" s="2"/>
      <c r="H4767" s="3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</row>
    <row r="4768">
      <c r="A4768" s="6" t="s">
        <v>1090</v>
      </c>
      <c r="B4768" s="2"/>
      <c r="C4768" s="2"/>
      <c r="D4768" s="2"/>
      <c r="E4768" s="2"/>
      <c r="F4768" s="2"/>
      <c r="G4768" s="2"/>
      <c r="H4768" s="3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</row>
    <row r="4769">
      <c r="A4769" s="7" t="s">
        <v>2</v>
      </c>
      <c r="B4769" s="7" t="s">
        <v>3</v>
      </c>
      <c r="C4769" s="7" t="s">
        <v>4</v>
      </c>
      <c r="D4769" s="7" t="s">
        <v>5</v>
      </c>
      <c r="E4769" s="7" t="s">
        <v>6</v>
      </c>
      <c r="F4769" s="8" t="s">
        <v>7</v>
      </c>
      <c r="G4769" s="7" t="s">
        <v>8</v>
      </c>
      <c r="H4769" s="9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</row>
    <row r="4770">
      <c r="A4770" s="10">
        <v>1.0</v>
      </c>
      <c r="B4770" s="33" t="s">
        <v>1091</v>
      </c>
      <c r="C4770" s="34" t="s">
        <v>1092</v>
      </c>
      <c r="D4770" s="13" t="s">
        <v>11</v>
      </c>
      <c r="E4770" s="35">
        <v>2.0</v>
      </c>
      <c r="F4770" s="15">
        <v>293000.0</v>
      </c>
      <c r="G4770" s="16">
        <f t="shared" ref="G4770:G4772" si="317">IFERROR(E4770*F4770,0)</f>
        <v>586000</v>
      </c>
      <c r="H4770" s="17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</row>
    <row r="4771">
      <c r="A4771" s="10">
        <v>2.0</v>
      </c>
      <c r="B4771" s="36" t="s">
        <v>1093</v>
      </c>
      <c r="C4771" s="37" t="s">
        <v>1094</v>
      </c>
      <c r="D4771" s="20" t="s">
        <v>13</v>
      </c>
      <c r="E4771" s="38">
        <v>1.44</v>
      </c>
      <c r="F4771" s="22">
        <v>435000.0</v>
      </c>
      <c r="G4771" s="16">
        <f t="shared" si="317"/>
        <v>626400</v>
      </c>
      <c r="H4771" s="17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</row>
    <row r="4772">
      <c r="A4772" s="10">
        <v>3.0</v>
      </c>
      <c r="B4772" s="23" t="s">
        <v>14</v>
      </c>
      <c r="C4772" s="17"/>
      <c r="D4772" s="17"/>
      <c r="E4772" s="17"/>
      <c r="F4772" s="17"/>
      <c r="G4772" s="24">
        <f t="shared" si="317"/>
        <v>0</v>
      </c>
      <c r="H4772" s="17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</row>
    <row r="4773">
      <c r="A4773" s="25" t="s">
        <v>15</v>
      </c>
      <c r="B4773" s="2"/>
      <c r="C4773" s="2"/>
      <c r="D4773" s="2"/>
      <c r="E4773" s="2"/>
      <c r="F4773" s="2"/>
      <c r="G4773" s="3"/>
      <c r="H4773" s="26">
        <f>SUM(G4770:G4772)</f>
        <v>1212400</v>
      </c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</row>
    <row r="4774">
      <c r="A4774" s="25" t="s">
        <v>16</v>
      </c>
      <c r="B4774" s="2"/>
      <c r="C4774" s="2"/>
      <c r="D4774" s="2"/>
      <c r="E4774" s="2"/>
      <c r="F4774" s="2"/>
      <c r="G4774" s="3"/>
      <c r="H4774" s="26">
        <f>MAX(0,H4773-648000)</f>
        <v>564400</v>
      </c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</row>
    <row r="4775">
      <c r="A4775" s="27" t="s">
        <v>17</v>
      </c>
      <c r="B4775" s="2"/>
      <c r="C4775" s="2"/>
      <c r="D4775" s="2"/>
      <c r="E4775" s="2"/>
      <c r="F4775" s="2"/>
      <c r="G4775" s="3"/>
      <c r="H4775" s="28">
        <v>649000.0</v>
      </c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</row>
    <row r="4776">
      <c r="A4776" s="1" t="s">
        <v>18</v>
      </c>
      <c r="B4776" s="2"/>
      <c r="C4776" s="2"/>
      <c r="D4776" s="2"/>
      <c r="E4776" s="2"/>
      <c r="F4776" s="2"/>
      <c r="G4776" s="2"/>
      <c r="H4776" s="3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</row>
    <row r="4782" ht="29.25" customHeight="1">
      <c r="A4782" s="1" t="s">
        <v>0</v>
      </c>
      <c r="B4782" s="2"/>
      <c r="C4782" s="2"/>
      <c r="D4782" s="2"/>
      <c r="E4782" s="2"/>
      <c r="F4782" s="2"/>
      <c r="G4782" s="2"/>
      <c r="H4782" s="3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</row>
    <row r="4783">
      <c r="A4783" s="6" t="s">
        <v>1095</v>
      </c>
      <c r="B4783" s="2"/>
      <c r="C4783" s="2"/>
      <c r="D4783" s="2"/>
      <c r="E4783" s="2"/>
      <c r="F4783" s="2"/>
      <c r="G4783" s="2"/>
      <c r="H4783" s="3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</row>
    <row r="4784">
      <c r="A4784" s="7" t="s">
        <v>2</v>
      </c>
      <c r="B4784" s="7" t="s">
        <v>3</v>
      </c>
      <c r="C4784" s="7" t="s">
        <v>4</v>
      </c>
      <c r="D4784" s="7" t="s">
        <v>5</v>
      </c>
      <c r="E4784" s="7" t="s">
        <v>6</v>
      </c>
      <c r="F4784" s="8" t="s">
        <v>7</v>
      </c>
      <c r="G4784" s="7" t="s">
        <v>8</v>
      </c>
      <c r="H4784" s="9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</row>
    <row r="4785">
      <c r="A4785" s="10">
        <v>1.0</v>
      </c>
      <c r="B4785" s="33" t="s">
        <v>27</v>
      </c>
      <c r="C4785" s="34" t="s">
        <v>1096</v>
      </c>
      <c r="D4785" s="13" t="s">
        <v>11</v>
      </c>
      <c r="E4785" s="35">
        <v>2.05</v>
      </c>
      <c r="F4785" s="15">
        <v>293000.0</v>
      </c>
      <c r="G4785" s="16">
        <f t="shared" ref="G4785:G4787" si="318">IFERROR(E4785*F4785,0)</f>
        <v>600650</v>
      </c>
      <c r="H4785" s="17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</row>
    <row r="4786">
      <c r="A4786" s="10">
        <v>2.0</v>
      </c>
      <c r="B4786" s="36" t="s">
        <v>331</v>
      </c>
      <c r="C4786" s="37" t="s">
        <v>1097</v>
      </c>
      <c r="D4786" s="20" t="s">
        <v>13</v>
      </c>
      <c r="E4786" s="38">
        <v>1.4</v>
      </c>
      <c r="F4786" s="22">
        <v>435000.0</v>
      </c>
      <c r="G4786" s="16">
        <f t="shared" si="318"/>
        <v>609000</v>
      </c>
      <c r="H4786" s="17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</row>
    <row r="4787">
      <c r="A4787" s="10">
        <v>3.0</v>
      </c>
      <c r="B4787" s="23" t="s">
        <v>14</v>
      </c>
      <c r="C4787" s="17"/>
      <c r="D4787" s="17"/>
      <c r="E4787" s="17"/>
      <c r="F4787" s="17"/>
      <c r="G4787" s="24">
        <f t="shared" si="318"/>
        <v>0</v>
      </c>
      <c r="H4787" s="17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</row>
    <row r="4788">
      <c r="A4788" s="25" t="s">
        <v>15</v>
      </c>
      <c r="B4788" s="2"/>
      <c r="C4788" s="2"/>
      <c r="D4788" s="2"/>
      <c r="E4788" s="2"/>
      <c r="F4788" s="2"/>
      <c r="G4788" s="3"/>
      <c r="H4788" s="26">
        <f>SUM(G4785:G4787)</f>
        <v>1209650</v>
      </c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</row>
    <row r="4789">
      <c r="A4789" s="25" t="s">
        <v>16</v>
      </c>
      <c r="B4789" s="2"/>
      <c r="C4789" s="2"/>
      <c r="D4789" s="2"/>
      <c r="E4789" s="2"/>
      <c r="F4789" s="2"/>
      <c r="G4789" s="3"/>
      <c r="H4789" s="26">
        <f>MAX(0,H4788-648000)</f>
        <v>561650</v>
      </c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</row>
    <row r="4790">
      <c r="A4790" s="27" t="s">
        <v>17</v>
      </c>
      <c r="B4790" s="2"/>
      <c r="C4790" s="2"/>
      <c r="D4790" s="2"/>
      <c r="E4790" s="2"/>
      <c r="F4790" s="2"/>
      <c r="G4790" s="3"/>
      <c r="H4790" s="28">
        <v>649000.0</v>
      </c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</row>
    <row r="4791">
      <c r="A4791" s="1" t="s">
        <v>18</v>
      </c>
      <c r="B4791" s="2"/>
      <c r="C4791" s="2"/>
      <c r="D4791" s="2"/>
      <c r="E4791" s="2"/>
      <c r="F4791" s="2"/>
      <c r="G4791" s="2"/>
      <c r="H4791" s="3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</row>
    <row r="4798" ht="29.25" customHeight="1">
      <c r="A4798" s="1" t="s">
        <v>0</v>
      </c>
      <c r="B4798" s="2"/>
      <c r="C4798" s="2"/>
      <c r="D4798" s="2"/>
      <c r="E4798" s="2"/>
      <c r="F4798" s="2"/>
      <c r="G4798" s="2"/>
      <c r="H4798" s="3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</row>
    <row r="4799">
      <c r="A4799" s="6" t="s">
        <v>1098</v>
      </c>
      <c r="B4799" s="2"/>
      <c r="C4799" s="2"/>
      <c r="D4799" s="2"/>
      <c r="E4799" s="2"/>
      <c r="F4799" s="2"/>
      <c r="G4799" s="2"/>
      <c r="H4799" s="3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</row>
    <row r="4800">
      <c r="A4800" s="7" t="s">
        <v>2</v>
      </c>
      <c r="B4800" s="7" t="s">
        <v>3</v>
      </c>
      <c r="C4800" s="7" t="s">
        <v>4</v>
      </c>
      <c r="D4800" s="7" t="s">
        <v>5</v>
      </c>
      <c r="E4800" s="7" t="s">
        <v>6</v>
      </c>
      <c r="F4800" s="8" t="s">
        <v>7</v>
      </c>
      <c r="G4800" s="7" t="s">
        <v>8</v>
      </c>
      <c r="H4800" s="9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</row>
    <row r="4801">
      <c r="A4801" s="10">
        <v>1.0</v>
      </c>
      <c r="B4801" s="33" t="s">
        <v>294</v>
      </c>
      <c r="C4801" s="34" t="s">
        <v>1099</v>
      </c>
      <c r="D4801" s="13" t="s">
        <v>11</v>
      </c>
      <c r="E4801" s="35">
        <v>1.48</v>
      </c>
      <c r="F4801" s="15">
        <v>293000.0</v>
      </c>
      <c r="G4801" s="16">
        <f t="shared" ref="G4801:G4803" si="319">IFERROR(E4801*F4801,0)</f>
        <v>433640</v>
      </c>
      <c r="H4801" s="17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</row>
    <row r="4802">
      <c r="A4802" s="10">
        <v>2.0</v>
      </c>
      <c r="B4802" s="36" t="s">
        <v>279</v>
      </c>
      <c r="C4802" s="37" t="s">
        <v>936</v>
      </c>
      <c r="D4802" s="20" t="s">
        <v>13</v>
      </c>
      <c r="E4802" s="38">
        <v>2.0</v>
      </c>
      <c r="F4802" s="22">
        <v>435000.0</v>
      </c>
      <c r="G4802" s="16">
        <f t="shared" si="319"/>
        <v>870000</v>
      </c>
      <c r="H4802" s="17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</row>
    <row r="4803">
      <c r="A4803" s="10">
        <v>3.0</v>
      </c>
      <c r="B4803" s="23" t="s">
        <v>14</v>
      </c>
      <c r="C4803" s="17"/>
      <c r="D4803" s="17"/>
      <c r="E4803" s="17"/>
      <c r="F4803" s="17"/>
      <c r="G4803" s="24">
        <f t="shared" si="319"/>
        <v>0</v>
      </c>
      <c r="H4803" s="17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</row>
    <row r="4804">
      <c r="A4804" s="25" t="s">
        <v>15</v>
      </c>
      <c r="B4804" s="2"/>
      <c r="C4804" s="2"/>
      <c r="D4804" s="2"/>
      <c r="E4804" s="2"/>
      <c r="F4804" s="2"/>
      <c r="G4804" s="3"/>
      <c r="H4804" s="26">
        <f>SUM(G4801:G4803)</f>
        <v>1303640</v>
      </c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</row>
    <row r="4805">
      <c r="A4805" s="25" t="s">
        <v>16</v>
      </c>
      <c r="B4805" s="2"/>
      <c r="C4805" s="2"/>
      <c r="D4805" s="2"/>
      <c r="E4805" s="2"/>
      <c r="F4805" s="2"/>
      <c r="G4805" s="3"/>
      <c r="H4805" s="26">
        <f>MAX(0,H4804-648000)</f>
        <v>655640</v>
      </c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</row>
    <row r="4806">
      <c r="A4806" s="27" t="s">
        <v>17</v>
      </c>
      <c r="B4806" s="2"/>
      <c r="C4806" s="2"/>
      <c r="D4806" s="2"/>
      <c r="E4806" s="2"/>
      <c r="F4806" s="2"/>
      <c r="G4806" s="3"/>
      <c r="H4806" s="28">
        <v>649000.0</v>
      </c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</row>
    <row r="4807">
      <c r="A4807" s="1" t="s">
        <v>18</v>
      </c>
      <c r="B4807" s="2"/>
      <c r="C4807" s="2"/>
      <c r="D4807" s="2"/>
      <c r="E4807" s="2"/>
      <c r="F4807" s="2"/>
      <c r="G4807" s="2"/>
      <c r="H4807" s="3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</row>
    <row r="4814" ht="29.25" customHeight="1">
      <c r="A4814" s="1" t="s">
        <v>0</v>
      </c>
      <c r="B4814" s="2"/>
      <c r="C4814" s="2"/>
      <c r="D4814" s="2"/>
      <c r="E4814" s="2"/>
      <c r="F4814" s="2"/>
      <c r="G4814" s="2"/>
      <c r="H4814" s="3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</row>
    <row r="4815">
      <c r="A4815" s="6" t="s">
        <v>1100</v>
      </c>
      <c r="B4815" s="2"/>
      <c r="C4815" s="2"/>
      <c r="D4815" s="2"/>
      <c r="E4815" s="2"/>
      <c r="F4815" s="2"/>
      <c r="G4815" s="2"/>
      <c r="H4815" s="3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</row>
    <row r="4816">
      <c r="A4816" s="7" t="s">
        <v>2</v>
      </c>
      <c r="B4816" s="7" t="s">
        <v>3</v>
      </c>
      <c r="C4816" s="7" t="s">
        <v>4</v>
      </c>
      <c r="D4816" s="7" t="s">
        <v>5</v>
      </c>
      <c r="E4816" s="7" t="s">
        <v>6</v>
      </c>
      <c r="F4816" s="8" t="s">
        <v>7</v>
      </c>
      <c r="G4816" s="7" t="s">
        <v>8</v>
      </c>
      <c r="H4816" s="9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</row>
    <row r="4817">
      <c r="A4817" s="10">
        <v>1.0</v>
      </c>
      <c r="B4817" s="33" t="s">
        <v>763</v>
      </c>
      <c r="C4817" s="34" t="s">
        <v>764</v>
      </c>
      <c r="D4817" s="13" t="s">
        <v>11</v>
      </c>
      <c r="E4817" s="35">
        <v>2.41</v>
      </c>
      <c r="F4817" s="15">
        <v>293000.0</v>
      </c>
      <c r="G4817" s="16">
        <f t="shared" ref="G4817:G4819" si="320">IFERROR(E4817*F4817,0)</f>
        <v>706130</v>
      </c>
      <c r="H4817" s="17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</row>
    <row r="4818">
      <c r="A4818" s="10">
        <v>2.0</v>
      </c>
      <c r="B4818" s="36" t="s">
        <v>1101</v>
      </c>
      <c r="C4818" s="37" t="s">
        <v>1102</v>
      </c>
      <c r="D4818" s="20" t="s">
        <v>13</v>
      </c>
      <c r="E4818" s="38">
        <v>1.0</v>
      </c>
      <c r="F4818" s="22">
        <v>435000.0</v>
      </c>
      <c r="G4818" s="16">
        <f t="shared" si="320"/>
        <v>435000</v>
      </c>
      <c r="H4818" s="17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</row>
    <row r="4819">
      <c r="A4819" s="10">
        <v>3.0</v>
      </c>
      <c r="B4819" s="23" t="s">
        <v>14</v>
      </c>
      <c r="C4819" s="17"/>
      <c r="D4819" s="17"/>
      <c r="E4819" s="17"/>
      <c r="F4819" s="17"/>
      <c r="G4819" s="24">
        <f t="shared" si="320"/>
        <v>0</v>
      </c>
      <c r="H4819" s="17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</row>
    <row r="4820">
      <c r="A4820" s="25" t="s">
        <v>15</v>
      </c>
      <c r="B4820" s="2"/>
      <c r="C4820" s="2"/>
      <c r="D4820" s="2"/>
      <c r="E4820" s="2"/>
      <c r="F4820" s="2"/>
      <c r="G4820" s="3"/>
      <c r="H4820" s="26">
        <f>SUM(G4817:G4819)</f>
        <v>1141130</v>
      </c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</row>
    <row r="4821">
      <c r="A4821" s="25" t="s">
        <v>16</v>
      </c>
      <c r="B4821" s="2"/>
      <c r="C4821" s="2"/>
      <c r="D4821" s="2"/>
      <c r="E4821" s="2"/>
      <c r="F4821" s="2"/>
      <c r="G4821" s="3"/>
      <c r="H4821" s="26">
        <f>MAX(0,H4820-648000)</f>
        <v>493130</v>
      </c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</row>
    <row r="4822">
      <c r="A4822" s="27" t="s">
        <v>17</v>
      </c>
      <c r="B4822" s="2"/>
      <c r="C4822" s="2"/>
      <c r="D4822" s="2"/>
      <c r="E4822" s="2"/>
      <c r="F4822" s="2"/>
      <c r="G4822" s="3"/>
      <c r="H4822" s="28">
        <v>649000.0</v>
      </c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</row>
    <row r="4823">
      <c r="A4823" s="1" t="s">
        <v>18</v>
      </c>
      <c r="B4823" s="2"/>
      <c r="C4823" s="2"/>
      <c r="D4823" s="2"/>
      <c r="E4823" s="2"/>
      <c r="F4823" s="2"/>
      <c r="G4823" s="2"/>
      <c r="H4823" s="3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</row>
    <row r="4828" ht="29.25" customHeight="1">
      <c r="A4828" s="1" t="s">
        <v>0</v>
      </c>
      <c r="B4828" s="2"/>
      <c r="C4828" s="2"/>
      <c r="D4828" s="2"/>
      <c r="E4828" s="2"/>
      <c r="F4828" s="2"/>
      <c r="G4828" s="2"/>
      <c r="H4828" s="3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</row>
    <row r="4829">
      <c r="A4829" s="6" t="s">
        <v>1103</v>
      </c>
      <c r="B4829" s="2"/>
      <c r="C4829" s="2"/>
      <c r="D4829" s="2"/>
      <c r="E4829" s="2"/>
      <c r="F4829" s="2"/>
      <c r="G4829" s="2"/>
      <c r="H4829" s="3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</row>
    <row r="4830">
      <c r="A4830" s="7" t="s">
        <v>2</v>
      </c>
      <c r="B4830" s="7" t="s">
        <v>3</v>
      </c>
      <c r="C4830" s="7" t="s">
        <v>4</v>
      </c>
      <c r="D4830" s="7" t="s">
        <v>5</v>
      </c>
      <c r="E4830" s="7" t="s">
        <v>6</v>
      </c>
      <c r="F4830" s="8" t="s">
        <v>7</v>
      </c>
      <c r="G4830" s="7" t="s">
        <v>8</v>
      </c>
      <c r="H4830" s="9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</row>
    <row r="4831">
      <c r="A4831" s="10">
        <v>1.0</v>
      </c>
      <c r="B4831" s="33" t="s">
        <v>41</v>
      </c>
      <c r="C4831" s="34" t="s">
        <v>1104</v>
      </c>
      <c r="D4831" s="13" t="s">
        <v>11</v>
      </c>
      <c r="E4831" s="35">
        <v>1.53</v>
      </c>
      <c r="F4831" s="15">
        <v>293000.0</v>
      </c>
      <c r="G4831" s="16">
        <f t="shared" ref="G4831:G4833" si="321">IFERROR(E4831*F4831,0)</f>
        <v>448290</v>
      </c>
      <c r="H4831" s="17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</row>
    <row r="4832">
      <c r="A4832" s="10">
        <v>2.0</v>
      </c>
      <c r="B4832" s="36" t="s">
        <v>1006</v>
      </c>
      <c r="C4832" s="37" t="s">
        <v>1105</v>
      </c>
      <c r="D4832" s="20" t="s">
        <v>13</v>
      </c>
      <c r="E4832" s="38">
        <v>2.0</v>
      </c>
      <c r="F4832" s="22">
        <v>435000.0</v>
      </c>
      <c r="G4832" s="16">
        <f t="shared" si="321"/>
        <v>870000</v>
      </c>
      <c r="H4832" s="17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</row>
    <row r="4833">
      <c r="A4833" s="10">
        <v>3.0</v>
      </c>
      <c r="B4833" s="23" t="s">
        <v>14</v>
      </c>
      <c r="C4833" s="17"/>
      <c r="D4833" s="17"/>
      <c r="E4833" s="17"/>
      <c r="F4833" s="17"/>
      <c r="G4833" s="24">
        <f t="shared" si="321"/>
        <v>0</v>
      </c>
      <c r="H4833" s="17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</row>
    <row r="4834">
      <c r="A4834" s="25" t="s">
        <v>15</v>
      </c>
      <c r="B4834" s="2"/>
      <c r="C4834" s="2"/>
      <c r="D4834" s="2"/>
      <c r="E4834" s="2"/>
      <c r="F4834" s="2"/>
      <c r="G4834" s="3"/>
      <c r="H4834" s="26">
        <f>SUM(G4831:G4833)</f>
        <v>1318290</v>
      </c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</row>
    <row r="4835">
      <c r="A4835" s="25" t="s">
        <v>16</v>
      </c>
      <c r="B4835" s="2"/>
      <c r="C4835" s="2"/>
      <c r="D4835" s="2"/>
      <c r="E4835" s="2"/>
      <c r="F4835" s="2"/>
      <c r="G4835" s="3"/>
      <c r="H4835" s="26">
        <f>MAX(0,H4834-648000)</f>
        <v>670290</v>
      </c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</row>
    <row r="4836">
      <c r="A4836" s="27" t="s">
        <v>17</v>
      </c>
      <c r="B4836" s="2"/>
      <c r="C4836" s="2"/>
      <c r="D4836" s="2"/>
      <c r="E4836" s="2"/>
      <c r="F4836" s="2"/>
      <c r="G4836" s="3"/>
      <c r="H4836" s="28">
        <v>649000.0</v>
      </c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</row>
    <row r="4837">
      <c r="A4837" s="1" t="s">
        <v>18</v>
      </c>
      <c r="B4837" s="2"/>
      <c r="C4837" s="2"/>
      <c r="D4837" s="2"/>
      <c r="E4837" s="2"/>
      <c r="F4837" s="2"/>
      <c r="G4837" s="2"/>
      <c r="H4837" s="3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</row>
    <row r="4843" ht="29.25" customHeight="1">
      <c r="A4843" s="1" t="s">
        <v>0</v>
      </c>
      <c r="B4843" s="2"/>
      <c r="C4843" s="2"/>
      <c r="D4843" s="2"/>
      <c r="E4843" s="2"/>
      <c r="F4843" s="2"/>
      <c r="G4843" s="2"/>
      <c r="H4843" s="3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</row>
    <row r="4844">
      <c r="A4844" s="6" t="s">
        <v>1106</v>
      </c>
      <c r="B4844" s="2"/>
      <c r="C4844" s="2"/>
      <c r="D4844" s="2"/>
      <c r="E4844" s="2"/>
      <c r="F4844" s="2"/>
      <c r="G4844" s="2"/>
      <c r="H4844" s="3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</row>
    <row r="4845">
      <c r="A4845" s="7" t="s">
        <v>2</v>
      </c>
      <c r="B4845" s="7" t="s">
        <v>3</v>
      </c>
      <c r="C4845" s="7" t="s">
        <v>4</v>
      </c>
      <c r="D4845" s="7" t="s">
        <v>5</v>
      </c>
      <c r="E4845" s="7" t="s">
        <v>6</v>
      </c>
      <c r="F4845" s="8" t="s">
        <v>7</v>
      </c>
      <c r="G4845" s="7" t="s">
        <v>8</v>
      </c>
      <c r="H4845" s="9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</row>
    <row r="4846">
      <c r="A4846" s="10">
        <v>1.0</v>
      </c>
      <c r="B4846" s="33" t="s">
        <v>94</v>
      </c>
      <c r="C4846" s="34" t="s">
        <v>1107</v>
      </c>
      <c r="D4846" s="13" t="s">
        <v>11</v>
      </c>
      <c r="E4846" s="35">
        <v>1.0</v>
      </c>
      <c r="F4846" s="15">
        <v>293000.0</v>
      </c>
      <c r="G4846" s="16">
        <f t="shared" ref="G4846:G4848" si="322">IFERROR(E4846*F4846,0)</f>
        <v>293000</v>
      </c>
      <c r="H4846" s="17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</row>
    <row r="4847">
      <c r="A4847" s="10">
        <v>2.0</v>
      </c>
      <c r="B4847" s="36" t="s">
        <v>128</v>
      </c>
      <c r="C4847" s="37" t="s">
        <v>1108</v>
      </c>
      <c r="D4847" s="20" t="s">
        <v>13</v>
      </c>
      <c r="E4847" s="38">
        <v>2.45</v>
      </c>
      <c r="F4847" s="22">
        <v>435000.0</v>
      </c>
      <c r="G4847" s="16">
        <f t="shared" si="322"/>
        <v>1065750</v>
      </c>
      <c r="H4847" s="17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</row>
    <row r="4848">
      <c r="A4848" s="10">
        <v>3.0</v>
      </c>
      <c r="B4848" s="23" t="s">
        <v>14</v>
      </c>
      <c r="C4848" s="17"/>
      <c r="D4848" s="17"/>
      <c r="E4848" s="17"/>
      <c r="F4848" s="17"/>
      <c r="G4848" s="24">
        <f t="shared" si="322"/>
        <v>0</v>
      </c>
      <c r="H4848" s="17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</row>
    <row r="4849">
      <c r="A4849" s="25" t="s">
        <v>15</v>
      </c>
      <c r="B4849" s="2"/>
      <c r="C4849" s="2"/>
      <c r="D4849" s="2"/>
      <c r="E4849" s="2"/>
      <c r="F4849" s="2"/>
      <c r="G4849" s="3"/>
      <c r="H4849" s="26">
        <f>SUM(G4846:G4848)</f>
        <v>1358750</v>
      </c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</row>
    <row r="4850">
      <c r="A4850" s="25" t="s">
        <v>16</v>
      </c>
      <c r="B4850" s="2"/>
      <c r="C4850" s="2"/>
      <c r="D4850" s="2"/>
      <c r="E4850" s="2"/>
      <c r="F4850" s="2"/>
      <c r="G4850" s="3"/>
      <c r="H4850" s="26">
        <f>MAX(0,H4849-648000)</f>
        <v>710750</v>
      </c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</row>
    <row r="4851">
      <c r="A4851" s="27" t="s">
        <v>17</v>
      </c>
      <c r="B4851" s="2"/>
      <c r="C4851" s="2"/>
      <c r="D4851" s="2"/>
      <c r="E4851" s="2"/>
      <c r="F4851" s="2"/>
      <c r="G4851" s="3"/>
      <c r="H4851" s="28">
        <v>649000.0</v>
      </c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</row>
    <row r="4852">
      <c r="A4852" s="1" t="s">
        <v>18</v>
      </c>
      <c r="B4852" s="2"/>
      <c r="C4852" s="2"/>
      <c r="D4852" s="2"/>
      <c r="E4852" s="2"/>
      <c r="F4852" s="2"/>
      <c r="G4852" s="2"/>
      <c r="H4852" s="3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</row>
    <row r="4859" ht="29.25" customHeight="1">
      <c r="A4859" s="1" t="s">
        <v>0</v>
      </c>
      <c r="B4859" s="2"/>
      <c r="C4859" s="2"/>
      <c r="D4859" s="2"/>
      <c r="E4859" s="2"/>
      <c r="F4859" s="2"/>
      <c r="G4859" s="2"/>
      <c r="H4859" s="3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</row>
    <row r="4860">
      <c r="A4860" s="6" t="s">
        <v>1109</v>
      </c>
      <c r="B4860" s="2"/>
      <c r="C4860" s="2"/>
      <c r="D4860" s="2"/>
      <c r="E4860" s="2"/>
      <c r="F4860" s="2"/>
      <c r="G4860" s="2"/>
      <c r="H4860" s="3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</row>
    <row r="4861">
      <c r="A4861" s="7" t="s">
        <v>2</v>
      </c>
      <c r="B4861" s="7" t="s">
        <v>3</v>
      </c>
      <c r="C4861" s="7" t="s">
        <v>4</v>
      </c>
      <c r="D4861" s="7" t="s">
        <v>5</v>
      </c>
      <c r="E4861" s="7" t="s">
        <v>6</v>
      </c>
      <c r="F4861" s="8" t="s">
        <v>7</v>
      </c>
      <c r="G4861" s="7" t="s">
        <v>8</v>
      </c>
      <c r="H4861" s="9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</row>
    <row r="4862">
      <c r="A4862" s="10">
        <v>1.0</v>
      </c>
      <c r="B4862" s="33" t="s">
        <v>1110</v>
      </c>
      <c r="C4862" s="34" t="s">
        <v>1111</v>
      </c>
      <c r="D4862" s="13" t="s">
        <v>11</v>
      </c>
      <c r="E4862" s="35">
        <v>0.86</v>
      </c>
      <c r="F4862" s="15">
        <v>293000.0</v>
      </c>
      <c r="G4862" s="16">
        <f t="shared" ref="G4862:G4864" si="323">IFERROR(E4862*F4862,0)</f>
        <v>251980</v>
      </c>
      <c r="H4862" s="17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</row>
    <row r="4863">
      <c r="A4863" s="10">
        <v>2.0</v>
      </c>
      <c r="B4863" s="36" t="s">
        <v>22</v>
      </c>
      <c r="C4863" s="37" t="s">
        <v>1112</v>
      </c>
      <c r="D4863" s="20" t="s">
        <v>13</v>
      </c>
      <c r="E4863" s="38">
        <v>2.96</v>
      </c>
      <c r="F4863" s="22">
        <v>435000.0</v>
      </c>
      <c r="G4863" s="16">
        <f t="shared" si="323"/>
        <v>1287600</v>
      </c>
      <c r="H4863" s="17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</row>
    <row r="4864">
      <c r="A4864" s="10">
        <v>3.0</v>
      </c>
      <c r="B4864" s="23" t="s">
        <v>14</v>
      </c>
      <c r="C4864" s="17"/>
      <c r="D4864" s="17"/>
      <c r="E4864" s="17"/>
      <c r="F4864" s="17"/>
      <c r="G4864" s="24">
        <f t="shared" si="323"/>
        <v>0</v>
      </c>
      <c r="H4864" s="17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</row>
    <row r="4865">
      <c r="A4865" s="25" t="s">
        <v>15</v>
      </c>
      <c r="B4865" s="2"/>
      <c r="C4865" s="2"/>
      <c r="D4865" s="2"/>
      <c r="E4865" s="2"/>
      <c r="F4865" s="2"/>
      <c r="G4865" s="3"/>
      <c r="H4865" s="26">
        <f>SUM(G4862:G4864)</f>
        <v>1539580</v>
      </c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</row>
    <row r="4866">
      <c r="A4866" s="25" t="s">
        <v>16</v>
      </c>
      <c r="B4866" s="2"/>
      <c r="C4866" s="2"/>
      <c r="D4866" s="2"/>
      <c r="E4866" s="2"/>
      <c r="F4866" s="2"/>
      <c r="G4866" s="3"/>
      <c r="H4866" s="26">
        <f>MAX(0,H4865-648000)</f>
        <v>891580</v>
      </c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</row>
    <row r="4867">
      <c r="A4867" s="27" t="s">
        <v>17</v>
      </c>
      <c r="B4867" s="2"/>
      <c r="C4867" s="2"/>
      <c r="D4867" s="2"/>
      <c r="E4867" s="2"/>
      <c r="F4867" s="2"/>
      <c r="G4867" s="3"/>
      <c r="H4867" s="28">
        <v>649000.0</v>
      </c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</row>
    <row r="4868">
      <c r="A4868" s="1" t="s">
        <v>18</v>
      </c>
      <c r="B4868" s="2"/>
      <c r="C4868" s="2"/>
      <c r="D4868" s="2"/>
      <c r="E4868" s="2"/>
      <c r="F4868" s="2"/>
      <c r="G4868" s="2"/>
      <c r="H4868" s="3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</row>
    <row r="4873" ht="29.25" customHeight="1">
      <c r="A4873" s="1" t="s">
        <v>0</v>
      </c>
      <c r="B4873" s="2"/>
      <c r="C4873" s="2"/>
      <c r="D4873" s="2"/>
      <c r="E4873" s="2"/>
      <c r="F4873" s="2"/>
      <c r="G4873" s="2"/>
      <c r="H4873" s="3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</row>
    <row r="4874">
      <c r="A4874" s="6" t="s">
        <v>1113</v>
      </c>
      <c r="B4874" s="2"/>
      <c r="C4874" s="2"/>
      <c r="D4874" s="2"/>
      <c r="E4874" s="2"/>
      <c r="F4874" s="2"/>
      <c r="G4874" s="2"/>
      <c r="H4874" s="3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</row>
    <row r="4875">
      <c r="A4875" s="7" t="s">
        <v>2</v>
      </c>
      <c r="B4875" s="7" t="s">
        <v>3</v>
      </c>
      <c r="C4875" s="7" t="s">
        <v>4</v>
      </c>
      <c r="D4875" s="7" t="s">
        <v>5</v>
      </c>
      <c r="E4875" s="7" t="s">
        <v>6</v>
      </c>
      <c r="F4875" s="8" t="s">
        <v>7</v>
      </c>
      <c r="G4875" s="7" t="s">
        <v>8</v>
      </c>
      <c r="H4875" s="9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</row>
    <row r="4876">
      <c r="A4876" s="10">
        <v>1.0</v>
      </c>
      <c r="B4876" s="33" t="s">
        <v>1114</v>
      </c>
      <c r="C4876" s="34" t="s">
        <v>1115</v>
      </c>
      <c r="D4876" s="13" t="s">
        <v>11</v>
      </c>
      <c r="E4876" s="35">
        <v>2.34</v>
      </c>
      <c r="F4876" s="15">
        <v>293000.0</v>
      </c>
      <c r="G4876" s="16">
        <f t="shared" ref="G4876:G4878" si="324">IFERROR(E4876*F4876,0)</f>
        <v>685620</v>
      </c>
      <c r="H4876" s="17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</row>
    <row r="4877">
      <c r="A4877" s="10">
        <v>2.0</v>
      </c>
      <c r="B4877" s="36" t="s">
        <v>98</v>
      </c>
      <c r="C4877" s="37" t="s">
        <v>1116</v>
      </c>
      <c r="D4877" s="20" t="s">
        <v>13</v>
      </c>
      <c r="E4877" s="38">
        <v>1.32</v>
      </c>
      <c r="F4877" s="22">
        <v>435000.0</v>
      </c>
      <c r="G4877" s="16">
        <f t="shared" si="324"/>
        <v>574200</v>
      </c>
      <c r="H4877" s="17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</row>
    <row r="4878">
      <c r="A4878" s="10">
        <v>3.0</v>
      </c>
      <c r="B4878" s="23" t="s">
        <v>14</v>
      </c>
      <c r="C4878" s="17"/>
      <c r="D4878" s="17"/>
      <c r="E4878" s="17"/>
      <c r="F4878" s="17"/>
      <c r="G4878" s="24">
        <f t="shared" si="324"/>
        <v>0</v>
      </c>
      <c r="H4878" s="17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</row>
    <row r="4879">
      <c r="A4879" s="25" t="s">
        <v>15</v>
      </c>
      <c r="B4879" s="2"/>
      <c r="C4879" s="2"/>
      <c r="D4879" s="2"/>
      <c r="E4879" s="2"/>
      <c r="F4879" s="2"/>
      <c r="G4879" s="3"/>
      <c r="H4879" s="26">
        <f>SUM(G4876:G4878)</f>
        <v>1259820</v>
      </c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</row>
    <row r="4880">
      <c r="A4880" s="25" t="s">
        <v>16</v>
      </c>
      <c r="B4880" s="2"/>
      <c r="C4880" s="2"/>
      <c r="D4880" s="2"/>
      <c r="E4880" s="2"/>
      <c r="F4880" s="2"/>
      <c r="G4880" s="3"/>
      <c r="H4880" s="26">
        <f>MAX(0,H4879-648000)</f>
        <v>611820</v>
      </c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</row>
    <row r="4881">
      <c r="A4881" s="27" t="s">
        <v>17</v>
      </c>
      <c r="B4881" s="2"/>
      <c r="C4881" s="2"/>
      <c r="D4881" s="2"/>
      <c r="E4881" s="2"/>
      <c r="F4881" s="2"/>
      <c r="G4881" s="3"/>
      <c r="H4881" s="28">
        <v>649000.0</v>
      </c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</row>
    <row r="4882">
      <c r="A4882" s="1" t="s">
        <v>18</v>
      </c>
      <c r="B4882" s="2"/>
      <c r="C4882" s="2"/>
      <c r="D4882" s="2"/>
      <c r="E4882" s="2"/>
      <c r="F4882" s="2"/>
      <c r="G4882" s="2"/>
      <c r="H4882" s="3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</row>
    <row r="4888" ht="29.25" customHeight="1">
      <c r="A4888" s="1" t="s">
        <v>0</v>
      </c>
      <c r="B4888" s="2"/>
      <c r="C4888" s="2"/>
      <c r="D4888" s="2"/>
      <c r="E4888" s="2"/>
      <c r="F4888" s="2"/>
      <c r="G4888" s="2"/>
      <c r="H4888" s="3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</row>
    <row r="4889">
      <c r="A4889" s="6" t="s">
        <v>1117</v>
      </c>
      <c r="B4889" s="2"/>
      <c r="C4889" s="2"/>
      <c r="D4889" s="2"/>
      <c r="E4889" s="2"/>
      <c r="F4889" s="2"/>
      <c r="G4889" s="2"/>
      <c r="H4889" s="3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</row>
    <row r="4890">
      <c r="A4890" s="7" t="s">
        <v>2</v>
      </c>
      <c r="B4890" s="7" t="s">
        <v>3</v>
      </c>
      <c r="C4890" s="7" t="s">
        <v>4</v>
      </c>
      <c r="D4890" s="7" t="s">
        <v>5</v>
      </c>
      <c r="E4890" s="7" t="s">
        <v>6</v>
      </c>
      <c r="F4890" s="8" t="s">
        <v>7</v>
      </c>
      <c r="G4890" s="7" t="s">
        <v>8</v>
      </c>
      <c r="H4890" s="9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</row>
    <row r="4891">
      <c r="A4891" s="10">
        <v>1.0</v>
      </c>
      <c r="B4891" s="33" t="s">
        <v>218</v>
      </c>
      <c r="C4891" s="34" t="s">
        <v>1118</v>
      </c>
      <c r="D4891" s="13" t="s">
        <v>11</v>
      </c>
      <c r="E4891" s="35">
        <v>2.5</v>
      </c>
      <c r="F4891" s="15">
        <v>293000.0</v>
      </c>
      <c r="G4891" s="16">
        <f t="shared" ref="G4891:G4893" si="325">IFERROR(E4891*F4891,0)</f>
        <v>732500</v>
      </c>
      <c r="H4891" s="17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</row>
    <row r="4892">
      <c r="A4892" s="10">
        <v>2.0</v>
      </c>
      <c r="B4892" s="36" t="s">
        <v>94</v>
      </c>
      <c r="C4892" s="37" t="s">
        <v>1119</v>
      </c>
      <c r="D4892" s="20" t="s">
        <v>13</v>
      </c>
      <c r="E4892" s="38">
        <v>1.0</v>
      </c>
      <c r="F4892" s="22">
        <v>435000.0</v>
      </c>
      <c r="G4892" s="16">
        <f t="shared" si="325"/>
        <v>435000</v>
      </c>
      <c r="H4892" s="17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</row>
    <row r="4893">
      <c r="A4893" s="10">
        <v>3.0</v>
      </c>
      <c r="B4893" s="23" t="s">
        <v>14</v>
      </c>
      <c r="C4893" s="17"/>
      <c r="D4893" s="17"/>
      <c r="E4893" s="17"/>
      <c r="F4893" s="17"/>
      <c r="G4893" s="24">
        <f t="shared" si="325"/>
        <v>0</v>
      </c>
      <c r="H4893" s="17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</row>
    <row r="4894">
      <c r="A4894" s="25" t="s">
        <v>15</v>
      </c>
      <c r="B4894" s="2"/>
      <c r="C4894" s="2"/>
      <c r="D4894" s="2"/>
      <c r="E4894" s="2"/>
      <c r="F4894" s="2"/>
      <c r="G4894" s="3"/>
      <c r="H4894" s="26">
        <f>SUM(G4891:G4893)</f>
        <v>1167500</v>
      </c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</row>
    <row r="4895">
      <c r="A4895" s="25" t="s">
        <v>16</v>
      </c>
      <c r="B4895" s="2"/>
      <c r="C4895" s="2"/>
      <c r="D4895" s="2"/>
      <c r="E4895" s="2"/>
      <c r="F4895" s="2"/>
      <c r="G4895" s="3"/>
      <c r="H4895" s="26">
        <f>MAX(0,H4894-648000)</f>
        <v>519500</v>
      </c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</row>
    <row r="4896">
      <c r="A4896" s="27" t="s">
        <v>17</v>
      </c>
      <c r="B4896" s="2"/>
      <c r="C4896" s="2"/>
      <c r="D4896" s="2"/>
      <c r="E4896" s="2"/>
      <c r="F4896" s="2"/>
      <c r="G4896" s="3"/>
      <c r="H4896" s="28">
        <v>649000.0</v>
      </c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</row>
    <row r="4897">
      <c r="A4897" s="1" t="s">
        <v>18</v>
      </c>
      <c r="B4897" s="2"/>
      <c r="C4897" s="2"/>
      <c r="D4897" s="2"/>
      <c r="E4897" s="2"/>
      <c r="F4897" s="2"/>
      <c r="G4897" s="2"/>
      <c r="H4897" s="3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</row>
    <row r="4902" ht="29.25" customHeight="1">
      <c r="A4902" s="1" t="s">
        <v>0</v>
      </c>
      <c r="B4902" s="2"/>
      <c r="C4902" s="2"/>
      <c r="D4902" s="2"/>
      <c r="E4902" s="2"/>
      <c r="F4902" s="2"/>
      <c r="G4902" s="2"/>
      <c r="H4902" s="3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</row>
    <row r="4903">
      <c r="A4903" s="6" t="s">
        <v>1120</v>
      </c>
      <c r="B4903" s="2"/>
      <c r="C4903" s="2"/>
      <c r="D4903" s="2"/>
      <c r="E4903" s="2"/>
      <c r="F4903" s="2"/>
      <c r="G4903" s="2"/>
      <c r="H4903" s="3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</row>
    <row r="4904">
      <c r="A4904" s="7" t="s">
        <v>2</v>
      </c>
      <c r="B4904" s="7" t="s">
        <v>3</v>
      </c>
      <c r="C4904" s="7" t="s">
        <v>4</v>
      </c>
      <c r="D4904" s="7" t="s">
        <v>5</v>
      </c>
      <c r="E4904" s="7" t="s">
        <v>6</v>
      </c>
      <c r="F4904" s="8" t="s">
        <v>7</v>
      </c>
      <c r="G4904" s="7" t="s">
        <v>8</v>
      </c>
      <c r="H4904" s="9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</row>
    <row r="4905">
      <c r="A4905" s="10">
        <v>1.0</v>
      </c>
      <c r="B4905" s="33" t="s">
        <v>533</v>
      </c>
      <c r="C4905" s="34" t="s">
        <v>207</v>
      </c>
      <c r="D4905" s="13" t="s">
        <v>11</v>
      </c>
      <c r="E4905" s="35">
        <v>2.03</v>
      </c>
      <c r="F4905" s="15">
        <v>293000.0</v>
      </c>
      <c r="G4905" s="16">
        <f t="shared" ref="G4905:G4907" si="326">IFERROR(E4905*F4905,0)</f>
        <v>594790</v>
      </c>
      <c r="H4905" s="17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</row>
    <row r="4906">
      <c r="A4906" s="10">
        <v>2.0</v>
      </c>
      <c r="B4906" s="36" t="s">
        <v>60</v>
      </c>
      <c r="C4906" s="37" t="s">
        <v>1121</v>
      </c>
      <c r="D4906" s="20" t="s">
        <v>13</v>
      </c>
      <c r="E4906" s="38">
        <v>1.6</v>
      </c>
      <c r="F4906" s="22">
        <v>435000.0</v>
      </c>
      <c r="G4906" s="16">
        <f t="shared" si="326"/>
        <v>696000</v>
      </c>
      <c r="H4906" s="17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</row>
    <row r="4907">
      <c r="A4907" s="10">
        <v>3.0</v>
      </c>
      <c r="B4907" s="23" t="s">
        <v>14</v>
      </c>
      <c r="C4907" s="17"/>
      <c r="D4907" s="17"/>
      <c r="E4907" s="17"/>
      <c r="F4907" s="17"/>
      <c r="G4907" s="24">
        <f t="shared" si="326"/>
        <v>0</v>
      </c>
      <c r="H4907" s="17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</row>
    <row r="4908">
      <c r="A4908" s="25" t="s">
        <v>15</v>
      </c>
      <c r="B4908" s="2"/>
      <c r="C4908" s="2"/>
      <c r="D4908" s="2"/>
      <c r="E4908" s="2"/>
      <c r="F4908" s="2"/>
      <c r="G4908" s="3"/>
      <c r="H4908" s="26">
        <f>SUM(G4905:G4907)</f>
        <v>1290790</v>
      </c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</row>
    <row r="4909">
      <c r="A4909" s="25" t="s">
        <v>16</v>
      </c>
      <c r="B4909" s="2"/>
      <c r="C4909" s="2"/>
      <c r="D4909" s="2"/>
      <c r="E4909" s="2"/>
      <c r="F4909" s="2"/>
      <c r="G4909" s="3"/>
      <c r="H4909" s="26">
        <f>MAX(0,H4908-648000)</f>
        <v>642790</v>
      </c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</row>
    <row r="4910">
      <c r="A4910" s="27" t="s">
        <v>17</v>
      </c>
      <c r="B4910" s="2"/>
      <c r="C4910" s="2"/>
      <c r="D4910" s="2"/>
      <c r="E4910" s="2"/>
      <c r="F4910" s="2"/>
      <c r="G4910" s="3"/>
      <c r="H4910" s="28">
        <v>649000.0</v>
      </c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</row>
    <row r="4911">
      <c r="A4911" s="1" t="s">
        <v>18</v>
      </c>
      <c r="B4911" s="2"/>
      <c r="C4911" s="2"/>
      <c r="D4911" s="2"/>
      <c r="E4911" s="2"/>
      <c r="F4911" s="2"/>
      <c r="G4911" s="2"/>
      <c r="H4911" s="3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</row>
    <row r="4918" ht="29.25" customHeight="1">
      <c r="A4918" s="1" t="s">
        <v>0</v>
      </c>
      <c r="B4918" s="2"/>
      <c r="C4918" s="2"/>
      <c r="D4918" s="2"/>
      <c r="E4918" s="2"/>
      <c r="F4918" s="2"/>
      <c r="G4918" s="2"/>
      <c r="H4918" s="3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</row>
    <row r="4919">
      <c r="A4919" s="6" t="s">
        <v>1122</v>
      </c>
      <c r="B4919" s="2"/>
      <c r="C4919" s="2"/>
      <c r="D4919" s="2"/>
      <c r="E4919" s="2"/>
      <c r="F4919" s="2"/>
      <c r="G4919" s="2"/>
      <c r="H4919" s="3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</row>
    <row r="4920">
      <c r="A4920" s="7" t="s">
        <v>2</v>
      </c>
      <c r="B4920" s="7" t="s">
        <v>3</v>
      </c>
      <c r="C4920" s="7" t="s">
        <v>4</v>
      </c>
      <c r="D4920" s="7" t="s">
        <v>5</v>
      </c>
      <c r="E4920" s="7" t="s">
        <v>6</v>
      </c>
      <c r="F4920" s="8" t="s">
        <v>7</v>
      </c>
      <c r="G4920" s="7" t="s">
        <v>8</v>
      </c>
      <c r="H4920" s="9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</row>
    <row r="4921">
      <c r="A4921" s="10">
        <v>1.0</v>
      </c>
      <c r="B4921" s="33" t="s">
        <v>447</v>
      </c>
      <c r="C4921" s="34" t="s">
        <v>1123</v>
      </c>
      <c r="D4921" s="13" t="s">
        <v>11</v>
      </c>
      <c r="E4921" s="35">
        <v>2.0</v>
      </c>
      <c r="F4921" s="15">
        <v>293000.0</v>
      </c>
      <c r="G4921" s="16">
        <f t="shared" ref="G4921:G4923" si="327">IFERROR(E4921*F4921,0)</f>
        <v>586000</v>
      </c>
      <c r="H4921" s="17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</row>
    <row r="4922">
      <c r="A4922" s="10">
        <v>2.0</v>
      </c>
      <c r="B4922" s="36" t="s">
        <v>956</v>
      </c>
      <c r="C4922" s="37" t="s">
        <v>1124</v>
      </c>
      <c r="D4922" s="20" t="s">
        <v>13</v>
      </c>
      <c r="E4922" s="38">
        <v>1.4</v>
      </c>
      <c r="F4922" s="22">
        <v>435000.0</v>
      </c>
      <c r="G4922" s="16">
        <f t="shared" si="327"/>
        <v>609000</v>
      </c>
      <c r="H4922" s="17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</row>
    <row r="4923">
      <c r="A4923" s="10">
        <v>3.0</v>
      </c>
      <c r="B4923" s="23" t="s">
        <v>14</v>
      </c>
      <c r="C4923" s="17"/>
      <c r="D4923" s="17"/>
      <c r="E4923" s="17"/>
      <c r="F4923" s="17"/>
      <c r="G4923" s="24">
        <f t="shared" si="327"/>
        <v>0</v>
      </c>
      <c r="H4923" s="17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</row>
    <row r="4924">
      <c r="A4924" s="25" t="s">
        <v>15</v>
      </c>
      <c r="B4924" s="2"/>
      <c r="C4924" s="2"/>
      <c r="D4924" s="2"/>
      <c r="E4924" s="2"/>
      <c r="F4924" s="2"/>
      <c r="G4924" s="3"/>
      <c r="H4924" s="26">
        <f>SUM(G4921:G4923)</f>
        <v>1195000</v>
      </c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</row>
    <row r="4925">
      <c r="A4925" s="25" t="s">
        <v>16</v>
      </c>
      <c r="B4925" s="2"/>
      <c r="C4925" s="2"/>
      <c r="D4925" s="2"/>
      <c r="E4925" s="2"/>
      <c r="F4925" s="2"/>
      <c r="G4925" s="3"/>
      <c r="H4925" s="26">
        <f>MAX(0,H4924-648000)</f>
        <v>547000</v>
      </c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</row>
    <row r="4926">
      <c r="A4926" s="27" t="s">
        <v>17</v>
      </c>
      <c r="B4926" s="2"/>
      <c r="C4926" s="2"/>
      <c r="D4926" s="2"/>
      <c r="E4926" s="2"/>
      <c r="F4926" s="2"/>
      <c r="G4926" s="3"/>
      <c r="H4926" s="28">
        <v>649000.0</v>
      </c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</row>
    <row r="4927">
      <c r="A4927" s="1" t="s">
        <v>18</v>
      </c>
      <c r="B4927" s="2"/>
      <c r="C4927" s="2"/>
      <c r="D4927" s="2"/>
      <c r="E4927" s="2"/>
      <c r="F4927" s="2"/>
      <c r="G4927" s="2"/>
      <c r="H4927" s="3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</row>
    <row r="4931" ht="29.25" customHeight="1">
      <c r="A4931" s="1" t="s">
        <v>0</v>
      </c>
      <c r="B4931" s="2"/>
      <c r="C4931" s="2"/>
      <c r="D4931" s="2"/>
      <c r="E4931" s="2"/>
      <c r="F4931" s="2"/>
      <c r="G4931" s="2"/>
      <c r="H4931" s="3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</row>
    <row r="4932">
      <c r="A4932" s="6" t="s">
        <v>1125</v>
      </c>
      <c r="B4932" s="2"/>
      <c r="C4932" s="2"/>
      <c r="D4932" s="2"/>
      <c r="E4932" s="2"/>
      <c r="F4932" s="2"/>
      <c r="G4932" s="2"/>
      <c r="H4932" s="3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</row>
    <row r="4933">
      <c r="A4933" s="7" t="s">
        <v>2</v>
      </c>
      <c r="B4933" s="7" t="s">
        <v>3</v>
      </c>
      <c r="C4933" s="7" t="s">
        <v>4</v>
      </c>
      <c r="D4933" s="7" t="s">
        <v>5</v>
      </c>
      <c r="E4933" s="7" t="s">
        <v>6</v>
      </c>
      <c r="F4933" s="8" t="s">
        <v>7</v>
      </c>
      <c r="G4933" s="7" t="s">
        <v>8</v>
      </c>
      <c r="H4933" s="9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</row>
    <row r="4934">
      <c r="A4934" s="10">
        <v>1.0</v>
      </c>
      <c r="B4934" s="33" t="s">
        <v>1126</v>
      </c>
      <c r="C4934" s="34" t="s">
        <v>1127</v>
      </c>
      <c r="D4934" s="13" t="s">
        <v>11</v>
      </c>
      <c r="E4934" s="35">
        <v>3.0</v>
      </c>
      <c r="F4934" s="15">
        <v>293000.0</v>
      </c>
      <c r="G4934" s="16">
        <f t="shared" ref="G4934:G4936" si="328">IFERROR(E4934*F4934,0)</f>
        <v>879000</v>
      </c>
      <c r="H4934" s="17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</row>
    <row r="4935">
      <c r="A4935" s="10">
        <v>2.0</v>
      </c>
      <c r="B4935" s="36" t="s">
        <v>1128</v>
      </c>
      <c r="C4935" s="37" t="s">
        <v>1129</v>
      </c>
      <c r="D4935" s="20" t="s">
        <v>13</v>
      </c>
      <c r="E4935" s="38">
        <v>0.65</v>
      </c>
      <c r="F4935" s="22">
        <v>435000.0</v>
      </c>
      <c r="G4935" s="16">
        <f t="shared" si="328"/>
        <v>282750</v>
      </c>
      <c r="H4935" s="17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</row>
    <row r="4936">
      <c r="A4936" s="10">
        <v>3.0</v>
      </c>
      <c r="B4936" s="23" t="s">
        <v>14</v>
      </c>
      <c r="C4936" s="17"/>
      <c r="D4936" s="17"/>
      <c r="E4936" s="17"/>
      <c r="F4936" s="17"/>
      <c r="G4936" s="24">
        <f t="shared" si="328"/>
        <v>0</v>
      </c>
      <c r="H4936" s="17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</row>
    <row r="4937">
      <c r="A4937" s="25" t="s">
        <v>15</v>
      </c>
      <c r="B4937" s="2"/>
      <c r="C4937" s="2"/>
      <c r="D4937" s="2"/>
      <c r="E4937" s="2"/>
      <c r="F4937" s="2"/>
      <c r="G4937" s="3"/>
      <c r="H4937" s="26">
        <f>SUM(G4934:G4936)</f>
        <v>1161750</v>
      </c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</row>
    <row r="4938">
      <c r="A4938" s="25" t="s">
        <v>16</v>
      </c>
      <c r="B4938" s="2"/>
      <c r="C4938" s="2"/>
      <c r="D4938" s="2"/>
      <c r="E4938" s="2"/>
      <c r="F4938" s="2"/>
      <c r="G4938" s="3"/>
      <c r="H4938" s="26">
        <f>MAX(0,H4937-648000)</f>
        <v>513750</v>
      </c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</row>
    <row r="4939">
      <c r="A4939" s="27" t="s">
        <v>17</v>
      </c>
      <c r="B4939" s="2"/>
      <c r="C4939" s="2"/>
      <c r="D4939" s="2"/>
      <c r="E4939" s="2"/>
      <c r="F4939" s="2"/>
      <c r="G4939" s="3"/>
      <c r="H4939" s="28">
        <v>649000.0</v>
      </c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</row>
    <row r="4940">
      <c r="A4940" s="1" t="s">
        <v>18</v>
      </c>
      <c r="B4940" s="2"/>
      <c r="C4940" s="2"/>
      <c r="D4940" s="2"/>
      <c r="E4940" s="2"/>
      <c r="F4940" s="2"/>
      <c r="G4940" s="2"/>
      <c r="H4940" s="3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</row>
    <row r="4946" ht="29.25" customHeight="1">
      <c r="A4946" s="1" t="s">
        <v>0</v>
      </c>
      <c r="B4946" s="2"/>
      <c r="C4946" s="2"/>
      <c r="D4946" s="2"/>
      <c r="E4946" s="2"/>
      <c r="F4946" s="2"/>
      <c r="G4946" s="2"/>
      <c r="H4946" s="3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</row>
    <row r="4947">
      <c r="A4947" s="6" t="s">
        <v>1130</v>
      </c>
      <c r="B4947" s="2"/>
      <c r="C4947" s="2"/>
      <c r="D4947" s="2"/>
      <c r="E4947" s="2"/>
      <c r="F4947" s="2"/>
      <c r="G4947" s="2"/>
      <c r="H4947" s="3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</row>
    <row r="4948">
      <c r="A4948" s="7" t="s">
        <v>2</v>
      </c>
      <c r="B4948" s="7" t="s">
        <v>3</v>
      </c>
      <c r="C4948" s="7" t="s">
        <v>4</v>
      </c>
      <c r="D4948" s="7" t="s">
        <v>5</v>
      </c>
      <c r="E4948" s="7" t="s">
        <v>6</v>
      </c>
      <c r="F4948" s="8" t="s">
        <v>7</v>
      </c>
      <c r="G4948" s="7" t="s">
        <v>8</v>
      </c>
      <c r="H4948" s="9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</row>
    <row r="4949">
      <c r="A4949" s="10">
        <v>1.0</v>
      </c>
      <c r="B4949" s="33" t="s">
        <v>279</v>
      </c>
      <c r="C4949" s="34" t="s">
        <v>1131</v>
      </c>
      <c r="D4949" s="13" t="s">
        <v>11</v>
      </c>
      <c r="E4949" s="35">
        <v>1.5</v>
      </c>
      <c r="F4949" s="15">
        <v>293000.0</v>
      </c>
      <c r="G4949" s="16">
        <f t="shared" ref="G4949:G4951" si="329">IFERROR(E4949*F4949,0)</f>
        <v>439500</v>
      </c>
      <c r="H4949" s="17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</row>
    <row r="4950">
      <c r="A4950" s="10">
        <v>2.0</v>
      </c>
      <c r="B4950" s="36" t="s">
        <v>101</v>
      </c>
      <c r="C4950" s="37" t="s">
        <v>888</v>
      </c>
      <c r="D4950" s="20" t="s">
        <v>13</v>
      </c>
      <c r="E4950" s="38">
        <v>2.0</v>
      </c>
      <c r="F4950" s="22">
        <v>435000.0</v>
      </c>
      <c r="G4950" s="16">
        <f t="shared" si="329"/>
        <v>870000</v>
      </c>
      <c r="H4950" s="17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</row>
    <row r="4951">
      <c r="A4951" s="10">
        <v>3.0</v>
      </c>
      <c r="B4951" s="23" t="s">
        <v>14</v>
      </c>
      <c r="C4951" s="17"/>
      <c r="D4951" s="17"/>
      <c r="E4951" s="17"/>
      <c r="F4951" s="17"/>
      <c r="G4951" s="24">
        <f t="shared" si="329"/>
        <v>0</v>
      </c>
      <c r="H4951" s="17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</row>
    <row r="4952">
      <c r="A4952" s="25" t="s">
        <v>15</v>
      </c>
      <c r="B4952" s="2"/>
      <c r="C4952" s="2"/>
      <c r="D4952" s="2"/>
      <c r="E4952" s="2"/>
      <c r="F4952" s="2"/>
      <c r="G4952" s="3"/>
      <c r="H4952" s="26">
        <f>SUM(G4949:G4951)</f>
        <v>1309500</v>
      </c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</row>
    <row r="4953">
      <c r="A4953" s="25" t="s">
        <v>16</v>
      </c>
      <c r="B4953" s="2"/>
      <c r="C4953" s="2"/>
      <c r="D4953" s="2"/>
      <c r="E4953" s="2"/>
      <c r="F4953" s="2"/>
      <c r="G4953" s="3"/>
      <c r="H4953" s="26">
        <f>MAX(0,H4952-648000)</f>
        <v>661500</v>
      </c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</row>
    <row r="4954">
      <c r="A4954" s="27" t="s">
        <v>17</v>
      </c>
      <c r="B4954" s="2"/>
      <c r="C4954" s="2"/>
      <c r="D4954" s="2"/>
      <c r="E4954" s="2"/>
      <c r="F4954" s="2"/>
      <c r="G4954" s="3"/>
      <c r="H4954" s="28">
        <v>649000.0</v>
      </c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</row>
    <row r="4955">
      <c r="A4955" s="1" t="s">
        <v>18</v>
      </c>
      <c r="B4955" s="2"/>
      <c r="C4955" s="2"/>
      <c r="D4955" s="2"/>
      <c r="E4955" s="2"/>
      <c r="F4955" s="2"/>
      <c r="G4955" s="2"/>
      <c r="H4955" s="3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</row>
    <row r="4962" ht="29.25" customHeight="1">
      <c r="A4962" s="1" t="s">
        <v>0</v>
      </c>
      <c r="B4962" s="2"/>
      <c r="C4962" s="2"/>
      <c r="D4962" s="2"/>
      <c r="E4962" s="2"/>
      <c r="F4962" s="2"/>
      <c r="G4962" s="2"/>
      <c r="H4962" s="3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</row>
    <row r="4963">
      <c r="A4963" s="6" t="s">
        <v>1132</v>
      </c>
      <c r="B4963" s="2"/>
      <c r="C4963" s="2"/>
      <c r="D4963" s="2"/>
      <c r="E4963" s="2"/>
      <c r="F4963" s="2"/>
      <c r="G4963" s="2"/>
      <c r="H4963" s="3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</row>
    <row r="4964">
      <c r="A4964" s="7" t="s">
        <v>2</v>
      </c>
      <c r="B4964" s="7" t="s">
        <v>3</v>
      </c>
      <c r="C4964" s="7" t="s">
        <v>4</v>
      </c>
      <c r="D4964" s="7" t="s">
        <v>5</v>
      </c>
      <c r="E4964" s="7" t="s">
        <v>6</v>
      </c>
      <c r="F4964" s="8" t="s">
        <v>7</v>
      </c>
      <c r="G4964" s="7" t="s">
        <v>8</v>
      </c>
      <c r="H4964" s="9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</row>
    <row r="4965">
      <c r="A4965" s="10">
        <v>1.0</v>
      </c>
      <c r="B4965" s="33" t="s">
        <v>94</v>
      </c>
      <c r="C4965" s="34" t="s">
        <v>1133</v>
      </c>
      <c r="D4965" s="13" t="s">
        <v>11</v>
      </c>
      <c r="E4965" s="35">
        <v>2.65</v>
      </c>
      <c r="F4965" s="15">
        <v>293000.0</v>
      </c>
      <c r="G4965" s="16">
        <f t="shared" ref="G4965:G4967" si="330">IFERROR(E4965*F4965,0)</f>
        <v>776450</v>
      </c>
      <c r="H4965" s="17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</row>
    <row r="4966">
      <c r="A4966" s="10">
        <v>2.0</v>
      </c>
      <c r="B4966" s="36" t="s">
        <v>707</v>
      </c>
      <c r="C4966" s="37" t="s">
        <v>1134</v>
      </c>
      <c r="D4966" s="20" t="s">
        <v>13</v>
      </c>
      <c r="E4966" s="38">
        <v>0.99</v>
      </c>
      <c r="F4966" s="22">
        <v>435000.0</v>
      </c>
      <c r="G4966" s="16">
        <f t="shared" si="330"/>
        <v>430650</v>
      </c>
      <c r="H4966" s="17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</row>
    <row r="4967">
      <c r="A4967" s="10">
        <v>3.0</v>
      </c>
      <c r="B4967" s="23" t="s">
        <v>14</v>
      </c>
      <c r="C4967" s="17"/>
      <c r="D4967" s="17"/>
      <c r="E4967" s="17"/>
      <c r="F4967" s="17"/>
      <c r="G4967" s="24">
        <f t="shared" si="330"/>
        <v>0</v>
      </c>
      <c r="H4967" s="17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</row>
    <row r="4968">
      <c r="A4968" s="25" t="s">
        <v>15</v>
      </c>
      <c r="B4968" s="2"/>
      <c r="C4968" s="2"/>
      <c r="D4968" s="2"/>
      <c r="E4968" s="2"/>
      <c r="F4968" s="2"/>
      <c r="G4968" s="3"/>
      <c r="H4968" s="26">
        <f>SUM(G4965:G4967)</f>
        <v>1207100</v>
      </c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</row>
    <row r="4969">
      <c r="A4969" s="25" t="s">
        <v>16</v>
      </c>
      <c r="B4969" s="2"/>
      <c r="C4969" s="2"/>
      <c r="D4969" s="2"/>
      <c r="E4969" s="2"/>
      <c r="F4969" s="2"/>
      <c r="G4969" s="3"/>
      <c r="H4969" s="26">
        <f>MAX(0,H4968-648000)</f>
        <v>559100</v>
      </c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</row>
    <row r="4970">
      <c r="A4970" s="27" t="s">
        <v>17</v>
      </c>
      <c r="B4970" s="2"/>
      <c r="C4970" s="2"/>
      <c r="D4970" s="2"/>
      <c r="E4970" s="2"/>
      <c r="F4970" s="2"/>
      <c r="G4970" s="3"/>
      <c r="H4970" s="28">
        <v>649000.0</v>
      </c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</row>
    <row r="4971">
      <c r="A4971" s="1" t="s">
        <v>18</v>
      </c>
      <c r="B4971" s="2"/>
      <c r="C4971" s="2"/>
      <c r="D4971" s="2"/>
      <c r="E4971" s="2"/>
      <c r="F4971" s="2"/>
      <c r="G4971" s="2"/>
      <c r="H4971" s="3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</row>
    <row r="4976" ht="29.25" customHeight="1">
      <c r="A4976" s="1" t="s">
        <v>0</v>
      </c>
      <c r="B4976" s="2"/>
      <c r="C4976" s="2"/>
      <c r="D4976" s="2"/>
      <c r="E4976" s="2"/>
      <c r="F4976" s="2"/>
      <c r="G4976" s="2"/>
      <c r="H4976" s="3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</row>
    <row r="4977">
      <c r="A4977" s="6" t="s">
        <v>1135</v>
      </c>
      <c r="B4977" s="2"/>
      <c r="C4977" s="2"/>
      <c r="D4977" s="2"/>
      <c r="E4977" s="2"/>
      <c r="F4977" s="2"/>
      <c r="G4977" s="2"/>
      <c r="H4977" s="3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</row>
    <row r="4978">
      <c r="A4978" s="7" t="s">
        <v>2</v>
      </c>
      <c r="B4978" s="7" t="s">
        <v>3</v>
      </c>
      <c r="C4978" s="7" t="s">
        <v>4</v>
      </c>
      <c r="D4978" s="7" t="s">
        <v>5</v>
      </c>
      <c r="E4978" s="7" t="s">
        <v>6</v>
      </c>
      <c r="F4978" s="8" t="s">
        <v>7</v>
      </c>
      <c r="G4978" s="7" t="s">
        <v>8</v>
      </c>
      <c r="H4978" s="9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</row>
    <row r="4979">
      <c r="A4979" s="10">
        <v>1.0</v>
      </c>
      <c r="B4979" s="33" t="s">
        <v>1056</v>
      </c>
      <c r="C4979" s="34" t="s">
        <v>1136</v>
      </c>
      <c r="D4979" s="13" t="s">
        <v>11</v>
      </c>
      <c r="E4979" s="35">
        <v>3.0</v>
      </c>
      <c r="F4979" s="15">
        <v>293000.0</v>
      </c>
      <c r="G4979" s="16">
        <f t="shared" ref="G4979:G4981" si="331">IFERROR(E4979*F4979,0)</f>
        <v>879000</v>
      </c>
      <c r="H4979" s="17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</row>
    <row r="4980">
      <c r="A4980" s="10">
        <v>2.0</v>
      </c>
      <c r="B4980" s="36" t="s">
        <v>12</v>
      </c>
      <c r="C4980" s="37" t="s">
        <v>1137</v>
      </c>
      <c r="D4980" s="20" t="s">
        <v>13</v>
      </c>
      <c r="E4980" s="38">
        <v>0.67</v>
      </c>
      <c r="F4980" s="22">
        <v>435000.0</v>
      </c>
      <c r="G4980" s="16">
        <f t="shared" si="331"/>
        <v>291450</v>
      </c>
      <c r="H4980" s="17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</row>
    <row r="4981">
      <c r="A4981" s="10">
        <v>3.0</v>
      </c>
      <c r="B4981" s="23" t="s">
        <v>14</v>
      </c>
      <c r="C4981" s="17"/>
      <c r="D4981" s="17"/>
      <c r="E4981" s="17"/>
      <c r="F4981" s="17"/>
      <c r="G4981" s="24">
        <f t="shared" si="331"/>
        <v>0</v>
      </c>
      <c r="H4981" s="17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</row>
    <row r="4982">
      <c r="A4982" s="25" t="s">
        <v>15</v>
      </c>
      <c r="B4982" s="2"/>
      <c r="C4982" s="2"/>
      <c r="D4982" s="2"/>
      <c r="E4982" s="2"/>
      <c r="F4982" s="2"/>
      <c r="G4982" s="3"/>
      <c r="H4982" s="26">
        <f>SUM(G4979:G4981)</f>
        <v>1170450</v>
      </c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</row>
    <row r="4983">
      <c r="A4983" s="25" t="s">
        <v>16</v>
      </c>
      <c r="B4983" s="2"/>
      <c r="C4983" s="2"/>
      <c r="D4983" s="2"/>
      <c r="E4983" s="2"/>
      <c r="F4983" s="2"/>
      <c r="G4983" s="3"/>
      <c r="H4983" s="26">
        <f>MAX(0,H4982-648000)</f>
        <v>522450</v>
      </c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</row>
    <row r="4984">
      <c r="A4984" s="27" t="s">
        <v>17</v>
      </c>
      <c r="B4984" s="2"/>
      <c r="C4984" s="2"/>
      <c r="D4984" s="2"/>
      <c r="E4984" s="2"/>
      <c r="F4984" s="2"/>
      <c r="G4984" s="3"/>
      <c r="H4984" s="28">
        <v>649000.0</v>
      </c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</row>
    <row r="4985">
      <c r="A4985" s="1" t="s">
        <v>18</v>
      </c>
      <c r="B4985" s="2"/>
      <c r="C4985" s="2"/>
      <c r="D4985" s="2"/>
      <c r="E4985" s="2"/>
      <c r="F4985" s="2"/>
      <c r="G4985" s="2"/>
      <c r="H4985" s="3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</row>
    <row r="4991" ht="29.25" customHeight="1">
      <c r="A4991" s="1" t="s">
        <v>0</v>
      </c>
      <c r="B4991" s="2"/>
      <c r="C4991" s="2"/>
      <c r="D4991" s="2"/>
      <c r="E4991" s="2"/>
      <c r="F4991" s="2"/>
      <c r="G4991" s="2"/>
      <c r="H4991" s="3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</row>
    <row r="4992">
      <c r="A4992" s="6" t="s">
        <v>1138</v>
      </c>
      <c r="B4992" s="2"/>
      <c r="C4992" s="2"/>
      <c r="D4992" s="2"/>
      <c r="E4992" s="2"/>
      <c r="F4992" s="2"/>
      <c r="G4992" s="2"/>
      <c r="H4992" s="3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</row>
    <row r="4993">
      <c r="A4993" s="7" t="s">
        <v>2</v>
      </c>
      <c r="B4993" s="7" t="s">
        <v>3</v>
      </c>
      <c r="C4993" s="7" t="s">
        <v>4</v>
      </c>
      <c r="D4993" s="7" t="s">
        <v>5</v>
      </c>
      <c r="E4993" s="7" t="s">
        <v>6</v>
      </c>
      <c r="F4993" s="8" t="s">
        <v>7</v>
      </c>
      <c r="G4993" s="7" t="s">
        <v>8</v>
      </c>
      <c r="H4993" s="9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</row>
    <row r="4994">
      <c r="A4994" s="10">
        <v>1.0</v>
      </c>
      <c r="B4994" s="33" t="s">
        <v>72</v>
      </c>
      <c r="C4994" s="34" t="s">
        <v>1139</v>
      </c>
      <c r="D4994" s="13" t="s">
        <v>11</v>
      </c>
      <c r="E4994" s="35">
        <v>3.0</v>
      </c>
      <c r="F4994" s="15">
        <v>293000.0</v>
      </c>
      <c r="G4994" s="16">
        <f t="shared" ref="G4994:G4996" si="332">IFERROR(E4994*F4994,0)</f>
        <v>879000</v>
      </c>
      <c r="H4994" s="17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</row>
    <row r="4995">
      <c r="A4995" s="10">
        <v>2.0</v>
      </c>
      <c r="B4995" s="36" t="s">
        <v>895</v>
      </c>
      <c r="C4995" s="37" t="s">
        <v>1140</v>
      </c>
      <c r="D4995" s="20" t="s">
        <v>13</v>
      </c>
      <c r="E4995" s="38">
        <v>0.51</v>
      </c>
      <c r="F4995" s="22">
        <v>435000.0</v>
      </c>
      <c r="G4995" s="16">
        <f t="shared" si="332"/>
        <v>221850</v>
      </c>
      <c r="H4995" s="17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</row>
    <row r="4996">
      <c r="A4996" s="10">
        <v>3.0</v>
      </c>
      <c r="B4996" s="23" t="s">
        <v>14</v>
      </c>
      <c r="C4996" s="17"/>
      <c r="D4996" s="17"/>
      <c r="E4996" s="17"/>
      <c r="F4996" s="17"/>
      <c r="G4996" s="24">
        <f t="shared" si="332"/>
        <v>0</v>
      </c>
      <c r="H4996" s="17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</row>
    <row r="4997">
      <c r="A4997" s="25" t="s">
        <v>15</v>
      </c>
      <c r="B4997" s="2"/>
      <c r="C4997" s="2"/>
      <c r="D4997" s="2"/>
      <c r="E4997" s="2"/>
      <c r="F4997" s="2"/>
      <c r="G4997" s="3"/>
      <c r="H4997" s="26">
        <f>SUM(G4994:G4996)</f>
        <v>1100850</v>
      </c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</row>
    <row r="4998">
      <c r="A4998" s="25" t="s">
        <v>16</v>
      </c>
      <c r="B4998" s="2"/>
      <c r="C4998" s="2"/>
      <c r="D4998" s="2"/>
      <c r="E4998" s="2"/>
      <c r="F4998" s="2"/>
      <c r="G4998" s="3"/>
      <c r="H4998" s="26">
        <f>MAX(0,H4997-648000)</f>
        <v>452850</v>
      </c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</row>
    <row r="4999">
      <c r="A4999" s="27" t="s">
        <v>17</v>
      </c>
      <c r="B4999" s="2"/>
      <c r="C4999" s="2"/>
      <c r="D4999" s="2"/>
      <c r="E4999" s="2"/>
      <c r="F4999" s="2"/>
      <c r="G4999" s="3"/>
      <c r="H4999" s="28">
        <v>649000.0</v>
      </c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</row>
    <row r="5000">
      <c r="A5000" s="1" t="s">
        <v>18</v>
      </c>
      <c r="B5000" s="2"/>
      <c r="C5000" s="2"/>
      <c r="D5000" s="2"/>
      <c r="E5000" s="2"/>
      <c r="F5000" s="2"/>
      <c r="G5000" s="2"/>
      <c r="H5000" s="3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</row>
    <row r="5006" ht="29.25" customHeight="1">
      <c r="A5006" s="1" t="s">
        <v>0</v>
      </c>
      <c r="B5006" s="2"/>
      <c r="C5006" s="2"/>
      <c r="D5006" s="2"/>
      <c r="E5006" s="2"/>
      <c r="F5006" s="2"/>
      <c r="G5006" s="2"/>
      <c r="H5006" s="3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</row>
    <row r="5007">
      <c r="A5007" s="6" t="s">
        <v>1141</v>
      </c>
      <c r="B5007" s="2"/>
      <c r="C5007" s="2"/>
      <c r="D5007" s="2"/>
      <c r="E5007" s="2"/>
      <c r="F5007" s="2"/>
      <c r="G5007" s="2"/>
      <c r="H5007" s="3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</row>
    <row r="5008">
      <c r="A5008" s="7" t="s">
        <v>2</v>
      </c>
      <c r="B5008" s="7" t="s">
        <v>3</v>
      </c>
      <c r="C5008" s="7" t="s">
        <v>4</v>
      </c>
      <c r="D5008" s="7" t="s">
        <v>5</v>
      </c>
      <c r="E5008" s="7" t="s">
        <v>6</v>
      </c>
      <c r="F5008" s="8" t="s">
        <v>7</v>
      </c>
      <c r="G5008" s="7" t="s">
        <v>8</v>
      </c>
      <c r="H5008" s="9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</row>
    <row r="5009">
      <c r="A5009" s="10">
        <v>1.0</v>
      </c>
      <c r="B5009" s="33" t="s">
        <v>1091</v>
      </c>
      <c r="C5009" s="34" t="s">
        <v>1142</v>
      </c>
      <c r="D5009" s="13" t="s">
        <v>11</v>
      </c>
      <c r="E5009" s="35">
        <v>2.3</v>
      </c>
      <c r="F5009" s="15">
        <v>293000.0</v>
      </c>
      <c r="G5009" s="16">
        <f t="shared" ref="G5009:G5011" si="333">IFERROR(E5009*F5009,0)</f>
        <v>673900</v>
      </c>
      <c r="H5009" s="17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</row>
    <row r="5010">
      <c r="A5010" s="10">
        <v>2.0</v>
      </c>
      <c r="B5010" s="36" t="s">
        <v>1143</v>
      </c>
      <c r="C5010" s="37" t="s">
        <v>1144</v>
      </c>
      <c r="D5010" s="20" t="s">
        <v>13</v>
      </c>
      <c r="E5010" s="38">
        <v>1.45</v>
      </c>
      <c r="F5010" s="22">
        <v>435000.0</v>
      </c>
      <c r="G5010" s="16">
        <f t="shared" si="333"/>
        <v>630750</v>
      </c>
      <c r="H5010" s="17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</row>
    <row r="5011">
      <c r="A5011" s="10">
        <v>3.0</v>
      </c>
      <c r="B5011" s="23" t="s">
        <v>14</v>
      </c>
      <c r="C5011" s="17"/>
      <c r="D5011" s="17"/>
      <c r="E5011" s="17"/>
      <c r="F5011" s="17"/>
      <c r="G5011" s="24">
        <f t="shared" si="333"/>
        <v>0</v>
      </c>
      <c r="H5011" s="17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</row>
    <row r="5012">
      <c r="A5012" s="25" t="s">
        <v>15</v>
      </c>
      <c r="B5012" s="2"/>
      <c r="C5012" s="2"/>
      <c r="D5012" s="2"/>
      <c r="E5012" s="2"/>
      <c r="F5012" s="2"/>
      <c r="G5012" s="3"/>
      <c r="H5012" s="26">
        <f>SUM(G5009:G5011)</f>
        <v>1304650</v>
      </c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</row>
    <row r="5013">
      <c r="A5013" s="25" t="s">
        <v>16</v>
      </c>
      <c r="B5013" s="2"/>
      <c r="C5013" s="2"/>
      <c r="D5013" s="2"/>
      <c r="E5013" s="2"/>
      <c r="F5013" s="2"/>
      <c r="G5013" s="3"/>
      <c r="H5013" s="26">
        <f>MAX(0,H5012-648000)</f>
        <v>656650</v>
      </c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</row>
    <row r="5014">
      <c r="A5014" s="27" t="s">
        <v>17</v>
      </c>
      <c r="B5014" s="2"/>
      <c r="C5014" s="2"/>
      <c r="D5014" s="2"/>
      <c r="E5014" s="2"/>
      <c r="F5014" s="2"/>
      <c r="G5014" s="3"/>
      <c r="H5014" s="28">
        <v>649000.0</v>
      </c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</row>
    <row r="5015">
      <c r="A5015" s="1" t="s">
        <v>18</v>
      </c>
      <c r="B5015" s="2"/>
      <c r="C5015" s="2"/>
      <c r="D5015" s="2"/>
      <c r="E5015" s="2"/>
      <c r="F5015" s="2"/>
      <c r="G5015" s="2"/>
      <c r="H5015" s="3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</row>
    <row r="5022" ht="29.25" customHeight="1">
      <c r="A5022" s="1" t="s">
        <v>0</v>
      </c>
      <c r="B5022" s="2"/>
      <c r="C5022" s="2"/>
      <c r="D5022" s="2"/>
      <c r="E5022" s="2"/>
      <c r="F5022" s="2"/>
      <c r="G5022" s="2"/>
      <c r="H5022" s="3"/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</row>
    <row r="5023">
      <c r="A5023" s="6" t="s">
        <v>1145</v>
      </c>
      <c r="B5023" s="2"/>
      <c r="C5023" s="2"/>
      <c r="D5023" s="2"/>
      <c r="E5023" s="2"/>
      <c r="F5023" s="2"/>
      <c r="G5023" s="2"/>
      <c r="H5023" s="3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</row>
    <row r="5024">
      <c r="A5024" s="7" t="s">
        <v>2</v>
      </c>
      <c r="B5024" s="7" t="s">
        <v>3</v>
      </c>
      <c r="C5024" s="7" t="s">
        <v>4</v>
      </c>
      <c r="D5024" s="7" t="s">
        <v>5</v>
      </c>
      <c r="E5024" s="7" t="s">
        <v>6</v>
      </c>
      <c r="F5024" s="8" t="s">
        <v>7</v>
      </c>
      <c r="G5024" s="7" t="s">
        <v>8</v>
      </c>
      <c r="H5024" s="9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</row>
    <row r="5025">
      <c r="A5025" s="10">
        <v>1.0</v>
      </c>
      <c r="B5025" s="33" t="s">
        <v>72</v>
      </c>
      <c r="C5025" s="34" t="s">
        <v>1146</v>
      </c>
      <c r="D5025" s="13" t="s">
        <v>11</v>
      </c>
      <c r="E5025" s="35">
        <v>1.5</v>
      </c>
      <c r="F5025" s="15">
        <v>293000.0</v>
      </c>
      <c r="G5025" s="16">
        <f t="shared" ref="G5025:G5027" si="334">IFERROR(E5025*F5025,0)</f>
        <v>439500</v>
      </c>
      <c r="H5025" s="17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</row>
    <row r="5026">
      <c r="A5026" s="10">
        <v>2.0</v>
      </c>
      <c r="B5026" s="36" t="s">
        <v>526</v>
      </c>
      <c r="C5026" s="37" t="s">
        <v>1147</v>
      </c>
      <c r="D5026" s="20" t="s">
        <v>13</v>
      </c>
      <c r="E5026" s="38">
        <v>2.0</v>
      </c>
      <c r="F5026" s="22">
        <v>435000.0</v>
      </c>
      <c r="G5026" s="16">
        <f t="shared" si="334"/>
        <v>870000</v>
      </c>
      <c r="H5026" s="17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</row>
    <row r="5027">
      <c r="A5027" s="10">
        <v>3.0</v>
      </c>
      <c r="B5027" s="23" t="s">
        <v>14</v>
      </c>
      <c r="C5027" s="17"/>
      <c r="D5027" s="17"/>
      <c r="E5027" s="17"/>
      <c r="F5027" s="17"/>
      <c r="G5027" s="24">
        <f t="shared" si="334"/>
        <v>0</v>
      </c>
      <c r="H5027" s="17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</row>
    <row r="5028">
      <c r="A5028" s="25" t="s">
        <v>15</v>
      </c>
      <c r="B5028" s="2"/>
      <c r="C5028" s="2"/>
      <c r="D5028" s="2"/>
      <c r="E5028" s="2"/>
      <c r="F5028" s="2"/>
      <c r="G5028" s="3"/>
      <c r="H5028" s="26">
        <f>SUM(G5025:G5027)</f>
        <v>1309500</v>
      </c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</row>
    <row r="5029">
      <c r="A5029" s="25" t="s">
        <v>16</v>
      </c>
      <c r="B5029" s="2"/>
      <c r="C5029" s="2"/>
      <c r="D5029" s="2"/>
      <c r="E5029" s="2"/>
      <c r="F5029" s="2"/>
      <c r="G5029" s="3"/>
      <c r="H5029" s="26">
        <f>MAX(0,H5028-648000)</f>
        <v>661500</v>
      </c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</row>
    <row r="5030">
      <c r="A5030" s="27" t="s">
        <v>17</v>
      </c>
      <c r="B5030" s="2"/>
      <c r="C5030" s="2"/>
      <c r="D5030" s="2"/>
      <c r="E5030" s="2"/>
      <c r="F5030" s="2"/>
      <c r="G5030" s="3"/>
      <c r="H5030" s="28">
        <v>649000.0</v>
      </c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</row>
    <row r="5031">
      <c r="A5031" s="1" t="s">
        <v>18</v>
      </c>
      <c r="B5031" s="2"/>
      <c r="C5031" s="2"/>
      <c r="D5031" s="2"/>
      <c r="E5031" s="2"/>
      <c r="F5031" s="2"/>
      <c r="G5031" s="2"/>
      <c r="H5031" s="3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</row>
    <row r="5035" ht="29.25" customHeight="1">
      <c r="A5035" s="1" t="s">
        <v>0</v>
      </c>
      <c r="B5035" s="2"/>
      <c r="C5035" s="2"/>
      <c r="D5035" s="2"/>
      <c r="E5035" s="2"/>
      <c r="F5035" s="2"/>
      <c r="G5035" s="2"/>
      <c r="H5035" s="3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</row>
    <row r="5036">
      <c r="A5036" s="6" t="s">
        <v>1148</v>
      </c>
      <c r="B5036" s="2"/>
      <c r="C5036" s="2"/>
      <c r="D5036" s="2"/>
      <c r="E5036" s="2"/>
      <c r="F5036" s="2"/>
      <c r="G5036" s="2"/>
      <c r="H5036" s="3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</row>
    <row r="5037">
      <c r="A5037" s="7" t="s">
        <v>2</v>
      </c>
      <c r="B5037" s="7" t="s">
        <v>3</v>
      </c>
      <c r="C5037" s="7" t="s">
        <v>4</v>
      </c>
      <c r="D5037" s="7" t="s">
        <v>5</v>
      </c>
      <c r="E5037" s="7" t="s">
        <v>6</v>
      </c>
      <c r="F5037" s="8" t="s">
        <v>7</v>
      </c>
      <c r="G5037" s="7" t="s">
        <v>8</v>
      </c>
      <c r="H5037" s="9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</row>
    <row r="5038">
      <c r="A5038" s="10">
        <v>1.0</v>
      </c>
      <c r="B5038" s="33" t="s">
        <v>12</v>
      </c>
      <c r="C5038" s="34" t="s">
        <v>1149</v>
      </c>
      <c r="D5038" s="13" t="s">
        <v>11</v>
      </c>
      <c r="E5038" s="35">
        <v>1.95</v>
      </c>
      <c r="F5038" s="15">
        <v>293000.0</v>
      </c>
      <c r="G5038" s="16">
        <f t="shared" ref="G5038:G5040" si="335">IFERROR(E5038*F5038,0)</f>
        <v>571350</v>
      </c>
      <c r="H5038" s="17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</row>
    <row r="5039">
      <c r="A5039" s="10">
        <v>2.0</v>
      </c>
      <c r="B5039" s="36" t="s">
        <v>218</v>
      </c>
      <c r="C5039" s="37" t="s">
        <v>1150</v>
      </c>
      <c r="D5039" s="20" t="s">
        <v>13</v>
      </c>
      <c r="E5039" s="38">
        <v>1.64</v>
      </c>
      <c r="F5039" s="22">
        <v>435000.0</v>
      </c>
      <c r="G5039" s="16">
        <f t="shared" si="335"/>
        <v>713400</v>
      </c>
      <c r="H5039" s="17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</row>
    <row r="5040">
      <c r="A5040" s="10">
        <v>3.0</v>
      </c>
      <c r="B5040" s="23" t="s">
        <v>14</v>
      </c>
      <c r="C5040" s="17"/>
      <c r="D5040" s="17"/>
      <c r="E5040" s="17"/>
      <c r="F5040" s="17"/>
      <c r="G5040" s="24">
        <f t="shared" si="335"/>
        <v>0</v>
      </c>
      <c r="H5040" s="17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</row>
    <row r="5041">
      <c r="A5041" s="25" t="s">
        <v>15</v>
      </c>
      <c r="B5041" s="2"/>
      <c r="C5041" s="2"/>
      <c r="D5041" s="2"/>
      <c r="E5041" s="2"/>
      <c r="F5041" s="2"/>
      <c r="G5041" s="3"/>
      <c r="H5041" s="26">
        <f>SUM(G5038:G5040)</f>
        <v>1284750</v>
      </c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</row>
    <row r="5042">
      <c r="A5042" s="25" t="s">
        <v>16</v>
      </c>
      <c r="B5042" s="2"/>
      <c r="C5042" s="2"/>
      <c r="D5042" s="2"/>
      <c r="E5042" s="2"/>
      <c r="F5042" s="2"/>
      <c r="G5042" s="3"/>
      <c r="H5042" s="26">
        <f>MAX(0,H5041-648000)</f>
        <v>636750</v>
      </c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</row>
    <row r="5043">
      <c r="A5043" s="27" t="s">
        <v>17</v>
      </c>
      <c r="B5043" s="2"/>
      <c r="C5043" s="2"/>
      <c r="D5043" s="2"/>
      <c r="E5043" s="2"/>
      <c r="F5043" s="2"/>
      <c r="G5043" s="3"/>
      <c r="H5043" s="28">
        <v>649000.0</v>
      </c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</row>
    <row r="5044">
      <c r="A5044" s="1" t="s">
        <v>18</v>
      </c>
      <c r="B5044" s="2"/>
      <c r="C5044" s="2"/>
      <c r="D5044" s="2"/>
      <c r="E5044" s="2"/>
      <c r="F5044" s="2"/>
      <c r="G5044" s="2"/>
      <c r="H5044" s="3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</row>
    <row r="5049" ht="29.25" customHeight="1">
      <c r="A5049" s="1" t="s">
        <v>0</v>
      </c>
      <c r="B5049" s="2"/>
      <c r="C5049" s="2"/>
      <c r="D5049" s="2"/>
      <c r="E5049" s="2"/>
      <c r="F5049" s="2"/>
      <c r="G5049" s="2"/>
      <c r="H5049" s="3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</row>
    <row r="5050">
      <c r="A5050" s="6" t="s">
        <v>1151</v>
      </c>
      <c r="B5050" s="2"/>
      <c r="C5050" s="2"/>
      <c r="D5050" s="2"/>
      <c r="E5050" s="2"/>
      <c r="F5050" s="2"/>
      <c r="G5050" s="2"/>
      <c r="H5050" s="3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</row>
    <row r="5051">
      <c r="A5051" s="7" t="s">
        <v>2</v>
      </c>
      <c r="B5051" s="7" t="s">
        <v>3</v>
      </c>
      <c r="C5051" s="7" t="s">
        <v>4</v>
      </c>
      <c r="D5051" s="7" t="s">
        <v>5</v>
      </c>
      <c r="E5051" s="7" t="s">
        <v>6</v>
      </c>
      <c r="F5051" s="8" t="s">
        <v>7</v>
      </c>
      <c r="G5051" s="7" t="s">
        <v>8</v>
      </c>
      <c r="H5051" s="9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</row>
    <row r="5052">
      <c r="A5052" s="10">
        <v>1.0</v>
      </c>
      <c r="B5052" s="33" t="s">
        <v>544</v>
      </c>
      <c r="C5052" s="34" t="s">
        <v>648</v>
      </c>
      <c r="D5052" s="13" t="s">
        <v>11</v>
      </c>
      <c r="E5052" s="35">
        <v>2.0</v>
      </c>
      <c r="F5052" s="15">
        <v>293000.0</v>
      </c>
      <c r="G5052" s="16">
        <f t="shared" ref="G5052:G5054" si="336">IFERROR(E5052*F5052,0)</f>
        <v>586000</v>
      </c>
      <c r="H5052" s="17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</row>
    <row r="5053">
      <c r="A5053" s="10">
        <v>2.0</v>
      </c>
      <c r="B5053" s="36" t="s">
        <v>36</v>
      </c>
      <c r="C5053" s="37" t="s">
        <v>1152</v>
      </c>
      <c r="D5053" s="20" t="s">
        <v>13</v>
      </c>
      <c r="E5053" s="38">
        <v>1.45</v>
      </c>
      <c r="F5053" s="22">
        <v>435000.0</v>
      </c>
      <c r="G5053" s="16">
        <f t="shared" si="336"/>
        <v>630750</v>
      </c>
      <c r="H5053" s="17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</row>
    <row r="5054">
      <c r="A5054" s="10">
        <v>3.0</v>
      </c>
      <c r="B5054" s="23" t="s">
        <v>14</v>
      </c>
      <c r="C5054" s="17"/>
      <c r="D5054" s="17"/>
      <c r="E5054" s="17"/>
      <c r="F5054" s="17"/>
      <c r="G5054" s="24">
        <f t="shared" si="336"/>
        <v>0</v>
      </c>
      <c r="H5054" s="17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</row>
    <row r="5055">
      <c r="A5055" s="25" t="s">
        <v>15</v>
      </c>
      <c r="B5055" s="2"/>
      <c r="C5055" s="2"/>
      <c r="D5055" s="2"/>
      <c r="E5055" s="2"/>
      <c r="F5055" s="2"/>
      <c r="G5055" s="3"/>
      <c r="H5055" s="26">
        <f>SUM(G5052:G5054)</f>
        <v>1216750</v>
      </c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</row>
    <row r="5056">
      <c r="A5056" s="25" t="s">
        <v>16</v>
      </c>
      <c r="B5056" s="2"/>
      <c r="C5056" s="2"/>
      <c r="D5056" s="2"/>
      <c r="E5056" s="2"/>
      <c r="F5056" s="2"/>
      <c r="G5056" s="3"/>
      <c r="H5056" s="26">
        <f>MAX(0,H5055-648000)</f>
        <v>568750</v>
      </c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</row>
    <row r="5057">
      <c r="A5057" s="27" t="s">
        <v>17</v>
      </c>
      <c r="B5057" s="2"/>
      <c r="C5057" s="2"/>
      <c r="D5057" s="2"/>
      <c r="E5057" s="2"/>
      <c r="F5057" s="2"/>
      <c r="G5057" s="3"/>
      <c r="H5057" s="28">
        <v>649000.0</v>
      </c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</row>
    <row r="5058">
      <c r="A5058" s="1" t="s">
        <v>18</v>
      </c>
      <c r="B5058" s="2"/>
      <c r="C5058" s="2"/>
      <c r="D5058" s="2"/>
      <c r="E5058" s="2"/>
      <c r="F5058" s="2"/>
      <c r="G5058" s="2"/>
      <c r="H5058" s="3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</row>
    <row r="5064" ht="29.25" customHeight="1">
      <c r="A5064" s="1" t="s">
        <v>0</v>
      </c>
      <c r="B5064" s="2"/>
      <c r="C5064" s="2"/>
      <c r="D5064" s="2"/>
      <c r="E5064" s="2"/>
      <c r="F5064" s="2"/>
      <c r="G5064" s="2"/>
      <c r="H5064" s="3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</row>
    <row r="5065">
      <c r="A5065" s="6" t="s">
        <v>1153</v>
      </c>
      <c r="B5065" s="2"/>
      <c r="C5065" s="2"/>
      <c r="D5065" s="2"/>
      <c r="E5065" s="2"/>
      <c r="F5065" s="2"/>
      <c r="G5065" s="2"/>
      <c r="H5065" s="3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</row>
    <row r="5066">
      <c r="A5066" s="7" t="s">
        <v>2</v>
      </c>
      <c r="B5066" s="7" t="s">
        <v>3</v>
      </c>
      <c r="C5066" s="7" t="s">
        <v>4</v>
      </c>
      <c r="D5066" s="7" t="s">
        <v>5</v>
      </c>
      <c r="E5066" s="7" t="s">
        <v>6</v>
      </c>
      <c r="F5066" s="8" t="s">
        <v>7</v>
      </c>
      <c r="G5066" s="7" t="s">
        <v>8</v>
      </c>
      <c r="H5066" s="9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</row>
    <row r="5067">
      <c r="A5067" s="10">
        <v>1.0</v>
      </c>
      <c r="B5067" s="33" t="s">
        <v>544</v>
      </c>
      <c r="C5067" s="34" t="s">
        <v>1154</v>
      </c>
      <c r="D5067" s="13" t="s">
        <v>11</v>
      </c>
      <c r="E5067" s="35">
        <v>2.0</v>
      </c>
      <c r="F5067" s="15">
        <v>293000.0</v>
      </c>
      <c r="G5067" s="16">
        <f t="shared" ref="G5067:G5069" si="337">IFERROR(E5067*F5067,0)</f>
        <v>586000</v>
      </c>
      <c r="H5067" s="17"/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</row>
    <row r="5068">
      <c r="A5068" s="10">
        <v>2.0</v>
      </c>
      <c r="B5068" s="36" t="s">
        <v>65</v>
      </c>
      <c r="C5068" s="37" t="s">
        <v>394</v>
      </c>
      <c r="D5068" s="20" t="s">
        <v>13</v>
      </c>
      <c r="E5068" s="38">
        <v>1.49</v>
      </c>
      <c r="F5068" s="22">
        <v>435000.0</v>
      </c>
      <c r="G5068" s="16">
        <f t="shared" si="337"/>
        <v>648150</v>
      </c>
      <c r="H5068" s="17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</row>
    <row r="5069">
      <c r="A5069" s="10">
        <v>3.0</v>
      </c>
      <c r="B5069" s="23" t="s">
        <v>14</v>
      </c>
      <c r="C5069" s="17"/>
      <c r="D5069" s="17"/>
      <c r="E5069" s="17"/>
      <c r="F5069" s="17"/>
      <c r="G5069" s="24">
        <f t="shared" si="337"/>
        <v>0</v>
      </c>
      <c r="H5069" s="17"/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</row>
    <row r="5070">
      <c r="A5070" s="25" t="s">
        <v>15</v>
      </c>
      <c r="B5070" s="2"/>
      <c r="C5070" s="2"/>
      <c r="D5070" s="2"/>
      <c r="E5070" s="2"/>
      <c r="F5070" s="2"/>
      <c r="G5070" s="3"/>
      <c r="H5070" s="26">
        <f>SUM(G5067:G5069)</f>
        <v>1234150</v>
      </c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</row>
    <row r="5071">
      <c r="A5071" s="25" t="s">
        <v>16</v>
      </c>
      <c r="B5071" s="2"/>
      <c r="C5071" s="2"/>
      <c r="D5071" s="2"/>
      <c r="E5071" s="2"/>
      <c r="F5071" s="2"/>
      <c r="G5071" s="3"/>
      <c r="H5071" s="26">
        <f>MAX(0,H5070-648000)</f>
        <v>586150</v>
      </c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</row>
    <row r="5072">
      <c r="A5072" s="27" t="s">
        <v>17</v>
      </c>
      <c r="B5072" s="2"/>
      <c r="C5072" s="2"/>
      <c r="D5072" s="2"/>
      <c r="E5072" s="2"/>
      <c r="F5072" s="2"/>
      <c r="G5072" s="3"/>
      <c r="H5072" s="28">
        <v>649000.0</v>
      </c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</row>
    <row r="5073">
      <c r="A5073" s="1" t="s">
        <v>18</v>
      </c>
      <c r="B5073" s="2"/>
      <c r="C5073" s="2"/>
      <c r="D5073" s="2"/>
      <c r="E5073" s="2"/>
      <c r="F5073" s="2"/>
      <c r="G5073" s="2"/>
      <c r="H5073" s="3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</row>
    <row r="5080" ht="29.25" customHeight="1">
      <c r="A5080" s="1" t="s">
        <v>0</v>
      </c>
      <c r="B5080" s="2"/>
      <c r="C5080" s="2"/>
      <c r="D5080" s="2"/>
      <c r="E5080" s="2"/>
      <c r="F5080" s="2"/>
      <c r="G5080" s="2"/>
      <c r="H5080" s="3"/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</row>
    <row r="5081">
      <c r="A5081" s="6" t="s">
        <v>1155</v>
      </c>
      <c r="B5081" s="2"/>
      <c r="C5081" s="2"/>
      <c r="D5081" s="2"/>
      <c r="E5081" s="2"/>
      <c r="F5081" s="2"/>
      <c r="G5081" s="2"/>
      <c r="H5081" s="3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</row>
    <row r="5082">
      <c r="A5082" s="7" t="s">
        <v>2</v>
      </c>
      <c r="B5082" s="7" t="s">
        <v>3</v>
      </c>
      <c r="C5082" s="7" t="s">
        <v>4</v>
      </c>
      <c r="D5082" s="7" t="s">
        <v>5</v>
      </c>
      <c r="E5082" s="7" t="s">
        <v>6</v>
      </c>
      <c r="F5082" s="8" t="s">
        <v>7</v>
      </c>
      <c r="G5082" s="7" t="s">
        <v>8</v>
      </c>
      <c r="H5082" s="9"/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</row>
    <row r="5083">
      <c r="A5083" s="10">
        <v>1.0</v>
      </c>
      <c r="B5083" s="33" t="s">
        <v>544</v>
      </c>
      <c r="C5083" s="34" t="s">
        <v>1105</v>
      </c>
      <c r="D5083" s="13" t="s">
        <v>11</v>
      </c>
      <c r="E5083" s="35">
        <v>1.65</v>
      </c>
      <c r="F5083" s="15">
        <v>293000.0</v>
      </c>
      <c r="G5083" s="16">
        <f t="shared" ref="G5083:G5085" si="338">IFERROR(E5083*F5083,0)</f>
        <v>483450</v>
      </c>
      <c r="H5083" s="17"/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</row>
    <row r="5084">
      <c r="A5084" s="10">
        <v>2.0</v>
      </c>
      <c r="B5084" s="36" t="s">
        <v>258</v>
      </c>
      <c r="C5084" s="37" t="s">
        <v>1156</v>
      </c>
      <c r="D5084" s="20" t="s">
        <v>13</v>
      </c>
      <c r="E5084" s="38">
        <v>1.5</v>
      </c>
      <c r="F5084" s="22">
        <v>435000.0</v>
      </c>
      <c r="G5084" s="16">
        <f t="shared" si="338"/>
        <v>652500</v>
      </c>
      <c r="H5084" s="17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</row>
    <row r="5085">
      <c r="A5085" s="10">
        <v>3.0</v>
      </c>
      <c r="B5085" s="23" t="s">
        <v>14</v>
      </c>
      <c r="C5085" s="17"/>
      <c r="D5085" s="17"/>
      <c r="E5085" s="17"/>
      <c r="F5085" s="17"/>
      <c r="G5085" s="24">
        <f t="shared" si="338"/>
        <v>0</v>
      </c>
      <c r="H5085" s="17"/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</row>
    <row r="5086">
      <c r="A5086" s="25" t="s">
        <v>15</v>
      </c>
      <c r="B5086" s="2"/>
      <c r="C5086" s="2"/>
      <c r="D5086" s="2"/>
      <c r="E5086" s="2"/>
      <c r="F5086" s="2"/>
      <c r="G5086" s="3"/>
      <c r="H5086" s="26">
        <f>SUM(G5083:G5085)</f>
        <v>1135950</v>
      </c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</row>
    <row r="5087">
      <c r="A5087" s="25" t="s">
        <v>16</v>
      </c>
      <c r="B5087" s="2"/>
      <c r="C5087" s="2"/>
      <c r="D5087" s="2"/>
      <c r="E5087" s="2"/>
      <c r="F5087" s="2"/>
      <c r="G5087" s="3"/>
      <c r="H5087" s="26">
        <f>MAX(0,H5086-648000)</f>
        <v>487950</v>
      </c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</row>
    <row r="5088">
      <c r="A5088" s="27" t="s">
        <v>17</v>
      </c>
      <c r="B5088" s="2"/>
      <c r="C5088" s="2"/>
      <c r="D5088" s="2"/>
      <c r="E5088" s="2"/>
      <c r="F5088" s="2"/>
      <c r="G5088" s="3"/>
      <c r="H5088" s="28">
        <v>649000.0</v>
      </c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</row>
    <row r="5089">
      <c r="A5089" s="1" t="s">
        <v>18</v>
      </c>
      <c r="B5089" s="2"/>
      <c r="C5089" s="2"/>
      <c r="D5089" s="2"/>
      <c r="E5089" s="2"/>
      <c r="F5089" s="2"/>
      <c r="G5089" s="2"/>
      <c r="H5089" s="3"/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</row>
    <row r="5095" ht="29.25" customHeight="1">
      <c r="A5095" s="1" t="s">
        <v>0</v>
      </c>
      <c r="B5095" s="2"/>
      <c r="C5095" s="2"/>
      <c r="D5095" s="2"/>
      <c r="E5095" s="2"/>
      <c r="F5095" s="2"/>
      <c r="G5095" s="2"/>
      <c r="H5095" s="3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</row>
    <row r="5096">
      <c r="A5096" s="6" t="s">
        <v>1157</v>
      </c>
      <c r="B5096" s="2"/>
      <c r="C5096" s="2"/>
      <c r="D5096" s="2"/>
      <c r="E5096" s="2"/>
      <c r="F5096" s="2"/>
      <c r="G5096" s="2"/>
      <c r="H5096" s="3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</row>
    <row r="5097">
      <c r="A5097" s="7" t="s">
        <v>2</v>
      </c>
      <c r="B5097" s="7" t="s">
        <v>3</v>
      </c>
      <c r="C5097" s="7" t="s">
        <v>4</v>
      </c>
      <c r="D5097" s="7" t="s">
        <v>5</v>
      </c>
      <c r="E5097" s="7" t="s">
        <v>6</v>
      </c>
      <c r="F5097" s="8" t="s">
        <v>7</v>
      </c>
      <c r="G5097" s="7" t="s">
        <v>8</v>
      </c>
      <c r="H5097" s="9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</row>
    <row r="5098">
      <c r="A5098" s="10">
        <v>1.0</v>
      </c>
      <c r="B5098" s="33" t="s">
        <v>175</v>
      </c>
      <c r="C5098" s="34" t="s">
        <v>1158</v>
      </c>
      <c r="D5098" s="13" t="s">
        <v>11</v>
      </c>
      <c r="E5098" s="35">
        <v>1.76</v>
      </c>
      <c r="F5098" s="15">
        <v>293000.0</v>
      </c>
      <c r="G5098" s="16">
        <f t="shared" ref="G5098:G5100" si="339">IFERROR(E5098*F5098,0)</f>
        <v>515680</v>
      </c>
      <c r="H5098" s="17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</row>
    <row r="5099">
      <c r="A5099" s="10">
        <v>2.0</v>
      </c>
      <c r="B5099" s="36" t="s">
        <v>98</v>
      </c>
      <c r="C5099" s="37" t="s">
        <v>1159</v>
      </c>
      <c r="D5099" s="20" t="s">
        <v>13</v>
      </c>
      <c r="E5099" s="38">
        <v>1.65</v>
      </c>
      <c r="F5099" s="22">
        <v>435000.0</v>
      </c>
      <c r="G5099" s="16">
        <f t="shared" si="339"/>
        <v>717750</v>
      </c>
      <c r="H5099" s="17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</row>
    <row r="5100">
      <c r="A5100" s="10">
        <v>3.0</v>
      </c>
      <c r="B5100" s="23" t="s">
        <v>14</v>
      </c>
      <c r="C5100" s="17"/>
      <c r="D5100" s="17"/>
      <c r="E5100" s="17"/>
      <c r="F5100" s="17"/>
      <c r="G5100" s="24">
        <f t="shared" si="339"/>
        <v>0</v>
      </c>
      <c r="H5100" s="17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</row>
    <row r="5101">
      <c r="A5101" s="25" t="s">
        <v>15</v>
      </c>
      <c r="B5101" s="2"/>
      <c r="C5101" s="2"/>
      <c r="D5101" s="2"/>
      <c r="E5101" s="2"/>
      <c r="F5101" s="2"/>
      <c r="G5101" s="3"/>
      <c r="H5101" s="26">
        <f>SUM(G5098:G5100)</f>
        <v>1233430</v>
      </c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</row>
    <row r="5102">
      <c r="A5102" s="25" t="s">
        <v>16</v>
      </c>
      <c r="B5102" s="2"/>
      <c r="C5102" s="2"/>
      <c r="D5102" s="2"/>
      <c r="E5102" s="2"/>
      <c r="F5102" s="2"/>
      <c r="G5102" s="3"/>
      <c r="H5102" s="26">
        <f>MAX(0,H5101-648000)</f>
        <v>585430</v>
      </c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</row>
    <row r="5103">
      <c r="A5103" s="27" t="s">
        <v>17</v>
      </c>
      <c r="B5103" s="2"/>
      <c r="C5103" s="2"/>
      <c r="D5103" s="2"/>
      <c r="E5103" s="2"/>
      <c r="F5103" s="2"/>
      <c r="G5103" s="3"/>
      <c r="H5103" s="28">
        <v>649000.0</v>
      </c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</row>
    <row r="5104">
      <c r="A5104" s="1" t="s">
        <v>18</v>
      </c>
      <c r="B5104" s="2"/>
      <c r="C5104" s="2"/>
      <c r="D5104" s="2"/>
      <c r="E5104" s="2"/>
      <c r="F5104" s="2"/>
      <c r="G5104" s="2"/>
      <c r="H5104" s="3"/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</row>
    <row r="5111" ht="29.25" customHeight="1">
      <c r="A5111" s="1" t="s">
        <v>0</v>
      </c>
      <c r="B5111" s="2"/>
      <c r="C5111" s="2"/>
      <c r="D5111" s="2"/>
      <c r="E5111" s="2"/>
      <c r="F5111" s="2"/>
      <c r="G5111" s="2"/>
      <c r="H5111" s="3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</row>
    <row r="5112">
      <c r="A5112" s="6" t="s">
        <v>1160</v>
      </c>
      <c r="B5112" s="2"/>
      <c r="C5112" s="2"/>
      <c r="D5112" s="2"/>
      <c r="E5112" s="2"/>
      <c r="F5112" s="2"/>
      <c r="G5112" s="2"/>
      <c r="H5112" s="3"/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</row>
    <row r="5113">
      <c r="A5113" s="7" t="s">
        <v>2</v>
      </c>
      <c r="B5113" s="7" t="s">
        <v>3</v>
      </c>
      <c r="C5113" s="7" t="s">
        <v>4</v>
      </c>
      <c r="D5113" s="7" t="s">
        <v>5</v>
      </c>
      <c r="E5113" s="7" t="s">
        <v>6</v>
      </c>
      <c r="F5113" s="8" t="s">
        <v>7</v>
      </c>
      <c r="G5113" s="7" t="s">
        <v>8</v>
      </c>
      <c r="H5113" s="9"/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</row>
    <row r="5114">
      <c r="A5114" s="10">
        <v>1.0</v>
      </c>
      <c r="B5114" s="33" t="s">
        <v>544</v>
      </c>
      <c r="C5114" s="34" t="s">
        <v>1161</v>
      </c>
      <c r="D5114" s="13" t="s">
        <v>11</v>
      </c>
      <c r="E5114" s="35">
        <v>2.0</v>
      </c>
      <c r="F5114" s="15">
        <v>293000.0</v>
      </c>
      <c r="G5114" s="16">
        <f t="shared" ref="G5114:G5116" si="340">IFERROR(E5114*F5114,0)</f>
        <v>586000</v>
      </c>
      <c r="H5114" s="17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</row>
    <row r="5115">
      <c r="A5115" s="10">
        <v>2.0</v>
      </c>
      <c r="B5115" s="36" t="s">
        <v>327</v>
      </c>
      <c r="C5115" s="37" t="s">
        <v>1162</v>
      </c>
      <c r="D5115" s="20" t="s">
        <v>13</v>
      </c>
      <c r="E5115" s="38">
        <v>1.45</v>
      </c>
      <c r="F5115" s="22">
        <v>435000.0</v>
      </c>
      <c r="G5115" s="16">
        <f t="shared" si="340"/>
        <v>630750</v>
      </c>
      <c r="H5115" s="17"/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</row>
    <row r="5116">
      <c r="A5116" s="10">
        <v>3.0</v>
      </c>
      <c r="B5116" s="23" t="s">
        <v>14</v>
      </c>
      <c r="C5116" s="17"/>
      <c r="D5116" s="17"/>
      <c r="E5116" s="17"/>
      <c r="F5116" s="17"/>
      <c r="G5116" s="24">
        <f t="shared" si="340"/>
        <v>0</v>
      </c>
      <c r="H5116" s="17"/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</row>
    <row r="5117">
      <c r="A5117" s="25" t="s">
        <v>15</v>
      </c>
      <c r="B5117" s="2"/>
      <c r="C5117" s="2"/>
      <c r="D5117" s="2"/>
      <c r="E5117" s="2"/>
      <c r="F5117" s="2"/>
      <c r="G5117" s="3"/>
      <c r="H5117" s="26">
        <f>SUM(G5114:G5116)</f>
        <v>1216750</v>
      </c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</row>
    <row r="5118">
      <c r="A5118" s="25" t="s">
        <v>16</v>
      </c>
      <c r="B5118" s="2"/>
      <c r="C5118" s="2"/>
      <c r="D5118" s="2"/>
      <c r="E5118" s="2"/>
      <c r="F5118" s="2"/>
      <c r="G5118" s="3"/>
      <c r="H5118" s="26">
        <f>MAX(0,H5117-648000)</f>
        <v>568750</v>
      </c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</row>
    <row r="5119">
      <c r="A5119" s="27" t="s">
        <v>17</v>
      </c>
      <c r="B5119" s="2"/>
      <c r="C5119" s="2"/>
      <c r="D5119" s="2"/>
      <c r="E5119" s="2"/>
      <c r="F5119" s="2"/>
      <c r="G5119" s="3"/>
      <c r="H5119" s="28">
        <v>649000.0</v>
      </c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</row>
    <row r="5120">
      <c r="A5120" s="1" t="s">
        <v>18</v>
      </c>
      <c r="B5120" s="2"/>
      <c r="C5120" s="2"/>
      <c r="D5120" s="2"/>
      <c r="E5120" s="2"/>
      <c r="F5120" s="2"/>
      <c r="G5120" s="2"/>
      <c r="H5120" s="3"/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</row>
    <row r="5127" ht="29.25" customHeight="1">
      <c r="A5127" s="1" t="s">
        <v>0</v>
      </c>
      <c r="B5127" s="2"/>
      <c r="C5127" s="2"/>
      <c r="D5127" s="2"/>
      <c r="E5127" s="2"/>
      <c r="F5127" s="2"/>
      <c r="G5127" s="2"/>
      <c r="H5127" s="3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</row>
    <row r="5128">
      <c r="A5128" s="6" t="s">
        <v>1163</v>
      </c>
      <c r="B5128" s="2"/>
      <c r="C5128" s="2"/>
      <c r="D5128" s="2"/>
      <c r="E5128" s="2"/>
      <c r="F5128" s="2"/>
      <c r="G5128" s="2"/>
      <c r="H5128" s="3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</row>
    <row r="5129">
      <c r="A5129" s="7" t="s">
        <v>2</v>
      </c>
      <c r="B5129" s="7" t="s">
        <v>3</v>
      </c>
      <c r="C5129" s="7" t="s">
        <v>4</v>
      </c>
      <c r="D5129" s="7" t="s">
        <v>5</v>
      </c>
      <c r="E5129" s="7" t="s">
        <v>6</v>
      </c>
      <c r="F5129" s="8" t="s">
        <v>7</v>
      </c>
      <c r="G5129" s="7" t="s">
        <v>8</v>
      </c>
      <c r="H5129" s="9"/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</row>
    <row r="5130">
      <c r="A5130" s="10">
        <v>1.0</v>
      </c>
      <c r="B5130" s="33" t="s">
        <v>544</v>
      </c>
      <c r="C5130" s="34" t="s">
        <v>1147</v>
      </c>
      <c r="D5130" s="13" t="s">
        <v>11</v>
      </c>
      <c r="E5130" s="35">
        <v>2.62</v>
      </c>
      <c r="F5130" s="15">
        <v>293000.0</v>
      </c>
      <c r="G5130" s="16">
        <f t="shared" ref="G5130:G5132" si="341">IFERROR(E5130*F5130,0)</f>
        <v>767660</v>
      </c>
      <c r="H5130" s="17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</row>
    <row r="5131">
      <c r="A5131" s="10">
        <v>2.0</v>
      </c>
      <c r="B5131" s="36" t="s">
        <v>1164</v>
      </c>
      <c r="C5131" s="37" t="s">
        <v>1165</v>
      </c>
      <c r="D5131" s="20" t="s">
        <v>13</v>
      </c>
      <c r="E5131" s="38">
        <v>1.0</v>
      </c>
      <c r="F5131" s="22">
        <v>435000.0</v>
      </c>
      <c r="G5131" s="16">
        <f t="shared" si="341"/>
        <v>435000</v>
      </c>
      <c r="H5131" s="17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</row>
    <row r="5132">
      <c r="A5132" s="10">
        <v>3.0</v>
      </c>
      <c r="B5132" s="23" t="s">
        <v>14</v>
      </c>
      <c r="C5132" s="17"/>
      <c r="D5132" s="17"/>
      <c r="E5132" s="17"/>
      <c r="F5132" s="17"/>
      <c r="G5132" s="24">
        <f t="shared" si="341"/>
        <v>0</v>
      </c>
      <c r="H5132" s="17"/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</row>
    <row r="5133">
      <c r="A5133" s="25" t="s">
        <v>15</v>
      </c>
      <c r="B5133" s="2"/>
      <c r="C5133" s="2"/>
      <c r="D5133" s="2"/>
      <c r="E5133" s="2"/>
      <c r="F5133" s="2"/>
      <c r="G5133" s="3"/>
      <c r="H5133" s="26">
        <f>SUM(G5130:G5132)</f>
        <v>1202660</v>
      </c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</row>
    <row r="5134">
      <c r="A5134" s="25" t="s">
        <v>16</v>
      </c>
      <c r="B5134" s="2"/>
      <c r="C5134" s="2"/>
      <c r="D5134" s="2"/>
      <c r="E5134" s="2"/>
      <c r="F5134" s="2"/>
      <c r="G5134" s="3"/>
      <c r="H5134" s="26">
        <f>MAX(0,H5133-648000)</f>
        <v>554660</v>
      </c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</row>
    <row r="5135">
      <c r="A5135" s="27" t="s">
        <v>17</v>
      </c>
      <c r="B5135" s="2"/>
      <c r="C5135" s="2"/>
      <c r="D5135" s="2"/>
      <c r="E5135" s="2"/>
      <c r="F5135" s="2"/>
      <c r="G5135" s="3"/>
      <c r="H5135" s="28">
        <v>649000.0</v>
      </c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</row>
    <row r="5136">
      <c r="A5136" s="1" t="s">
        <v>18</v>
      </c>
      <c r="B5136" s="2"/>
      <c r="C5136" s="2"/>
      <c r="D5136" s="2"/>
      <c r="E5136" s="2"/>
      <c r="F5136" s="2"/>
      <c r="G5136" s="2"/>
      <c r="H5136" s="3"/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</row>
    <row r="5143" ht="29.25" customHeight="1">
      <c r="A5143" s="1" t="s">
        <v>0</v>
      </c>
      <c r="B5143" s="2"/>
      <c r="C5143" s="2"/>
      <c r="D5143" s="2"/>
      <c r="E5143" s="2"/>
      <c r="F5143" s="2"/>
      <c r="G5143" s="2"/>
      <c r="H5143" s="3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</row>
    <row r="5144">
      <c r="A5144" s="6" t="s">
        <v>1166</v>
      </c>
      <c r="B5144" s="2"/>
      <c r="C5144" s="2"/>
      <c r="D5144" s="2"/>
      <c r="E5144" s="2"/>
      <c r="F5144" s="2"/>
      <c r="G5144" s="2"/>
      <c r="H5144" s="3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</row>
    <row r="5145">
      <c r="A5145" s="7" t="s">
        <v>2</v>
      </c>
      <c r="B5145" s="7" t="s">
        <v>3</v>
      </c>
      <c r="C5145" s="7" t="s">
        <v>4</v>
      </c>
      <c r="D5145" s="7" t="s">
        <v>5</v>
      </c>
      <c r="E5145" s="7" t="s">
        <v>6</v>
      </c>
      <c r="F5145" s="8" t="s">
        <v>7</v>
      </c>
      <c r="G5145" s="7" t="s">
        <v>8</v>
      </c>
      <c r="H5145" s="9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</row>
    <row r="5146">
      <c r="A5146" s="10">
        <v>1.0</v>
      </c>
      <c r="B5146" s="33" t="s">
        <v>94</v>
      </c>
      <c r="C5146" s="34" t="s">
        <v>1167</v>
      </c>
      <c r="D5146" s="13" t="s">
        <v>11</v>
      </c>
      <c r="E5146" s="35">
        <v>2.9</v>
      </c>
      <c r="F5146" s="15">
        <v>293000.0</v>
      </c>
      <c r="G5146" s="16">
        <f t="shared" ref="G5146:G5148" si="342">IFERROR(E5146*F5146,0)</f>
        <v>849700</v>
      </c>
      <c r="H5146" s="17"/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</row>
    <row r="5147">
      <c r="A5147" s="10">
        <v>2.0</v>
      </c>
      <c r="B5147" s="36" t="s">
        <v>1168</v>
      </c>
      <c r="C5147" s="37" t="s">
        <v>1169</v>
      </c>
      <c r="D5147" s="20" t="s">
        <v>13</v>
      </c>
      <c r="E5147" s="38">
        <v>0.55</v>
      </c>
      <c r="F5147" s="22">
        <v>435000.0</v>
      </c>
      <c r="G5147" s="16">
        <f t="shared" si="342"/>
        <v>239250</v>
      </c>
      <c r="H5147" s="17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</row>
    <row r="5148">
      <c r="A5148" s="10">
        <v>3.0</v>
      </c>
      <c r="B5148" s="23" t="s">
        <v>14</v>
      </c>
      <c r="C5148" s="17"/>
      <c r="D5148" s="17"/>
      <c r="E5148" s="17"/>
      <c r="F5148" s="17"/>
      <c r="G5148" s="24">
        <f t="shared" si="342"/>
        <v>0</v>
      </c>
      <c r="H5148" s="17"/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</row>
    <row r="5149">
      <c r="A5149" s="25" t="s">
        <v>15</v>
      </c>
      <c r="B5149" s="2"/>
      <c r="C5149" s="2"/>
      <c r="D5149" s="2"/>
      <c r="E5149" s="2"/>
      <c r="F5149" s="2"/>
      <c r="G5149" s="3"/>
      <c r="H5149" s="26">
        <f>SUM(G5146:G5148)</f>
        <v>1088950</v>
      </c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</row>
    <row r="5150">
      <c r="A5150" s="25" t="s">
        <v>16</v>
      </c>
      <c r="B5150" s="2"/>
      <c r="C5150" s="2"/>
      <c r="D5150" s="2"/>
      <c r="E5150" s="2"/>
      <c r="F5150" s="2"/>
      <c r="G5150" s="3"/>
      <c r="H5150" s="26">
        <f>MAX(0,H5149-648000)</f>
        <v>440950</v>
      </c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</row>
    <row r="5151">
      <c r="A5151" s="27" t="s">
        <v>17</v>
      </c>
      <c r="B5151" s="2"/>
      <c r="C5151" s="2"/>
      <c r="D5151" s="2"/>
      <c r="E5151" s="2"/>
      <c r="F5151" s="2"/>
      <c r="G5151" s="3"/>
      <c r="H5151" s="28">
        <v>649000.0</v>
      </c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</row>
    <row r="5152">
      <c r="A5152" s="1" t="s">
        <v>18</v>
      </c>
      <c r="B5152" s="2"/>
      <c r="C5152" s="2"/>
      <c r="D5152" s="2"/>
      <c r="E5152" s="2"/>
      <c r="F5152" s="2"/>
      <c r="G5152" s="2"/>
      <c r="H5152" s="3"/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</row>
    <row r="5158" ht="29.25" customHeight="1">
      <c r="A5158" s="1" t="s">
        <v>0</v>
      </c>
      <c r="B5158" s="2"/>
      <c r="C5158" s="2"/>
      <c r="D5158" s="2"/>
      <c r="E5158" s="2"/>
      <c r="F5158" s="2"/>
      <c r="G5158" s="2"/>
      <c r="H5158" s="3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</row>
    <row r="5159">
      <c r="A5159" s="6" t="s">
        <v>1170</v>
      </c>
      <c r="B5159" s="2"/>
      <c r="C5159" s="2"/>
      <c r="D5159" s="2"/>
      <c r="E5159" s="2"/>
      <c r="F5159" s="2"/>
      <c r="G5159" s="2"/>
      <c r="H5159" s="3"/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</row>
    <row r="5160">
      <c r="A5160" s="7" t="s">
        <v>2</v>
      </c>
      <c r="B5160" s="7" t="s">
        <v>3</v>
      </c>
      <c r="C5160" s="7" t="s">
        <v>4</v>
      </c>
      <c r="D5160" s="7" t="s">
        <v>5</v>
      </c>
      <c r="E5160" s="7" t="s">
        <v>6</v>
      </c>
      <c r="F5160" s="8" t="s">
        <v>7</v>
      </c>
      <c r="G5160" s="7" t="s">
        <v>8</v>
      </c>
      <c r="H5160" s="9"/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</row>
    <row r="5161">
      <c r="A5161" s="10">
        <v>1.0</v>
      </c>
      <c r="B5161" s="33" t="s">
        <v>22</v>
      </c>
      <c r="C5161" s="34" t="s">
        <v>1171</v>
      </c>
      <c r="D5161" s="13" t="s">
        <v>11</v>
      </c>
      <c r="E5161" s="35">
        <v>1.5</v>
      </c>
      <c r="F5161" s="15">
        <v>293000.0</v>
      </c>
      <c r="G5161" s="16">
        <f t="shared" ref="G5161:G5163" si="343">IFERROR(E5161*F5161,0)</f>
        <v>439500</v>
      </c>
      <c r="H5161" s="17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</row>
    <row r="5162">
      <c r="A5162" s="10">
        <v>2.0</v>
      </c>
      <c r="B5162" s="36" t="s">
        <v>526</v>
      </c>
      <c r="C5162" s="37" t="s">
        <v>452</v>
      </c>
      <c r="D5162" s="20" t="s">
        <v>13</v>
      </c>
      <c r="E5162" s="38">
        <v>2.0</v>
      </c>
      <c r="F5162" s="22">
        <v>435000.0</v>
      </c>
      <c r="G5162" s="16">
        <f t="shared" si="343"/>
        <v>870000</v>
      </c>
      <c r="H5162" s="17"/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</row>
    <row r="5163">
      <c r="A5163" s="10">
        <v>3.0</v>
      </c>
      <c r="B5163" s="23" t="s">
        <v>14</v>
      </c>
      <c r="C5163" s="17"/>
      <c r="D5163" s="17"/>
      <c r="E5163" s="17"/>
      <c r="F5163" s="17"/>
      <c r="G5163" s="24">
        <f t="shared" si="343"/>
        <v>0</v>
      </c>
      <c r="H5163" s="17"/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</row>
    <row r="5164">
      <c r="A5164" s="25" t="s">
        <v>15</v>
      </c>
      <c r="B5164" s="2"/>
      <c r="C5164" s="2"/>
      <c r="D5164" s="2"/>
      <c r="E5164" s="2"/>
      <c r="F5164" s="2"/>
      <c r="G5164" s="3"/>
      <c r="H5164" s="26">
        <f>SUM(G5161:G5163)</f>
        <v>1309500</v>
      </c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</row>
    <row r="5165">
      <c r="A5165" s="25" t="s">
        <v>16</v>
      </c>
      <c r="B5165" s="2"/>
      <c r="C5165" s="2"/>
      <c r="D5165" s="2"/>
      <c r="E5165" s="2"/>
      <c r="F5165" s="2"/>
      <c r="G5165" s="3"/>
      <c r="H5165" s="26">
        <f>MAX(0,H5164-648000)</f>
        <v>661500</v>
      </c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</row>
    <row r="5166">
      <c r="A5166" s="27" t="s">
        <v>17</v>
      </c>
      <c r="B5166" s="2"/>
      <c r="C5166" s="2"/>
      <c r="D5166" s="2"/>
      <c r="E5166" s="2"/>
      <c r="F5166" s="2"/>
      <c r="G5166" s="3"/>
      <c r="H5166" s="28">
        <v>649000.0</v>
      </c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</row>
    <row r="5167">
      <c r="A5167" s="1" t="s">
        <v>18</v>
      </c>
      <c r="B5167" s="2"/>
      <c r="C5167" s="2"/>
      <c r="D5167" s="2"/>
      <c r="E5167" s="2"/>
      <c r="F5167" s="2"/>
      <c r="G5167" s="2"/>
      <c r="H5167" s="3"/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</row>
    <row r="5173" ht="29.25" customHeight="1">
      <c r="A5173" s="1" t="s">
        <v>0</v>
      </c>
      <c r="B5173" s="2"/>
      <c r="C5173" s="2"/>
      <c r="D5173" s="2"/>
      <c r="E5173" s="2"/>
      <c r="F5173" s="2"/>
      <c r="G5173" s="2"/>
      <c r="H5173" s="3"/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</row>
    <row r="5174">
      <c r="A5174" s="6" t="s">
        <v>1172</v>
      </c>
      <c r="B5174" s="2"/>
      <c r="C5174" s="2"/>
      <c r="D5174" s="2"/>
      <c r="E5174" s="2"/>
      <c r="F5174" s="2"/>
      <c r="G5174" s="2"/>
      <c r="H5174" s="3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</row>
    <row r="5175">
      <c r="A5175" s="7" t="s">
        <v>2</v>
      </c>
      <c r="B5175" s="7" t="s">
        <v>3</v>
      </c>
      <c r="C5175" s="7" t="s">
        <v>4</v>
      </c>
      <c r="D5175" s="7" t="s">
        <v>5</v>
      </c>
      <c r="E5175" s="7" t="s">
        <v>6</v>
      </c>
      <c r="F5175" s="8" t="s">
        <v>7</v>
      </c>
      <c r="G5175" s="7" t="s">
        <v>8</v>
      </c>
      <c r="H5175" s="9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</row>
    <row r="5176">
      <c r="A5176" s="10">
        <v>1.0</v>
      </c>
      <c r="B5176" s="33" t="s">
        <v>678</v>
      </c>
      <c r="C5176" s="34" t="s">
        <v>1173</v>
      </c>
      <c r="D5176" s="13" t="s">
        <v>11</v>
      </c>
      <c r="E5176" s="35">
        <v>1.77</v>
      </c>
      <c r="F5176" s="15">
        <v>293000.0</v>
      </c>
      <c r="G5176" s="16">
        <f t="shared" ref="G5176:G5178" si="344">IFERROR(E5176*F5176,0)</f>
        <v>518610</v>
      </c>
      <c r="H5176" s="17"/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</row>
    <row r="5177">
      <c r="A5177" s="10">
        <v>2.0</v>
      </c>
      <c r="B5177" s="36" t="s">
        <v>25</v>
      </c>
      <c r="C5177" s="37" t="s">
        <v>1174</v>
      </c>
      <c r="D5177" s="20" t="s">
        <v>13</v>
      </c>
      <c r="E5177" s="38">
        <v>1.63</v>
      </c>
      <c r="F5177" s="22">
        <v>435000.0</v>
      </c>
      <c r="G5177" s="16">
        <f t="shared" si="344"/>
        <v>709050</v>
      </c>
      <c r="H5177" s="17"/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</row>
    <row r="5178">
      <c r="A5178" s="10">
        <v>3.0</v>
      </c>
      <c r="B5178" s="23" t="s">
        <v>14</v>
      </c>
      <c r="C5178" s="17"/>
      <c r="D5178" s="17"/>
      <c r="E5178" s="17"/>
      <c r="F5178" s="17"/>
      <c r="G5178" s="24">
        <f t="shared" si="344"/>
        <v>0</v>
      </c>
      <c r="H5178" s="17"/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</row>
    <row r="5179">
      <c r="A5179" s="25" t="s">
        <v>15</v>
      </c>
      <c r="B5179" s="2"/>
      <c r="C5179" s="2"/>
      <c r="D5179" s="2"/>
      <c r="E5179" s="2"/>
      <c r="F5179" s="2"/>
      <c r="G5179" s="3"/>
      <c r="H5179" s="26">
        <f>SUM(G5176:G5178)</f>
        <v>1227660</v>
      </c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</row>
    <row r="5180">
      <c r="A5180" s="25" t="s">
        <v>16</v>
      </c>
      <c r="B5180" s="2"/>
      <c r="C5180" s="2"/>
      <c r="D5180" s="2"/>
      <c r="E5180" s="2"/>
      <c r="F5180" s="2"/>
      <c r="G5180" s="3"/>
      <c r="H5180" s="26">
        <f>MAX(0,H5179-648000)</f>
        <v>579660</v>
      </c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</row>
    <row r="5181">
      <c r="A5181" s="27" t="s">
        <v>17</v>
      </c>
      <c r="B5181" s="2"/>
      <c r="C5181" s="2"/>
      <c r="D5181" s="2"/>
      <c r="E5181" s="2"/>
      <c r="F5181" s="2"/>
      <c r="G5181" s="3"/>
      <c r="H5181" s="28">
        <v>649000.0</v>
      </c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</row>
    <row r="5182">
      <c r="A5182" s="1" t="s">
        <v>18</v>
      </c>
      <c r="B5182" s="2"/>
      <c r="C5182" s="2"/>
      <c r="D5182" s="2"/>
      <c r="E5182" s="2"/>
      <c r="F5182" s="2"/>
      <c r="G5182" s="2"/>
      <c r="H5182" s="3"/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</row>
    <row r="5188" ht="29.25" customHeight="1">
      <c r="A5188" s="1" t="s">
        <v>0</v>
      </c>
      <c r="B5188" s="2"/>
      <c r="C5188" s="2"/>
      <c r="D5188" s="2"/>
      <c r="E5188" s="2"/>
      <c r="F5188" s="2"/>
      <c r="G5188" s="2"/>
      <c r="H5188" s="3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</row>
    <row r="5189">
      <c r="A5189" s="6" t="s">
        <v>1175</v>
      </c>
      <c r="B5189" s="2"/>
      <c r="C5189" s="2"/>
      <c r="D5189" s="2"/>
      <c r="E5189" s="2"/>
      <c r="F5189" s="2"/>
      <c r="G5189" s="2"/>
      <c r="H5189" s="3"/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</row>
    <row r="5190">
      <c r="A5190" s="7" t="s">
        <v>2</v>
      </c>
      <c r="B5190" s="7" t="s">
        <v>3</v>
      </c>
      <c r="C5190" s="7" t="s">
        <v>4</v>
      </c>
      <c r="D5190" s="7" t="s">
        <v>5</v>
      </c>
      <c r="E5190" s="7" t="s">
        <v>6</v>
      </c>
      <c r="F5190" s="8" t="s">
        <v>7</v>
      </c>
      <c r="G5190" s="7" t="s">
        <v>8</v>
      </c>
      <c r="H5190" s="9"/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</row>
    <row r="5191">
      <c r="A5191" s="10">
        <v>1.0</v>
      </c>
      <c r="B5191" s="33" t="s">
        <v>678</v>
      </c>
      <c r="C5191" s="34" t="s">
        <v>1176</v>
      </c>
      <c r="D5191" s="13" t="s">
        <v>11</v>
      </c>
      <c r="E5191" s="35">
        <v>1.4</v>
      </c>
      <c r="F5191" s="15">
        <v>293000.0</v>
      </c>
      <c r="G5191" s="16">
        <f t="shared" ref="G5191:G5193" si="345">IFERROR(E5191*F5191,0)</f>
        <v>410200</v>
      </c>
      <c r="H5191" s="17"/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</row>
    <row r="5192">
      <c r="A5192" s="10">
        <v>2.0</v>
      </c>
      <c r="B5192" s="36" t="s">
        <v>151</v>
      </c>
      <c r="C5192" s="37" t="s">
        <v>1124</v>
      </c>
      <c r="D5192" s="20" t="s">
        <v>13</v>
      </c>
      <c r="E5192" s="38">
        <v>2.0</v>
      </c>
      <c r="F5192" s="22">
        <v>435000.0</v>
      </c>
      <c r="G5192" s="16">
        <f t="shared" si="345"/>
        <v>870000</v>
      </c>
      <c r="H5192" s="17"/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</row>
    <row r="5193">
      <c r="A5193" s="10">
        <v>3.0</v>
      </c>
      <c r="B5193" s="23" t="s">
        <v>14</v>
      </c>
      <c r="C5193" s="17"/>
      <c r="D5193" s="17"/>
      <c r="E5193" s="17"/>
      <c r="F5193" s="17"/>
      <c r="G5193" s="24">
        <f t="shared" si="345"/>
        <v>0</v>
      </c>
      <c r="H5193" s="17"/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</row>
    <row r="5194">
      <c r="A5194" s="25" t="s">
        <v>15</v>
      </c>
      <c r="B5194" s="2"/>
      <c r="C5194" s="2"/>
      <c r="D5194" s="2"/>
      <c r="E5194" s="2"/>
      <c r="F5194" s="2"/>
      <c r="G5194" s="3"/>
      <c r="H5194" s="26">
        <f>SUM(G5191:G5193)</f>
        <v>1280200</v>
      </c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</row>
    <row r="5195">
      <c r="A5195" s="25" t="s">
        <v>16</v>
      </c>
      <c r="B5195" s="2"/>
      <c r="C5195" s="2"/>
      <c r="D5195" s="2"/>
      <c r="E5195" s="2"/>
      <c r="F5195" s="2"/>
      <c r="G5195" s="3"/>
      <c r="H5195" s="26">
        <f>MAX(0,H5194-648000)</f>
        <v>632200</v>
      </c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</row>
    <row r="5196">
      <c r="A5196" s="27" t="s">
        <v>17</v>
      </c>
      <c r="B5196" s="2"/>
      <c r="C5196" s="2"/>
      <c r="D5196" s="2"/>
      <c r="E5196" s="2"/>
      <c r="F5196" s="2"/>
      <c r="G5196" s="3"/>
      <c r="H5196" s="28">
        <v>649000.0</v>
      </c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</row>
    <row r="5197">
      <c r="A5197" s="1" t="s">
        <v>18</v>
      </c>
      <c r="B5197" s="2"/>
      <c r="C5197" s="2"/>
      <c r="D5197" s="2"/>
      <c r="E5197" s="2"/>
      <c r="F5197" s="2"/>
      <c r="G5197" s="2"/>
      <c r="H5197" s="3"/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</row>
    <row r="5202" ht="29.25" customHeight="1">
      <c r="A5202" s="1" t="s">
        <v>0</v>
      </c>
      <c r="B5202" s="2"/>
      <c r="C5202" s="2"/>
      <c r="D5202" s="2"/>
      <c r="E5202" s="2"/>
      <c r="F5202" s="2"/>
      <c r="G5202" s="2"/>
      <c r="H5202" s="3"/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</row>
    <row r="5203">
      <c r="A5203" s="6" t="s">
        <v>1177</v>
      </c>
      <c r="B5203" s="2"/>
      <c r="C5203" s="2"/>
      <c r="D5203" s="2"/>
      <c r="E5203" s="2"/>
      <c r="F5203" s="2"/>
      <c r="G5203" s="2"/>
      <c r="H5203" s="3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</row>
    <row r="5204">
      <c r="A5204" s="7" t="s">
        <v>2</v>
      </c>
      <c r="B5204" s="7" t="s">
        <v>3</v>
      </c>
      <c r="C5204" s="7" t="s">
        <v>4</v>
      </c>
      <c r="D5204" s="7" t="s">
        <v>5</v>
      </c>
      <c r="E5204" s="7" t="s">
        <v>6</v>
      </c>
      <c r="F5204" s="8" t="s">
        <v>7</v>
      </c>
      <c r="G5204" s="7" t="s">
        <v>8</v>
      </c>
      <c r="H5204" s="9"/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</row>
    <row r="5205">
      <c r="A5205" s="10">
        <v>1.0</v>
      </c>
      <c r="B5205" s="33" t="s">
        <v>862</v>
      </c>
      <c r="C5205" s="34" t="s">
        <v>1178</v>
      </c>
      <c r="D5205" s="13" t="s">
        <v>11</v>
      </c>
      <c r="E5205" s="35">
        <v>1.5</v>
      </c>
      <c r="F5205" s="15">
        <v>293000.0</v>
      </c>
      <c r="G5205" s="16">
        <f t="shared" ref="G5205:G5207" si="346">IFERROR(E5205*F5205,0)</f>
        <v>439500</v>
      </c>
      <c r="H5205" s="17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</row>
    <row r="5206">
      <c r="A5206" s="10">
        <v>2.0</v>
      </c>
      <c r="B5206" s="36" t="s">
        <v>279</v>
      </c>
      <c r="C5206" s="37" t="s">
        <v>1179</v>
      </c>
      <c r="D5206" s="20" t="s">
        <v>13</v>
      </c>
      <c r="E5206" s="38">
        <v>2.0</v>
      </c>
      <c r="F5206" s="22">
        <v>435000.0</v>
      </c>
      <c r="G5206" s="16">
        <f t="shared" si="346"/>
        <v>870000</v>
      </c>
      <c r="H5206" s="17"/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</row>
    <row r="5207">
      <c r="A5207" s="10">
        <v>3.0</v>
      </c>
      <c r="B5207" s="23" t="s">
        <v>14</v>
      </c>
      <c r="C5207" s="17"/>
      <c r="D5207" s="17"/>
      <c r="E5207" s="17"/>
      <c r="F5207" s="17"/>
      <c r="G5207" s="24">
        <f t="shared" si="346"/>
        <v>0</v>
      </c>
      <c r="H5207" s="17"/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</row>
    <row r="5208">
      <c r="A5208" s="25" t="s">
        <v>15</v>
      </c>
      <c r="B5208" s="2"/>
      <c r="C5208" s="2"/>
      <c r="D5208" s="2"/>
      <c r="E5208" s="2"/>
      <c r="F5208" s="2"/>
      <c r="G5208" s="3"/>
      <c r="H5208" s="26">
        <f>SUM(G5205:G5207)</f>
        <v>1309500</v>
      </c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</row>
    <row r="5209">
      <c r="A5209" s="25" t="s">
        <v>16</v>
      </c>
      <c r="B5209" s="2"/>
      <c r="C5209" s="2"/>
      <c r="D5209" s="2"/>
      <c r="E5209" s="2"/>
      <c r="F5209" s="2"/>
      <c r="G5209" s="3"/>
      <c r="H5209" s="26">
        <f>MAX(0,H5208-648000)</f>
        <v>661500</v>
      </c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</row>
    <row r="5210">
      <c r="A5210" s="27" t="s">
        <v>17</v>
      </c>
      <c r="B5210" s="2"/>
      <c r="C5210" s="2"/>
      <c r="D5210" s="2"/>
      <c r="E5210" s="2"/>
      <c r="F5210" s="2"/>
      <c r="G5210" s="3"/>
      <c r="H5210" s="28">
        <v>649000.0</v>
      </c>
      <c r="I5210" s="5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</row>
    <row r="5211">
      <c r="A5211" s="1" t="s">
        <v>18</v>
      </c>
      <c r="B5211" s="2"/>
      <c r="C5211" s="2"/>
      <c r="D5211" s="2"/>
      <c r="E5211" s="2"/>
      <c r="F5211" s="2"/>
      <c r="G5211" s="2"/>
      <c r="H5211" s="3"/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</row>
    <row r="5216" ht="29.25" customHeight="1">
      <c r="A5216" s="1" t="s">
        <v>0</v>
      </c>
      <c r="B5216" s="2"/>
      <c r="C5216" s="2"/>
      <c r="D5216" s="2"/>
      <c r="E5216" s="2"/>
      <c r="F5216" s="2"/>
      <c r="G5216" s="2"/>
      <c r="H5216" s="3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</row>
    <row r="5217">
      <c r="A5217" s="6" t="s">
        <v>1180</v>
      </c>
      <c r="B5217" s="2"/>
      <c r="C5217" s="2"/>
      <c r="D5217" s="2"/>
      <c r="E5217" s="2"/>
      <c r="F5217" s="2"/>
      <c r="G5217" s="2"/>
      <c r="H5217" s="3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</row>
    <row r="5218">
      <c r="A5218" s="7" t="s">
        <v>2</v>
      </c>
      <c r="B5218" s="7" t="s">
        <v>3</v>
      </c>
      <c r="C5218" s="7" t="s">
        <v>4</v>
      </c>
      <c r="D5218" s="7" t="s">
        <v>5</v>
      </c>
      <c r="E5218" s="7" t="s">
        <v>6</v>
      </c>
      <c r="F5218" s="8" t="s">
        <v>7</v>
      </c>
      <c r="G5218" s="7" t="s">
        <v>8</v>
      </c>
      <c r="H5218" s="9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</row>
    <row r="5219">
      <c r="A5219" s="10">
        <v>1.0</v>
      </c>
      <c r="B5219" s="33" t="s">
        <v>1181</v>
      </c>
      <c r="C5219" s="34" t="s">
        <v>1182</v>
      </c>
      <c r="D5219" s="13" t="s">
        <v>11</v>
      </c>
      <c r="E5219" s="35">
        <v>3.0</v>
      </c>
      <c r="F5219" s="15">
        <v>293000.0</v>
      </c>
      <c r="G5219" s="16">
        <f t="shared" ref="G5219:G5221" si="347">IFERROR(E5219*F5219,0)</f>
        <v>879000</v>
      </c>
      <c r="H5219" s="17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</row>
    <row r="5220">
      <c r="A5220" s="10">
        <v>2.0</v>
      </c>
      <c r="B5220" s="36" t="s">
        <v>1183</v>
      </c>
      <c r="C5220" s="37" t="s">
        <v>1184</v>
      </c>
      <c r="D5220" s="20" t="s">
        <v>13</v>
      </c>
      <c r="E5220" s="38">
        <v>0.58</v>
      </c>
      <c r="F5220" s="22">
        <v>435000.0</v>
      </c>
      <c r="G5220" s="16">
        <f t="shared" si="347"/>
        <v>252300</v>
      </c>
      <c r="H5220" s="17"/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</row>
    <row r="5221">
      <c r="A5221" s="10">
        <v>3.0</v>
      </c>
      <c r="B5221" s="23" t="s">
        <v>14</v>
      </c>
      <c r="C5221" s="17"/>
      <c r="D5221" s="17"/>
      <c r="E5221" s="17"/>
      <c r="F5221" s="17"/>
      <c r="G5221" s="24">
        <f t="shared" si="347"/>
        <v>0</v>
      </c>
      <c r="H5221" s="17"/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</row>
    <row r="5222">
      <c r="A5222" s="25" t="s">
        <v>15</v>
      </c>
      <c r="B5222" s="2"/>
      <c r="C5222" s="2"/>
      <c r="D5222" s="2"/>
      <c r="E5222" s="2"/>
      <c r="F5222" s="2"/>
      <c r="G5222" s="3"/>
      <c r="H5222" s="26">
        <f>SUM(G5219:G5221)</f>
        <v>1131300</v>
      </c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</row>
    <row r="5223">
      <c r="A5223" s="25" t="s">
        <v>16</v>
      </c>
      <c r="B5223" s="2"/>
      <c r="C5223" s="2"/>
      <c r="D5223" s="2"/>
      <c r="E5223" s="2"/>
      <c r="F5223" s="2"/>
      <c r="G5223" s="3"/>
      <c r="H5223" s="26">
        <f>MAX(0,H5222-648000)</f>
        <v>483300</v>
      </c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</row>
    <row r="5224">
      <c r="A5224" s="27" t="s">
        <v>17</v>
      </c>
      <c r="B5224" s="2"/>
      <c r="C5224" s="2"/>
      <c r="D5224" s="2"/>
      <c r="E5224" s="2"/>
      <c r="F5224" s="2"/>
      <c r="G5224" s="3"/>
      <c r="H5224" s="28">
        <v>649000.0</v>
      </c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</row>
    <row r="5225">
      <c r="A5225" s="1" t="s">
        <v>18</v>
      </c>
      <c r="B5225" s="2"/>
      <c r="C5225" s="2"/>
      <c r="D5225" s="2"/>
      <c r="E5225" s="2"/>
      <c r="F5225" s="2"/>
      <c r="G5225" s="2"/>
      <c r="H5225" s="3"/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</row>
    <row r="5230" ht="29.25" customHeight="1">
      <c r="A5230" s="1" t="s">
        <v>0</v>
      </c>
      <c r="B5230" s="2"/>
      <c r="C5230" s="2"/>
      <c r="D5230" s="2"/>
      <c r="E5230" s="2"/>
      <c r="F5230" s="2"/>
      <c r="G5230" s="2"/>
      <c r="H5230" s="3"/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</row>
    <row r="5231">
      <c r="A5231" s="6" t="s">
        <v>1185</v>
      </c>
      <c r="B5231" s="2"/>
      <c r="C5231" s="2"/>
      <c r="D5231" s="2"/>
      <c r="E5231" s="2"/>
      <c r="F5231" s="2"/>
      <c r="G5231" s="2"/>
      <c r="H5231" s="3"/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</row>
    <row r="5232">
      <c r="A5232" s="7" t="s">
        <v>2</v>
      </c>
      <c r="B5232" s="7" t="s">
        <v>3</v>
      </c>
      <c r="C5232" s="7" t="s">
        <v>4</v>
      </c>
      <c r="D5232" s="7" t="s">
        <v>5</v>
      </c>
      <c r="E5232" s="7" t="s">
        <v>6</v>
      </c>
      <c r="F5232" s="8" t="s">
        <v>7</v>
      </c>
      <c r="G5232" s="7" t="s">
        <v>8</v>
      </c>
      <c r="H5232" s="9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</row>
    <row r="5233">
      <c r="A5233" s="10">
        <v>1.0</v>
      </c>
      <c r="B5233" s="33" t="s">
        <v>640</v>
      </c>
      <c r="C5233" s="34" t="s">
        <v>714</v>
      </c>
      <c r="D5233" s="13" t="s">
        <v>11</v>
      </c>
      <c r="E5233" s="35">
        <v>1.79</v>
      </c>
      <c r="F5233" s="15">
        <v>293000.0</v>
      </c>
      <c r="G5233" s="16">
        <f t="shared" ref="G5233:G5235" si="348">IFERROR(E5233*F5233,0)</f>
        <v>524470</v>
      </c>
      <c r="H5233" s="17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</row>
    <row r="5234">
      <c r="A5234" s="10">
        <v>2.0</v>
      </c>
      <c r="B5234" s="36" t="s">
        <v>711</v>
      </c>
      <c r="C5234" s="37" t="s">
        <v>1186</v>
      </c>
      <c r="D5234" s="20" t="s">
        <v>13</v>
      </c>
      <c r="E5234" s="38">
        <v>1.47</v>
      </c>
      <c r="F5234" s="22">
        <v>435000.0</v>
      </c>
      <c r="G5234" s="16">
        <f t="shared" si="348"/>
        <v>639450</v>
      </c>
      <c r="H5234" s="17"/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</row>
    <row r="5235">
      <c r="A5235" s="10">
        <v>3.0</v>
      </c>
      <c r="B5235" s="23" t="s">
        <v>14</v>
      </c>
      <c r="C5235" s="17"/>
      <c r="D5235" s="17"/>
      <c r="E5235" s="17"/>
      <c r="F5235" s="17"/>
      <c r="G5235" s="24">
        <f t="shared" si="348"/>
        <v>0</v>
      </c>
      <c r="H5235" s="17"/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</row>
    <row r="5236">
      <c r="A5236" s="25" t="s">
        <v>15</v>
      </c>
      <c r="B5236" s="2"/>
      <c r="C5236" s="2"/>
      <c r="D5236" s="2"/>
      <c r="E5236" s="2"/>
      <c r="F5236" s="2"/>
      <c r="G5236" s="3"/>
      <c r="H5236" s="26">
        <f>SUM(G5233:G5235)</f>
        <v>1163920</v>
      </c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</row>
    <row r="5237">
      <c r="A5237" s="25" t="s">
        <v>16</v>
      </c>
      <c r="B5237" s="2"/>
      <c r="C5237" s="2"/>
      <c r="D5237" s="2"/>
      <c r="E5237" s="2"/>
      <c r="F5237" s="2"/>
      <c r="G5237" s="3"/>
      <c r="H5237" s="26">
        <f>MAX(0,H5236-648000)</f>
        <v>515920</v>
      </c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</row>
    <row r="5238">
      <c r="A5238" s="27" t="s">
        <v>17</v>
      </c>
      <c r="B5238" s="2"/>
      <c r="C5238" s="2"/>
      <c r="D5238" s="2"/>
      <c r="E5238" s="2"/>
      <c r="F5238" s="2"/>
      <c r="G5238" s="3"/>
      <c r="H5238" s="28">
        <v>649000.0</v>
      </c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</row>
    <row r="5239">
      <c r="A5239" s="1" t="s">
        <v>18</v>
      </c>
      <c r="B5239" s="2"/>
      <c r="C5239" s="2"/>
      <c r="D5239" s="2"/>
      <c r="E5239" s="2"/>
      <c r="F5239" s="2"/>
      <c r="G5239" s="2"/>
      <c r="H5239" s="3"/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</row>
    <row r="5244" ht="29.25" customHeight="1">
      <c r="A5244" s="1" t="s">
        <v>0</v>
      </c>
      <c r="B5244" s="2"/>
      <c r="C5244" s="2"/>
      <c r="D5244" s="2"/>
      <c r="E5244" s="2"/>
      <c r="F5244" s="2"/>
      <c r="G5244" s="2"/>
      <c r="H5244" s="3"/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</row>
    <row r="5245">
      <c r="A5245" s="6" t="s">
        <v>1187</v>
      </c>
      <c r="B5245" s="2"/>
      <c r="C5245" s="2"/>
      <c r="D5245" s="2"/>
      <c r="E5245" s="2"/>
      <c r="F5245" s="2"/>
      <c r="G5245" s="2"/>
      <c r="H5245" s="3"/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</row>
    <row r="5246">
      <c r="A5246" s="7" t="s">
        <v>2</v>
      </c>
      <c r="B5246" s="7" t="s">
        <v>3</v>
      </c>
      <c r="C5246" s="7" t="s">
        <v>4</v>
      </c>
      <c r="D5246" s="7" t="s">
        <v>5</v>
      </c>
      <c r="E5246" s="7" t="s">
        <v>6</v>
      </c>
      <c r="F5246" s="8" t="s">
        <v>7</v>
      </c>
      <c r="G5246" s="7" t="s">
        <v>8</v>
      </c>
      <c r="H5246" s="9"/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</row>
    <row r="5247">
      <c r="A5247" s="10">
        <v>1.0</v>
      </c>
      <c r="B5247" s="33" t="s">
        <v>41</v>
      </c>
      <c r="C5247" s="34" t="s">
        <v>1188</v>
      </c>
      <c r="D5247" s="13" t="s">
        <v>11</v>
      </c>
      <c r="E5247" s="35">
        <v>0.75</v>
      </c>
      <c r="F5247" s="15">
        <v>293000.0</v>
      </c>
      <c r="G5247" s="16">
        <f t="shared" ref="G5247:G5249" si="349">IFERROR(E5247*F5247,0)</f>
        <v>219750</v>
      </c>
      <c r="H5247" s="17"/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</row>
    <row r="5248">
      <c r="A5248" s="10">
        <v>2.0</v>
      </c>
      <c r="B5248" s="36" t="s">
        <v>1189</v>
      </c>
      <c r="C5248" s="37">
        <v>806.0</v>
      </c>
      <c r="D5248" s="20" t="s">
        <v>13</v>
      </c>
      <c r="E5248" s="38">
        <v>2.97</v>
      </c>
      <c r="F5248" s="22">
        <v>435000.0</v>
      </c>
      <c r="G5248" s="16">
        <f t="shared" si="349"/>
        <v>1291950</v>
      </c>
      <c r="H5248" s="17"/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</row>
    <row r="5249">
      <c r="A5249" s="10">
        <v>3.0</v>
      </c>
      <c r="B5249" s="23" t="s">
        <v>14</v>
      </c>
      <c r="C5249" s="17"/>
      <c r="D5249" s="17"/>
      <c r="E5249" s="17"/>
      <c r="F5249" s="17"/>
      <c r="G5249" s="24">
        <f t="shared" si="349"/>
        <v>0</v>
      </c>
      <c r="H5249" s="17"/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</row>
    <row r="5250">
      <c r="A5250" s="25" t="s">
        <v>15</v>
      </c>
      <c r="B5250" s="2"/>
      <c r="C5250" s="2"/>
      <c r="D5250" s="2"/>
      <c r="E5250" s="2"/>
      <c r="F5250" s="2"/>
      <c r="G5250" s="3"/>
      <c r="H5250" s="26">
        <f>SUM(G5247:G5249)</f>
        <v>1511700</v>
      </c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</row>
    <row r="5251">
      <c r="A5251" s="25" t="s">
        <v>16</v>
      </c>
      <c r="B5251" s="2"/>
      <c r="C5251" s="2"/>
      <c r="D5251" s="2"/>
      <c r="E5251" s="2"/>
      <c r="F5251" s="2"/>
      <c r="G5251" s="3"/>
      <c r="H5251" s="26">
        <f>MAX(0,H5250-648000)</f>
        <v>863700</v>
      </c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</row>
    <row r="5252">
      <c r="A5252" s="27" t="s">
        <v>17</v>
      </c>
      <c r="B5252" s="2"/>
      <c r="C5252" s="2"/>
      <c r="D5252" s="2"/>
      <c r="E5252" s="2"/>
      <c r="F5252" s="2"/>
      <c r="G5252" s="3"/>
      <c r="H5252" s="28">
        <v>649000.0</v>
      </c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</row>
    <row r="5253">
      <c r="A5253" s="1" t="s">
        <v>18</v>
      </c>
      <c r="B5253" s="2"/>
      <c r="C5253" s="2"/>
      <c r="D5253" s="2"/>
      <c r="E5253" s="2"/>
      <c r="F5253" s="2"/>
      <c r="G5253" s="2"/>
      <c r="H5253" s="3"/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</row>
    <row r="5259" ht="29.25" customHeight="1">
      <c r="A5259" s="1" t="s">
        <v>0</v>
      </c>
      <c r="B5259" s="2"/>
      <c r="C5259" s="2"/>
      <c r="D5259" s="2"/>
      <c r="E5259" s="2"/>
      <c r="F5259" s="2"/>
      <c r="G5259" s="2"/>
      <c r="H5259" s="3"/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</row>
    <row r="5260">
      <c r="A5260" s="6" t="s">
        <v>1190</v>
      </c>
      <c r="B5260" s="2"/>
      <c r="C5260" s="2"/>
      <c r="D5260" s="2"/>
      <c r="E5260" s="2"/>
      <c r="F5260" s="2"/>
      <c r="G5260" s="2"/>
      <c r="H5260" s="3"/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</row>
    <row r="5261">
      <c r="A5261" s="7" t="s">
        <v>2</v>
      </c>
      <c r="B5261" s="7" t="s">
        <v>3</v>
      </c>
      <c r="C5261" s="7" t="s">
        <v>4</v>
      </c>
      <c r="D5261" s="7" t="s">
        <v>5</v>
      </c>
      <c r="E5261" s="7" t="s">
        <v>6</v>
      </c>
      <c r="F5261" s="8" t="s">
        <v>7</v>
      </c>
      <c r="G5261" s="7" t="s">
        <v>8</v>
      </c>
      <c r="H5261" s="9"/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</row>
    <row r="5262">
      <c r="A5262" s="10">
        <v>1.0</v>
      </c>
      <c r="B5262" s="33" t="s">
        <v>895</v>
      </c>
      <c r="C5262" s="34" t="s">
        <v>1191</v>
      </c>
      <c r="D5262" s="13" t="s">
        <v>11</v>
      </c>
      <c r="E5262" s="35">
        <v>1.46</v>
      </c>
      <c r="F5262" s="15">
        <v>293000.0</v>
      </c>
      <c r="G5262" s="16">
        <f t="shared" ref="G5262:G5264" si="350">IFERROR(E5262*F5262,0)</f>
        <v>427780</v>
      </c>
      <c r="H5262" s="17"/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</row>
    <row r="5263">
      <c r="A5263" s="10">
        <v>2.0</v>
      </c>
      <c r="B5263" s="36" t="s">
        <v>279</v>
      </c>
      <c r="C5263" s="37" t="s">
        <v>1192</v>
      </c>
      <c r="D5263" s="20" t="s">
        <v>13</v>
      </c>
      <c r="E5263" s="38">
        <v>2.0</v>
      </c>
      <c r="F5263" s="22">
        <v>435000.0</v>
      </c>
      <c r="G5263" s="16">
        <f t="shared" si="350"/>
        <v>870000</v>
      </c>
      <c r="H5263" s="17"/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</row>
    <row r="5264">
      <c r="A5264" s="10">
        <v>3.0</v>
      </c>
      <c r="B5264" s="23" t="s">
        <v>14</v>
      </c>
      <c r="C5264" s="17"/>
      <c r="D5264" s="17"/>
      <c r="E5264" s="17"/>
      <c r="F5264" s="17"/>
      <c r="G5264" s="24">
        <f t="shared" si="350"/>
        <v>0</v>
      </c>
      <c r="H5264" s="17"/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</row>
    <row r="5265">
      <c r="A5265" s="25" t="s">
        <v>15</v>
      </c>
      <c r="B5265" s="2"/>
      <c r="C5265" s="2"/>
      <c r="D5265" s="2"/>
      <c r="E5265" s="2"/>
      <c r="F5265" s="2"/>
      <c r="G5265" s="3"/>
      <c r="H5265" s="26">
        <f>SUM(G5262:G5264)</f>
        <v>1297780</v>
      </c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</row>
    <row r="5266">
      <c r="A5266" s="25" t="s">
        <v>16</v>
      </c>
      <c r="B5266" s="2"/>
      <c r="C5266" s="2"/>
      <c r="D5266" s="2"/>
      <c r="E5266" s="2"/>
      <c r="F5266" s="2"/>
      <c r="G5266" s="3"/>
      <c r="H5266" s="26">
        <f>MAX(0,H5265-648000)</f>
        <v>649780</v>
      </c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</row>
    <row r="5267">
      <c r="A5267" s="27" t="s">
        <v>17</v>
      </c>
      <c r="B5267" s="2"/>
      <c r="C5267" s="2"/>
      <c r="D5267" s="2"/>
      <c r="E5267" s="2"/>
      <c r="F5267" s="2"/>
      <c r="G5267" s="3"/>
      <c r="H5267" s="28">
        <v>649000.0</v>
      </c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</row>
    <row r="5268">
      <c r="A5268" s="1" t="s">
        <v>18</v>
      </c>
      <c r="B5268" s="2"/>
      <c r="C5268" s="2"/>
      <c r="D5268" s="2"/>
      <c r="E5268" s="2"/>
      <c r="F5268" s="2"/>
      <c r="G5268" s="2"/>
      <c r="H5268" s="3"/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</row>
    <row r="5274" ht="29.25" customHeight="1">
      <c r="A5274" s="1" t="s">
        <v>0</v>
      </c>
      <c r="B5274" s="2"/>
      <c r="C5274" s="2"/>
      <c r="D5274" s="2"/>
      <c r="E5274" s="2"/>
      <c r="F5274" s="2"/>
      <c r="G5274" s="2"/>
      <c r="H5274" s="3"/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</row>
    <row r="5275">
      <c r="A5275" s="6" t="s">
        <v>1193</v>
      </c>
      <c r="B5275" s="2"/>
      <c r="C5275" s="2"/>
      <c r="D5275" s="2"/>
      <c r="E5275" s="2"/>
      <c r="F5275" s="2"/>
      <c r="G5275" s="2"/>
      <c r="H5275" s="3"/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</row>
    <row r="5276">
      <c r="A5276" s="7" t="s">
        <v>2</v>
      </c>
      <c r="B5276" s="7" t="s">
        <v>3</v>
      </c>
      <c r="C5276" s="7" t="s">
        <v>4</v>
      </c>
      <c r="D5276" s="7" t="s">
        <v>5</v>
      </c>
      <c r="E5276" s="7" t="s">
        <v>6</v>
      </c>
      <c r="F5276" s="8" t="s">
        <v>7</v>
      </c>
      <c r="G5276" s="7" t="s">
        <v>8</v>
      </c>
      <c r="H5276" s="9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</row>
    <row r="5277">
      <c r="A5277" s="10">
        <v>1.0</v>
      </c>
      <c r="B5277" s="33" t="s">
        <v>122</v>
      </c>
      <c r="C5277" s="34" t="s">
        <v>1194</v>
      </c>
      <c r="D5277" s="13" t="s">
        <v>11</v>
      </c>
      <c r="E5277" s="35">
        <v>1.95</v>
      </c>
      <c r="F5277" s="15">
        <v>293000.0</v>
      </c>
      <c r="G5277" s="16">
        <f t="shared" ref="G5277:G5279" si="351">IFERROR(E5277*F5277,0)</f>
        <v>571350</v>
      </c>
      <c r="H5277" s="17"/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</row>
    <row r="5278">
      <c r="A5278" s="10">
        <v>2.0</v>
      </c>
      <c r="B5278" s="36" t="s">
        <v>1056</v>
      </c>
      <c r="C5278" s="37" t="s">
        <v>1195</v>
      </c>
      <c r="D5278" s="20" t="s">
        <v>13</v>
      </c>
      <c r="E5278" s="38">
        <v>1.5</v>
      </c>
      <c r="F5278" s="22">
        <v>435000.0</v>
      </c>
      <c r="G5278" s="16">
        <f t="shared" si="351"/>
        <v>652500</v>
      </c>
      <c r="H5278" s="17"/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</row>
    <row r="5279">
      <c r="A5279" s="10">
        <v>3.0</v>
      </c>
      <c r="B5279" s="23" t="s">
        <v>14</v>
      </c>
      <c r="C5279" s="17"/>
      <c r="D5279" s="17"/>
      <c r="E5279" s="17"/>
      <c r="F5279" s="17"/>
      <c r="G5279" s="24">
        <f t="shared" si="351"/>
        <v>0</v>
      </c>
      <c r="H5279" s="17"/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</row>
    <row r="5280">
      <c r="A5280" s="25" t="s">
        <v>15</v>
      </c>
      <c r="B5280" s="2"/>
      <c r="C5280" s="2"/>
      <c r="D5280" s="2"/>
      <c r="E5280" s="2"/>
      <c r="F5280" s="2"/>
      <c r="G5280" s="3"/>
      <c r="H5280" s="26">
        <f>SUM(G5277:G5279)</f>
        <v>1223850</v>
      </c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</row>
    <row r="5281">
      <c r="A5281" s="25" t="s">
        <v>16</v>
      </c>
      <c r="B5281" s="2"/>
      <c r="C5281" s="2"/>
      <c r="D5281" s="2"/>
      <c r="E5281" s="2"/>
      <c r="F5281" s="2"/>
      <c r="G5281" s="3"/>
      <c r="H5281" s="26">
        <f>MAX(0,H5280-648000)</f>
        <v>575850</v>
      </c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</row>
    <row r="5282">
      <c r="A5282" s="27" t="s">
        <v>17</v>
      </c>
      <c r="B5282" s="2"/>
      <c r="C5282" s="2"/>
      <c r="D5282" s="2"/>
      <c r="E5282" s="2"/>
      <c r="F5282" s="2"/>
      <c r="G5282" s="3"/>
      <c r="H5282" s="28">
        <v>649000.0</v>
      </c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</row>
    <row r="5283">
      <c r="A5283" s="1" t="s">
        <v>18</v>
      </c>
      <c r="B5283" s="2"/>
      <c r="C5283" s="2"/>
      <c r="D5283" s="2"/>
      <c r="E5283" s="2"/>
      <c r="F5283" s="2"/>
      <c r="G5283" s="2"/>
      <c r="H5283" s="3"/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</row>
    <row r="5289" ht="29.25" customHeight="1">
      <c r="A5289" s="1" t="s">
        <v>0</v>
      </c>
      <c r="B5289" s="2"/>
      <c r="C5289" s="2"/>
      <c r="D5289" s="2"/>
      <c r="E5289" s="2"/>
      <c r="F5289" s="2"/>
      <c r="G5289" s="2"/>
      <c r="H5289" s="3"/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</row>
    <row r="5290">
      <c r="A5290" s="6" t="s">
        <v>1196</v>
      </c>
      <c r="B5290" s="2"/>
      <c r="C5290" s="2"/>
      <c r="D5290" s="2"/>
      <c r="E5290" s="2"/>
      <c r="F5290" s="2"/>
      <c r="G5290" s="2"/>
      <c r="H5290" s="3"/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</row>
    <row r="5291">
      <c r="A5291" s="7" t="s">
        <v>2</v>
      </c>
      <c r="B5291" s="7" t="s">
        <v>3</v>
      </c>
      <c r="C5291" s="7" t="s">
        <v>4</v>
      </c>
      <c r="D5291" s="7" t="s">
        <v>5</v>
      </c>
      <c r="E5291" s="7" t="s">
        <v>6</v>
      </c>
      <c r="F5291" s="8" t="s">
        <v>7</v>
      </c>
      <c r="G5291" s="7" t="s">
        <v>8</v>
      </c>
      <c r="H5291" s="9"/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</row>
    <row r="5292">
      <c r="A5292" s="10">
        <v>1.0</v>
      </c>
      <c r="B5292" s="33" t="s">
        <v>12</v>
      </c>
      <c r="C5292" s="34" t="s">
        <v>614</v>
      </c>
      <c r="D5292" s="13" t="s">
        <v>11</v>
      </c>
      <c r="E5292" s="35">
        <v>2.5</v>
      </c>
      <c r="F5292" s="15">
        <v>293000.0</v>
      </c>
      <c r="G5292" s="16">
        <f t="shared" ref="G5292:G5294" si="352">IFERROR(E5292*F5292,0)</f>
        <v>732500</v>
      </c>
      <c r="H5292" s="17"/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</row>
    <row r="5293">
      <c r="A5293" s="10">
        <v>2.0</v>
      </c>
      <c r="B5293" s="36" t="s">
        <v>1197</v>
      </c>
      <c r="C5293" s="37" t="s">
        <v>1198</v>
      </c>
      <c r="D5293" s="20" t="s">
        <v>13</v>
      </c>
      <c r="E5293" s="38">
        <v>1.0</v>
      </c>
      <c r="F5293" s="22">
        <v>435000.0</v>
      </c>
      <c r="G5293" s="16">
        <f t="shared" si="352"/>
        <v>435000</v>
      </c>
      <c r="H5293" s="17"/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</row>
    <row r="5294">
      <c r="A5294" s="10">
        <v>3.0</v>
      </c>
      <c r="B5294" s="23" t="s">
        <v>14</v>
      </c>
      <c r="C5294" s="17"/>
      <c r="D5294" s="17"/>
      <c r="E5294" s="17"/>
      <c r="F5294" s="17"/>
      <c r="G5294" s="24">
        <f t="shared" si="352"/>
        <v>0</v>
      </c>
      <c r="H5294" s="17"/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</row>
    <row r="5295">
      <c r="A5295" s="25" t="s">
        <v>15</v>
      </c>
      <c r="B5295" s="2"/>
      <c r="C5295" s="2"/>
      <c r="D5295" s="2"/>
      <c r="E5295" s="2"/>
      <c r="F5295" s="2"/>
      <c r="G5295" s="3"/>
      <c r="H5295" s="26">
        <f>SUM(G5292:G5294)</f>
        <v>1167500</v>
      </c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</row>
    <row r="5296">
      <c r="A5296" s="25" t="s">
        <v>16</v>
      </c>
      <c r="B5296" s="2"/>
      <c r="C5296" s="2"/>
      <c r="D5296" s="2"/>
      <c r="E5296" s="2"/>
      <c r="F5296" s="2"/>
      <c r="G5296" s="3"/>
      <c r="H5296" s="26">
        <f>MAX(0,H5295-648000)</f>
        <v>519500</v>
      </c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</row>
    <row r="5297">
      <c r="A5297" s="27" t="s">
        <v>17</v>
      </c>
      <c r="B5297" s="2"/>
      <c r="C5297" s="2"/>
      <c r="D5297" s="2"/>
      <c r="E5297" s="2"/>
      <c r="F5297" s="2"/>
      <c r="G5297" s="3"/>
      <c r="H5297" s="28">
        <v>649000.0</v>
      </c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</row>
    <row r="5298">
      <c r="A5298" s="1" t="s">
        <v>18</v>
      </c>
      <c r="B5298" s="2"/>
      <c r="C5298" s="2"/>
      <c r="D5298" s="2"/>
      <c r="E5298" s="2"/>
      <c r="F5298" s="2"/>
      <c r="G5298" s="2"/>
      <c r="H5298" s="3"/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</row>
    <row r="5306" ht="29.25" customHeight="1">
      <c r="A5306" s="1" t="s">
        <v>0</v>
      </c>
      <c r="B5306" s="2"/>
      <c r="C5306" s="2"/>
      <c r="D5306" s="2"/>
      <c r="E5306" s="2"/>
      <c r="F5306" s="2"/>
      <c r="G5306" s="2"/>
      <c r="H5306" s="3"/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</row>
    <row r="5307">
      <c r="A5307" s="6" t="s">
        <v>1199</v>
      </c>
      <c r="B5307" s="2"/>
      <c r="C5307" s="2"/>
      <c r="D5307" s="2"/>
      <c r="E5307" s="2"/>
      <c r="F5307" s="2"/>
      <c r="G5307" s="2"/>
      <c r="H5307" s="3"/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</row>
    <row r="5308">
      <c r="A5308" s="7" t="s">
        <v>2</v>
      </c>
      <c r="B5308" s="7" t="s">
        <v>3</v>
      </c>
      <c r="C5308" s="7" t="s">
        <v>4</v>
      </c>
      <c r="D5308" s="7" t="s">
        <v>5</v>
      </c>
      <c r="E5308" s="7" t="s">
        <v>6</v>
      </c>
      <c r="F5308" s="8" t="s">
        <v>7</v>
      </c>
      <c r="G5308" s="7" t="s">
        <v>8</v>
      </c>
      <c r="H5308" s="9"/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</row>
    <row r="5309">
      <c r="A5309" s="10">
        <v>1.0</v>
      </c>
      <c r="B5309" s="33" t="s">
        <v>391</v>
      </c>
      <c r="C5309" s="34" t="s">
        <v>1200</v>
      </c>
      <c r="D5309" s="13" t="s">
        <v>11</v>
      </c>
      <c r="E5309" s="35">
        <v>2.0</v>
      </c>
      <c r="F5309" s="15">
        <v>293000.0</v>
      </c>
      <c r="G5309" s="16">
        <f t="shared" ref="G5309:G5311" si="353">IFERROR(E5309*F5309,0)</f>
        <v>586000</v>
      </c>
      <c r="H5309" s="17"/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</row>
    <row r="5310">
      <c r="A5310" s="10">
        <v>2.0</v>
      </c>
      <c r="B5310" s="36" t="s">
        <v>1201</v>
      </c>
      <c r="C5310" s="37" t="s">
        <v>1202</v>
      </c>
      <c r="D5310" s="20" t="s">
        <v>13</v>
      </c>
      <c r="E5310" s="38">
        <v>1.25</v>
      </c>
      <c r="F5310" s="22">
        <v>435000.0</v>
      </c>
      <c r="G5310" s="16">
        <f t="shared" si="353"/>
        <v>543750</v>
      </c>
      <c r="H5310" s="17"/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</row>
    <row r="5311">
      <c r="A5311" s="10">
        <v>3.0</v>
      </c>
      <c r="B5311" s="23" t="s">
        <v>14</v>
      </c>
      <c r="C5311" s="17"/>
      <c r="D5311" s="17"/>
      <c r="E5311" s="17"/>
      <c r="F5311" s="17"/>
      <c r="G5311" s="24">
        <f t="shared" si="353"/>
        <v>0</v>
      </c>
      <c r="H5311" s="17"/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</row>
    <row r="5312">
      <c r="A5312" s="25" t="s">
        <v>15</v>
      </c>
      <c r="B5312" s="2"/>
      <c r="C5312" s="2"/>
      <c r="D5312" s="2"/>
      <c r="E5312" s="2"/>
      <c r="F5312" s="2"/>
      <c r="G5312" s="3"/>
      <c r="H5312" s="26">
        <f>SUM(G5309:G5311)</f>
        <v>1129750</v>
      </c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</row>
    <row r="5313">
      <c r="A5313" s="25" t="s">
        <v>16</v>
      </c>
      <c r="B5313" s="2"/>
      <c r="C5313" s="2"/>
      <c r="D5313" s="2"/>
      <c r="E5313" s="2"/>
      <c r="F5313" s="2"/>
      <c r="G5313" s="3"/>
      <c r="H5313" s="26">
        <f>MAX(0,H5312-648000)</f>
        <v>481750</v>
      </c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</row>
    <row r="5314">
      <c r="A5314" s="27" t="s">
        <v>17</v>
      </c>
      <c r="B5314" s="2"/>
      <c r="C5314" s="2"/>
      <c r="D5314" s="2"/>
      <c r="E5314" s="2"/>
      <c r="F5314" s="2"/>
      <c r="G5314" s="3"/>
      <c r="H5314" s="28">
        <v>649000.0</v>
      </c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</row>
    <row r="5315">
      <c r="A5315" s="1" t="s">
        <v>18</v>
      </c>
      <c r="B5315" s="2"/>
      <c r="C5315" s="2"/>
      <c r="D5315" s="2"/>
      <c r="E5315" s="2"/>
      <c r="F5315" s="2"/>
      <c r="G5315" s="2"/>
      <c r="H5315" s="3"/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</row>
    <row r="5321" ht="29.25" customHeight="1">
      <c r="A5321" s="1" t="s">
        <v>0</v>
      </c>
      <c r="B5321" s="2"/>
      <c r="C5321" s="2"/>
      <c r="D5321" s="2"/>
      <c r="E5321" s="2"/>
      <c r="F5321" s="2"/>
      <c r="G5321" s="2"/>
      <c r="H5321" s="3"/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</row>
    <row r="5322">
      <c r="A5322" s="6" t="s">
        <v>1203</v>
      </c>
      <c r="B5322" s="2"/>
      <c r="C5322" s="2"/>
      <c r="D5322" s="2"/>
      <c r="E5322" s="2"/>
      <c r="F5322" s="2"/>
      <c r="G5322" s="2"/>
      <c r="H5322" s="3"/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</row>
    <row r="5323">
      <c r="A5323" s="7" t="s">
        <v>2</v>
      </c>
      <c r="B5323" s="7" t="s">
        <v>3</v>
      </c>
      <c r="C5323" s="7" t="s">
        <v>4</v>
      </c>
      <c r="D5323" s="7" t="s">
        <v>5</v>
      </c>
      <c r="E5323" s="7" t="s">
        <v>6</v>
      </c>
      <c r="F5323" s="8" t="s">
        <v>7</v>
      </c>
      <c r="G5323" s="7" t="s">
        <v>8</v>
      </c>
      <c r="H5323" s="9"/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</row>
    <row r="5324">
      <c r="A5324" s="10">
        <v>1.0</v>
      </c>
      <c r="B5324" s="33" t="s">
        <v>94</v>
      </c>
      <c r="C5324" s="34" t="s">
        <v>1204</v>
      </c>
      <c r="D5324" s="13" t="s">
        <v>11</v>
      </c>
      <c r="E5324" s="35">
        <v>1.5</v>
      </c>
      <c r="F5324" s="15">
        <v>293000.0</v>
      </c>
      <c r="G5324" s="16">
        <f t="shared" ref="G5324:G5326" si="354">IFERROR(E5324*F5324,0)</f>
        <v>439500</v>
      </c>
      <c r="H5324" s="17"/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</row>
    <row r="5325">
      <c r="A5325" s="10">
        <v>2.0</v>
      </c>
      <c r="B5325" s="36" t="s">
        <v>25</v>
      </c>
      <c r="C5325" s="37" t="s">
        <v>1105</v>
      </c>
      <c r="D5325" s="20" t="s">
        <v>13</v>
      </c>
      <c r="E5325" s="38">
        <v>2.1</v>
      </c>
      <c r="F5325" s="22">
        <v>435000.0</v>
      </c>
      <c r="G5325" s="16">
        <f t="shared" si="354"/>
        <v>913500</v>
      </c>
      <c r="H5325" s="17"/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</row>
    <row r="5326">
      <c r="A5326" s="10">
        <v>3.0</v>
      </c>
      <c r="B5326" s="23" t="s">
        <v>14</v>
      </c>
      <c r="C5326" s="17"/>
      <c r="D5326" s="17"/>
      <c r="E5326" s="17"/>
      <c r="F5326" s="17"/>
      <c r="G5326" s="24">
        <f t="shared" si="354"/>
        <v>0</v>
      </c>
      <c r="H5326" s="17"/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</row>
    <row r="5327">
      <c r="A5327" s="25" t="s">
        <v>15</v>
      </c>
      <c r="B5327" s="2"/>
      <c r="C5327" s="2"/>
      <c r="D5327" s="2"/>
      <c r="E5327" s="2"/>
      <c r="F5327" s="2"/>
      <c r="G5327" s="3"/>
      <c r="H5327" s="26">
        <f>SUM(G5324:G5326)</f>
        <v>1353000</v>
      </c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</row>
    <row r="5328">
      <c r="A5328" s="25" t="s">
        <v>16</v>
      </c>
      <c r="B5328" s="2"/>
      <c r="C5328" s="2"/>
      <c r="D5328" s="2"/>
      <c r="E5328" s="2"/>
      <c r="F5328" s="2"/>
      <c r="G5328" s="3"/>
      <c r="H5328" s="26">
        <f>MAX(0,H5327-648000)</f>
        <v>705000</v>
      </c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</row>
    <row r="5329">
      <c r="A5329" s="27" t="s">
        <v>17</v>
      </c>
      <c r="B5329" s="2"/>
      <c r="C5329" s="2"/>
      <c r="D5329" s="2"/>
      <c r="E5329" s="2"/>
      <c r="F5329" s="2"/>
      <c r="G5329" s="3"/>
      <c r="H5329" s="28">
        <v>649000.0</v>
      </c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</row>
    <row r="5330">
      <c r="A5330" s="1" t="s">
        <v>18</v>
      </c>
      <c r="B5330" s="2"/>
      <c r="C5330" s="2"/>
      <c r="D5330" s="2"/>
      <c r="E5330" s="2"/>
      <c r="F5330" s="2"/>
      <c r="G5330" s="2"/>
      <c r="H5330" s="3"/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</row>
    <row r="5336" ht="29.25" customHeight="1">
      <c r="A5336" s="1" t="s">
        <v>0</v>
      </c>
      <c r="B5336" s="2"/>
      <c r="C5336" s="2"/>
      <c r="D5336" s="2"/>
      <c r="E5336" s="2"/>
      <c r="F5336" s="2"/>
      <c r="G5336" s="2"/>
      <c r="H5336" s="3"/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</row>
    <row r="5337">
      <c r="A5337" s="6" t="s">
        <v>1205</v>
      </c>
      <c r="B5337" s="2"/>
      <c r="C5337" s="2"/>
      <c r="D5337" s="2"/>
      <c r="E5337" s="2"/>
      <c r="F5337" s="2"/>
      <c r="G5337" s="2"/>
      <c r="H5337" s="3"/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</row>
    <row r="5338">
      <c r="A5338" s="7" t="s">
        <v>2</v>
      </c>
      <c r="B5338" s="7" t="s">
        <v>3</v>
      </c>
      <c r="C5338" s="7" t="s">
        <v>4</v>
      </c>
      <c r="D5338" s="7" t="s">
        <v>5</v>
      </c>
      <c r="E5338" s="7" t="s">
        <v>6</v>
      </c>
      <c r="F5338" s="8" t="s">
        <v>7</v>
      </c>
      <c r="G5338" s="7" t="s">
        <v>8</v>
      </c>
      <c r="H5338" s="9"/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</row>
    <row r="5339">
      <c r="A5339" s="10">
        <v>1.0</v>
      </c>
      <c r="B5339" s="33" t="s">
        <v>94</v>
      </c>
      <c r="C5339" s="34" t="s">
        <v>1206</v>
      </c>
      <c r="D5339" s="13" t="s">
        <v>11</v>
      </c>
      <c r="E5339" s="35">
        <v>2.5</v>
      </c>
      <c r="F5339" s="15">
        <v>293000.0</v>
      </c>
      <c r="G5339" s="16">
        <f t="shared" ref="G5339:G5341" si="355">IFERROR(E5339*F5339,0)</f>
        <v>732500</v>
      </c>
      <c r="H5339" s="17"/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</row>
    <row r="5340">
      <c r="A5340" s="10">
        <v>2.0</v>
      </c>
      <c r="B5340" s="36" t="s">
        <v>41</v>
      </c>
      <c r="C5340" s="37" t="s">
        <v>1207</v>
      </c>
      <c r="D5340" s="20" t="s">
        <v>13</v>
      </c>
      <c r="E5340" s="38">
        <v>1.1</v>
      </c>
      <c r="F5340" s="22">
        <v>435000.0</v>
      </c>
      <c r="G5340" s="16">
        <f t="shared" si="355"/>
        <v>478500</v>
      </c>
      <c r="H5340" s="17"/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</row>
    <row r="5341">
      <c r="A5341" s="10">
        <v>3.0</v>
      </c>
      <c r="B5341" s="23" t="s">
        <v>14</v>
      </c>
      <c r="C5341" s="17"/>
      <c r="D5341" s="17"/>
      <c r="E5341" s="17"/>
      <c r="F5341" s="17"/>
      <c r="G5341" s="24">
        <f t="shared" si="355"/>
        <v>0</v>
      </c>
      <c r="H5341" s="17"/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</row>
    <row r="5342">
      <c r="A5342" s="25" t="s">
        <v>15</v>
      </c>
      <c r="B5342" s="2"/>
      <c r="C5342" s="2"/>
      <c r="D5342" s="2"/>
      <c r="E5342" s="2"/>
      <c r="F5342" s="2"/>
      <c r="G5342" s="3"/>
      <c r="H5342" s="26">
        <f>SUM(G5339:G5341)</f>
        <v>1211000</v>
      </c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</row>
    <row r="5343">
      <c r="A5343" s="25" t="s">
        <v>16</v>
      </c>
      <c r="B5343" s="2"/>
      <c r="C5343" s="2"/>
      <c r="D5343" s="2"/>
      <c r="E5343" s="2"/>
      <c r="F5343" s="2"/>
      <c r="G5343" s="3"/>
      <c r="H5343" s="26">
        <f>MAX(0,H5342-648000)</f>
        <v>563000</v>
      </c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</row>
    <row r="5344">
      <c r="A5344" s="27" t="s">
        <v>17</v>
      </c>
      <c r="B5344" s="2"/>
      <c r="C5344" s="2"/>
      <c r="D5344" s="2"/>
      <c r="E5344" s="2"/>
      <c r="F5344" s="2"/>
      <c r="G5344" s="3"/>
      <c r="H5344" s="28">
        <v>649000.0</v>
      </c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</row>
    <row r="5345">
      <c r="A5345" s="1" t="s">
        <v>18</v>
      </c>
      <c r="B5345" s="2"/>
      <c r="C5345" s="2"/>
      <c r="D5345" s="2"/>
      <c r="E5345" s="2"/>
      <c r="F5345" s="2"/>
      <c r="G5345" s="2"/>
      <c r="H5345" s="3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</row>
    <row r="5352" ht="29.25" customHeight="1">
      <c r="A5352" s="1" t="s">
        <v>0</v>
      </c>
      <c r="B5352" s="2"/>
      <c r="C5352" s="2"/>
      <c r="D5352" s="2"/>
      <c r="E5352" s="2"/>
      <c r="F5352" s="2"/>
      <c r="G5352" s="2"/>
      <c r="H5352" s="3"/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</row>
    <row r="5353">
      <c r="A5353" s="6" t="s">
        <v>1208</v>
      </c>
      <c r="B5353" s="2"/>
      <c r="C5353" s="2"/>
      <c r="D5353" s="2"/>
      <c r="E5353" s="2"/>
      <c r="F5353" s="2"/>
      <c r="G5353" s="2"/>
      <c r="H5353" s="3"/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</row>
    <row r="5354">
      <c r="A5354" s="7" t="s">
        <v>2</v>
      </c>
      <c r="B5354" s="7" t="s">
        <v>3</v>
      </c>
      <c r="C5354" s="7" t="s">
        <v>4</v>
      </c>
      <c r="D5354" s="7" t="s">
        <v>5</v>
      </c>
      <c r="E5354" s="7" t="s">
        <v>6</v>
      </c>
      <c r="F5354" s="8" t="s">
        <v>7</v>
      </c>
      <c r="G5354" s="7" t="s">
        <v>8</v>
      </c>
      <c r="H5354" s="9"/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</row>
    <row r="5355">
      <c r="A5355" s="10">
        <v>1.0</v>
      </c>
      <c r="B5355" s="33" t="s">
        <v>544</v>
      </c>
      <c r="C5355" s="34" t="s">
        <v>1192</v>
      </c>
      <c r="D5355" s="13" t="s">
        <v>11</v>
      </c>
      <c r="E5355" s="35">
        <v>2.0</v>
      </c>
      <c r="F5355" s="15">
        <v>293000.0</v>
      </c>
      <c r="G5355" s="16">
        <f t="shared" ref="G5355:G5357" si="356">IFERROR(E5355*F5355,0)</f>
        <v>586000</v>
      </c>
      <c r="H5355" s="17"/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</row>
    <row r="5356">
      <c r="A5356" s="10">
        <v>2.0</v>
      </c>
      <c r="B5356" s="36" t="s">
        <v>98</v>
      </c>
      <c r="C5356" s="37" t="s">
        <v>1209</v>
      </c>
      <c r="D5356" s="20" t="s">
        <v>13</v>
      </c>
      <c r="E5356" s="38">
        <v>1.5</v>
      </c>
      <c r="F5356" s="22">
        <v>435000.0</v>
      </c>
      <c r="G5356" s="16">
        <f t="shared" si="356"/>
        <v>652500</v>
      </c>
      <c r="H5356" s="17"/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</row>
    <row r="5357">
      <c r="A5357" s="10">
        <v>3.0</v>
      </c>
      <c r="B5357" s="23" t="s">
        <v>14</v>
      </c>
      <c r="C5357" s="17"/>
      <c r="D5357" s="17"/>
      <c r="E5357" s="17"/>
      <c r="F5357" s="17"/>
      <c r="G5357" s="24">
        <f t="shared" si="356"/>
        <v>0</v>
      </c>
      <c r="H5357" s="17"/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</row>
    <row r="5358">
      <c r="A5358" s="25" t="s">
        <v>15</v>
      </c>
      <c r="B5358" s="2"/>
      <c r="C5358" s="2"/>
      <c r="D5358" s="2"/>
      <c r="E5358" s="2"/>
      <c r="F5358" s="2"/>
      <c r="G5358" s="3"/>
      <c r="H5358" s="26">
        <f>SUM(G5355:G5357)</f>
        <v>1238500</v>
      </c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</row>
    <row r="5359">
      <c r="A5359" s="25" t="s">
        <v>16</v>
      </c>
      <c r="B5359" s="2"/>
      <c r="C5359" s="2"/>
      <c r="D5359" s="2"/>
      <c r="E5359" s="2"/>
      <c r="F5359" s="2"/>
      <c r="G5359" s="3"/>
      <c r="H5359" s="26">
        <f>MAX(0,H5358-648000)</f>
        <v>590500</v>
      </c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</row>
    <row r="5360">
      <c r="A5360" s="27" t="s">
        <v>17</v>
      </c>
      <c r="B5360" s="2"/>
      <c r="C5360" s="2"/>
      <c r="D5360" s="2"/>
      <c r="E5360" s="2"/>
      <c r="F5360" s="2"/>
      <c r="G5360" s="3"/>
      <c r="H5360" s="28">
        <v>649000.0</v>
      </c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</row>
    <row r="5361">
      <c r="A5361" s="1" t="s">
        <v>18</v>
      </c>
      <c r="B5361" s="2"/>
      <c r="C5361" s="2"/>
      <c r="D5361" s="2"/>
      <c r="E5361" s="2"/>
      <c r="F5361" s="2"/>
      <c r="G5361" s="2"/>
      <c r="H5361" s="3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</row>
    <row r="5368" ht="29.25" customHeight="1">
      <c r="A5368" s="1" t="s">
        <v>0</v>
      </c>
      <c r="B5368" s="2"/>
      <c r="C5368" s="2"/>
      <c r="D5368" s="2"/>
      <c r="E5368" s="2"/>
      <c r="F5368" s="2"/>
      <c r="G5368" s="2"/>
      <c r="H5368" s="3"/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</row>
    <row r="5369">
      <c r="A5369" s="6" t="s">
        <v>1210</v>
      </c>
      <c r="B5369" s="2"/>
      <c r="C5369" s="2"/>
      <c r="D5369" s="2"/>
      <c r="E5369" s="2"/>
      <c r="F5369" s="2"/>
      <c r="G5369" s="2"/>
      <c r="H5369" s="3"/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</row>
    <row r="5370">
      <c r="A5370" s="7" t="s">
        <v>2</v>
      </c>
      <c r="B5370" s="7" t="s">
        <v>3</v>
      </c>
      <c r="C5370" s="7" t="s">
        <v>4</v>
      </c>
      <c r="D5370" s="7" t="s">
        <v>5</v>
      </c>
      <c r="E5370" s="7" t="s">
        <v>6</v>
      </c>
      <c r="F5370" s="8" t="s">
        <v>7</v>
      </c>
      <c r="G5370" s="7" t="s">
        <v>8</v>
      </c>
      <c r="H5370" s="9"/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</row>
    <row r="5371">
      <c r="A5371" s="10">
        <v>1.0</v>
      </c>
      <c r="B5371" s="33" t="s">
        <v>544</v>
      </c>
      <c r="C5371" s="34" t="s">
        <v>1192</v>
      </c>
      <c r="D5371" s="13" t="s">
        <v>11</v>
      </c>
      <c r="E5371" s="35">
        <v>2.0</v>
      </c>
      <c r="F5371" s="15">
        <v>293000.0</v>
      </c>
      <c r="G5371" s="16">
        <f t="shared" ref="G5371:G5373" si="357">IFERROR(E5371*F5371,0)</f>
        <v>586000</v>
      </c>
      <c r="H5371" s="17"/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</row>
    <row r="5372">
      <c r="A5372" s="10">
        <v>2.0</v>
      </c>
      <c r="B5372" s="36" t="s">
        <v>98</v>
      </c>
      <c r="C5372" s="37" t="s">
        <v>1211</v>
      </c>
      <c r="D5372" s="20" t="s">
        <v>13</v>
      </c>
      <c r="E5372" s="38">
        <v>1.45</v>
      </c>
      <c r="F5372" s="22">
        <v>435000.0</v>
      </c>
      <c r="G5372" s="16">
        <f t="shared" si="357"/>
        <v>630750</v>
      </c>
      <c r="H5372" s="17"/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</row>
    <row r="5373">
      <c r="A5373" s="10">
        <v>3.0</v>
      </c>
      <c r="B5373" s="23" t="s">
        <v>14</v>
      </c>
      <c r="C5373" s="17"/>
      <c r="D5373" s="17"/>
      <c r="E5373" s="17"/>
      <c r="F5373" s="17"/>
      <c r="G5373" s="24">
        <f t="shared" si="357"/>
        <v>0</v>
      </c>
      <c r="H5373" s="17"/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</row>
    <row r="5374">
      <c r="A5374" s="25" t="s">
        <v>15</v>
      </c>
      <c r="B5374" s="2"/>
      <c r="C5374" s="2"/>
      <c r="D5374" s="2"/>
      <c r="E5374" s="2"/>
      <c r="F5374" s="2"/>
      <c r="G5374" s="3"/>
      <c r="H5374" s="26">
        <f>SUM(G5371:G5373)</f>
        <v>1216750</v>
      </c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</row>
    <row r="5375">
      <c r="A5375" s="25" t="s">
        <v>16</v>
      </c>
      <c r="B5375" s="2"/>
      <c r="C5375" s="2"/>
      <c r="D5375" s="2"/>
      <c r="E5375" s="2"/>
      <c r="F5375" s="2"/>
      <c r="G5375" s="3"/>
      <c r="H5375" s="26">
        <f>MAX(0,H5374-648000)</f>
        <v>568750</v>
      </c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</row>
    <row r="5376">
      <c r="A5376" s="27" t="s">
        <v>17</v>
      </c>
      <c r="B5376" s="2"/>
      <c r="C5376" s="2"/>
      <c r="D5376" s="2"/>
      <c r="E5376" s="2"/>
      <c r="F5376" s="2"/>
      <c r="G5376" s="3"/>
      <c r="H5376" s="28">
        <v>649000.0</v>
      </c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</row>
    <row r="5377">
      <c r="A5377" s="1" t="s">
        <v>18</v>
      </c>
      <c r="B5377" s="2"/>
      <c r="C5377" s="2"/>
      <c r="D5377" s="2"/>
      <c r="E5377" s="2"/>
      <c r="F5377" s="2"/>
      <c r="G5377" s="2"/>
      <c r="H5377" s="3"/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</row>
    <row r="5385" ht="29.25" customHeight="1">
      <c r="A5385" s="1" t="s">
        <v>0</v>
      </c>
      <c r="B5385" s="2"/>
      <c r="C5385" s="2"/>
      <c r="D5385" s="2"/>
      <c r="E5385" s="2"/>
      <c r="F5385" s="2"/>
      <c r="G5385" s="2"/>
      <c r="H5385" s="3"/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</row>
    <row r="5386">
      <c r="A5386" s="6" t="s">
        <v>1212</v>
      </c>
      <c r="B5386" s="2"/>
      <c r="C5386" s="2"/>
      <c r="D5386" s="2"/>
      <c r="E5386" s="2"/>
      <c r="F5386" s="2"/>
      <c r="G5386" s="2"/>
      <c r="H5386" s="3"/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</row>
    <row r="5387">
      <c r="A5387" s="7" t="s">
        <v>2</v>
      </c>
      <c r="B5387" s="7" t="s">
        <v>3</v>
      </c>
      <c r="C5387" s="7" t="s">
        <v>4</v>
      </c>
      <c r="D5387" s="7" t="s">
        <v>5</v>
      </c>
      <c r="E5387" s="7" t="s">
        <v>6</v>
      </c>
      <c r="F5387" s="8" t="s">
        <v>7</v>
      </c>
      <c r="G5387" s="7" t="s">
        <v>8</v>
      </c>
      <c r="H5387" s="9"/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</row>
    <row r="5388">
      <c r="A5388" s="10">
        <v>1.0</v>
      </c>
      <c r="B5388" s="33" t="s">
        <v>544</v>
      </c>
      <c r="C5388" s="34" t="s">
        <v>1192</v>
      </c>
      <c r="D5388" s="13" t="s">
        <v>11</v>
      </c>
      <c r="E5388" s="35">
        <v>2.0</v>
      </c>
      <c r="F5388" s="15">
        <v>293000.0</v>
      </c>
      <c r="G5388" s="16">
        <f t="shared" ref="G5388:G5390" si="358">IFERROR(E5388*F5388,0)</f>
        <v>586000</v>
      </c>
      <c r="H5388" s="17"/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</row>
    <row r="5389">
      <c r="A5389" s="10">
        <v>2.0</v>
      </c>
      <c r="B5389" s="36" t="s">
        <v>1213</v>
      </c>
      <c r="C5389" s="37" t="s">
        <v>1214</v>
      </c>
      <c r="D5389" s="20" t="s">
        <v>13</v>
      </c>
      <c r="E5389" s="38">
        <v>1.47</v>
      </c>
      <c r="F5389" s="22">
        <v>435000.0</v>
      </c>
      <c r="G5389" s="16">
        <f t="shared" si="358"/>
        <v>639450</v>
      </c>
      <c r="H5389" s="17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</row>
    <row r="5390">
      <c r="A5390" s="10">
        <v>3.0</v>
      </c>
      <c r="B5390" s="23" t="s">
        <v>14</v>
      </c>
      <c r="C5390" s="17"/>
      <c r="D5390" s="17"/>
      <c r="E5390" s="17"/>
      <c r="F5390" s="17"/>
      <c r="G5390" s="24">
        <f t="shared" si="358"/>
        <v>0</v>
      </c>
      <c r="H5390" s="17"/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</row>
    <row r="5391">
      <c r="A5391" s="25" t="s">
        <v>15</v>
      </c>
      <c r="B5391" s="2"/>
      <c r="C5391" s="2"/>
      <c r="D5391" s="2"/>
      <c r="E5391" s="2"/>
      <c r="F5391" s="2"/>
      <c r="G5391" s="3"/>
      <c r="H5391" s="26">
        <f>SUM(G5388:G5390)</f>
        <v>1225450</v>
      </c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</row>
    <row r="5392">
      <c r="A5392" s="25" t="s">
        <v>16</v>
      </c>
      <c r="B5392" s="2"/>
      <c r="C5392" s="2"/>
      <c r="D5392" s="2"/>
      <c r="E5392" s="2"/>
      <c r="F5392" s="2"/>
      <c r="G5392" s="3"/>
      <c r="H5392" s="26">
        <f>MAX(0,H5391-648000)</f>
        <v>577450</v>
      </c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</row>
    <row r="5393">
      <c r="A5393" s="27" t="s">
        <v>17</v>
      </c>
      <c r="B5393" s="2"/>
      <c r="C5393" s="2"/>
      <c r="D5393" s="2"/>
      <c r="E5393" s="2"/>
      <c r="F5393" s="2"/>
      <c r="G5393" s="3"/>
      <c r="H5393" s="28">
        <v>649000.0</v>
      </c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</row>
    <row r="5394">
      <c r="A5394" s="1" t="s">
        <v>18</v>
      </c>
      <c r="B5394" s="2"/>
      <c r="C5394" s="2"/>
      <c r="D5394" s="2"/>
      <c r="E5394" s="2"/>
      <c r="F5394" s="2"/>
      <c r="G5394" s="2"/>
      <c r="H5394" s="3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</row>
    <row r="5402" ht="29.25" customHeight="1">
      <c r="A5402" s="1" t="s">
        <v>0</v>
      </c>
      <c r="B5402" s="2"/>
      <c r="C5402" s="2"/>
      <c r="D5402" s="2"/>
      <c r="E5402" s="2"/>
      <c r="F5402" s="2"/>
      <c r="G5402" s="2"/>
      <c r="H5402" s="3"/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</row>
    <row r="5403">
      <c r="A5403" s="6" t="s">
        <v>1215</v>
      </c>
      <c r="B5403" s="2"/>
      <c r="C5403" s="2"/>
      <c r="D5403" s="2"/>
      <c r="E5403" s="2"/>
      <c r="F5403" s="2"/>
      <c r="G5403" s="2"/>
      <c r="H5403" s="3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</row>
    <row r="5404">
      <c r="A5404" s="7" t="s">
        <v>2</v>
      </c>
      <c r="B5404" s="7" t="s">
        <v>3</v>
      </c>
      <c r="C5404" s="7" t="s">
        <v>4</v>
      </c>
      <c r="D5404" s="7" t="s">
        <v>5</v>
      </c>
      <c r="E5404" s="7" t="s">
        <v>6</v>
      </c>
      <c r="F5404" s="8" t="s">
        <v>7</v>
      </c>
      <c r="G5404" s="7" t="s">
        <v>8</v>
      </c>
      <c r="H5404" s="9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</row>
    <row r="5405">
      <c r="A5405" s="10">
        <v>1.0</v>
      </c>
      <c r="B5405" s="33" t="s">
        <v>544</v>
      </c>
      <c r="C5405" s="34" t="s">
        <v>1192</v>
      </c>
      <c r="D5405" s="13" t="s">
        <v>11</v>
      </c>
      <c r="E5405" s="35">
        <v>2.0</v>
      </c>
      <c r="F5405" s="15">
        <v>293000.0</v>
      </c>
      <c r="G5405" s="16">
        <f t="shared" ref="G5405:G5407" si="359">IFERROR(E5405*F5405,0)</f>
        <v>586000</v>
      </c>
      <c r="H5405" s="17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</row>
    <row r="5406">
      <c r="A5406" s="10">
        <v>2.0</v>
      </c>
      <c r="B5406" s="36" t="s">
        <v>12</v>
      </c>
      <c r="C5406" s="37" t="s">
        <v>1216</v>
      </c>
      <c r="D5406" s="20" t="s">
        <v>13</v>
      </c>
      <c r="E5406" s="38">
        <v>1.4</v>
      </c>
      <c r="F5406" s="22">
        <v>435000.0</v>
      </c>
      <c r="G5406" s="16">
        <f t="shared" si="359"/>
        <v>609000</v>
      </c>
      <c r="H5406" s="17"/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</row>
    <row r="5407">
      <c r="A5407" s="10">
        <v>3.0</v>
      </c>
      <c r="B5407" s="23" t="s">
        <v>14</v>
      </c>
      <c r="C5407" s="17"/>
      <c r="D5407" s="17"/>
      <c r="E5407" s="17"/>
      <c r="F5407" s="17"/>
      <c r="G5407" s="24">
        <f t="shared" si="359"/>
        <v>0</v>
      </c>
      <c r="H5407" s="17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</row>
    <row r="5408">
      <c r="A5408" s="25" t="s">
        <v>15</v>
      </c>
      <c r="B5408" s="2"/>
      <c r="C5408" s="2"/>
      <c r="D5408" s="2"/>
      <c r="E5408" s="2"/>
      <c r="F5408" s="2"/>
      <c r="G5408" s="3"/>
      <c r="H5408" s="26">
        <f>SUM(G5405:G5407)</f>
        <v>1195000</v>
      </c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</row>
    <row r="5409">
      <c r="A5409" s="25" t="s">
        <v>16</v>
      </c>
      <c r="B5409" s="2"/>
      <c r="C5409" s="2"/>
      <c r="D5409" s="2"/>
      <c r="E5409" s="2"/>
      <c r="F5409" s="2"/>
      <c r="G5409" s="3"/>
      <c r="H5409" s="26">
        <f>MAX(0,H5408-648000)</f>
        <v>547000</v>
      </c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</row>
    <row r="5410">
      <c r="A5410" s="27" t="s">
        <v>17</v>
      </c>
      <c r="B5410" s="2"/>
      <c r="C5410" s="2"/>
      <c r="D5410" s="2"/>
      <c r="E5410" s="2"/>
      <c r="F5410" s="2"/>
      <c r="G5410" s="3"/>
      <c r="H5410" s="28">
        <v>649000.0</v>
      </c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</row>
    <row r="5411">
      <c r="A5411" s="1" t="s">
        <v>18</v>
      </c>
      <c r="B5411" s="2"/>
      <c r="C5411" s="2"/>
      <c r="D5411" s="2"/>
      <c r="E5411" s="2"/>
      <c r="F5411" s="2"/>
      <c r="G5411" s="2"/>
      <c r="H5411" s="3"/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</row>
    <row r="5417" ht="29.25" customHeight="1">
      <c r="A5417" s="1" t="s">
        <v>0</v>
      </c>
      <c r="B5417" s="2"/>
      <c r="C5417" s="2"/>
      <c r="D5417" s="2"/>
      <c r="E5417" s="2"/>
      <c r="F5417" s="2"/>
      <c r="G5417" s="2"/>
      <c r="H5417" s="3"/>
      <c r="I5417" s="5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</row>
    <row r="5418">
      <c r="A5418" s="6" t="s">
        <v>1217</v>
      </c>
      <c r="B5418" s="2"/>
      <c r="C5418" s="2"/>
      <c r="D5418" s="2"/>
      <c r="E5418" s="2"/>
      <c r="F5418" s="2"/>
      <c r="G5418" s="2"/>
      <c r="H5418" s="3"/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</row>
    <row r="5419">
      <c r="A5419" s="7" t="s">
        <v>2</v>
      </c>
      <c r="B5419" s="7" t="s">
        <v>3</v>
      </c>
      <c r="C5419" s="7" t="s">
        <v>4</v>
      </c>
      <c r="D5419" s="7" t="s">
        <v>5</v>
      </c>
      <c r="E5419" s="7" t="s">
        <v>6</v>
      </c>
      <c r="F5419" s="8" t="s">
        <v>7</v>
      </c>
      <c r="G5419" s="7" t="s">
        <v>8</v>
      </c>
      <c r="H5419" s="9"/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</row>
    <row r="5420">
      <c r="A5420" s="10">
        <v>1.0</v>
      </c>
      <c r="B5420" s="33" t="s">
        <v>763</v>
      </c>
      <c r="C5420" s="34" t="s">
        <v>1147</v>
      </c>
      <c r="D5420" s="13" t="s">
        <v>11</v>
      </c>
      <c r="E5420" s="35">
        <v>3.0</v>
      </c>
      <c r="F5420" s="15">
        <v>293000.0</v>
      </c>
      <c r="G5420" s="16">
        <f t="shared" ref="G5420:G5422" si="360">IFERROR(E5420*F5420,0)</f>
        <v>879000</v>
      </c>
      <c r="H5420" s="17"/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</row>
    <row r="5421">
      <c r="A5421" s="10">
        <v>2.0</v>
      </c>
      <c r="B5421" s="36" t="s">
        <v>218</v>
      </c>
      <c r="C5421" s="37" t="s">
        <v>1218</v>
      </c>
      <c r="D5421" s="20" t="s">
        <v>13</v>
      </c>
      <c r="E5421" s="38">
        <v>0.6</v>
      </c>
      <c r="F5421" s="22">
        <v>435000.0</v>
      </c>
      <c r="G5421" s="16">
        <f t="shared" si="360"/>
        <v>261000</v>
      </c>
      <c r="H5421" s="17"/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</row>
    <row r="5422">
      <c r="A5422" s="10">
        <v>3.0</v>
      </c>
      <c r="B5422" s="23" t="s">
        <v>14</v>
      </c>
      <c r="C5422" s="17"/>
      <c r="D5422" s="17"/>
      <c r="E5422" s="17"/>
      <c r="F5422" s="17"/>
      <c r="G5422" s="24">
        <f t="shared" si="360"/>
        <v>0</v>
      </c>
      <c r="H5422" s="17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</row>
    <row r="5423">
      <c r="A5423" s="25" t="s">
        <v>15</v>
      </c>
      <c r="B5423" s="2"/>
      <c r="C5423" s="2"/>
      <c r="D5423" s="2"/>
      <c r="E5423" s="2"/>
      <c r="F5423" s="2"/>
      <c r="G5423" s="3"/>
      <c r="H5423" s="26">
        <f>SUM(G5420:G5422)</f>
        <v>1140000</v>
      </c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</row>
    <row r="5424">
      <c r="A5424" s="25" t="s">
        <v>16</v>
      </c>
      <c r="B5424" s="2"/>
      <c r="C5424" s="2"/>
      <c r="D5424" s="2"/>
      <c r="E5424" s="2"/>
      <c r="F5424" s="2"/>
      <c r="G5424" s="3"/>
      <c r="H5424" s="26">
        <f>MAX(0,H5423-648000)</f>
        <v>492000</v>
      </c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</row>
    <row r="5425">
      <c r="A5425" s="27" t="s">
        <v>17</v>
      </c>
      <c r="B5425" s="2"/>
      <c r="C5425" s="2"/>
      <c r="D5425" s="2"/>
      <c r="E5425" s="2"/>
      <c r="F5425" s="2"/>
      <c r="G5425" s="3"/>
      <c r="H5425" s="28">
        <v>649000.0</v>
      </c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</row>
    <row r="5426">
      <c r="A5426" s="1" t="s">
        <v>18</v>
      </c>
      <c r="B5426" s="2"/>
      <c r="C5426" s="2"/>
      <c r="D5426" s="2"/>
      <c r="E5426" s="2"/>
      <c r="F5426" s="2"/>
      <c r="G5426" s="2"/>
      <c r="H5426" s="3"/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</row>
    <row r="5433" ht="29.25" customHeight="1">
      <c r="A5433" s="1" t="s">
        <v>0</v>
      </c>
      <c r="B5433" s="2"/>
      <c r="C5433" s="2"/>
      <c r="D5433" s="2"/>
      <c r="E5433" s="2"/>
      <c r="F5433" s="2"/>
      <c r="G5433" s="2"/>
      <c r="H5433" s="3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</row>
    <row r="5434">
      <c r="A5434" s="6" t="s">
        <v>1219</v>
      </c>
      <c r="B5434" s="2"/>
      <c r="C5434" s="2"/>
      <c r="D5434" s="2"/>
      <c r="E5434" s="2"/>
      <c r="F5434" s="2"/>
      <c r="G5434" s="2"/>
      <c r="H5434" s="3"/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</row>
    <row r="5435">
      <c r="A5435" s="7" t="s">
        <v>2</v>
      </c>
      <c r="B5435" s="7" t="s">
        <v>3</v>
      </c>
      <c r="C5435" s="7" t="s">
        <v>4</v>
      </c>
      <c r="D5435" s="7" t="s">
        <v>5</v>
      </c>
      <c r="E5435" s="7" t="s">
        <v>6</v>
      </c>
      <c r="F5435" s="8" t="s">
        <v>7</v>
      </c>
      <c r="G5435" s="7" t="s">
        <v>8</v>
      </c>
      <c r="H5435" s="9"/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</row>
    <row r="5436">
      <c r="A5436" s="10">
        <v>1.0</v>
      </c>
      <c r="B5436" s="33" t="s">
        <v>544</v>
      </c>
      <c r="C5436" s="34" t="s">
        <v>1192</v>
      </c>
      <c r="D5436" s="13" t="s">
        <v>11</v>
      </c>
      <c r="E5436" s="35">
        <v>2.0</v>
      </c>
      <c r="F5436" s="15">
        <v>293000.0</v>
      </c>
      <c r="G5436" s="16">
        <f t="shared" ref="G5436:G5438" si="361">IFERROR(E5436*F5436,0)</f>
        <v>586000</v>
      </c>
      <c r="H5436" s="17"/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</row>
    <row r="5437">
      <c r="A5437" s="10">
        <v>2.0</v>
      </c>
      <c r="B5437" s="36" t="s">
        <v>279</v>
      </c>
      <c r="C5437" s="37" t="s">
        <v>1220</v>
      </c>
      <c r="D5437" s="20" t="s">
        <v>13</v>
      </c>
      <c r="E5437" s="38">
        <v>1.5</v>
      </c>
      <c r="F5437" s="22">
        <v>435000.0</v>
      </c>
      <c r="G5437" s="16">
        <f t="shared" si="361"/>
        <v>652500</v>
      </c>
      <c r="H5437" s="17"/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</row>
    <row r="5438">
      <c r="A5438" s="10">
        <v>3.0</v>
      </c>
      <c r="B5438" s="23" t="s">
        <v>14</v>
      </c>
      <c r="C5438" s="17"/>
      <c r="D5438" s="17"/>
      <c r="E5438" s="17"/>
      <c r="F5438" s="17"/>
      <c r="G5438" s="24">
        <f t="shared" si="361"/>
        <v>0</v>
      </c>
      <c r="H5438" s="17"/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</row>
    <row r="5439">
      <c r="A5439" s="25" t="s">
        <v>15</v>
      </c>
      <c r="B5439" s="2"/>
      <c r="C5439" s="2"/>
      <c r="D5439" s="2"/>
      <c r="E5439" s="2"/>
      <c r="F5439" s="2"/>
      <c r="G5439" s="3"/>
      <c r="H5439" s="26">
        <f>SUM(G5436:G5438)</f>
        <v>1238500</v>
      </c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</row>
    <row r="5440">
      <c r="A5440" s="25" t="s">
        <v>16</v>
      </c>
      <c r="B5440" s="2"/>
      <c r="C5440" s="2"/>
      <c r="D5440" s="2"/>
      <c r="E5440" s="2"/>
      <c r="F5440" s="2"/>
      <c r="G5440" s="3"/>
      <c r="H5440" s="26">
        <f>MAX(0,H5439-648000)</f>
        <v>590500</v>
      </c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</row>
    <row r="5441">
      <c r="A5441" s="27" t="s">
        <v>17</v>
      </c>
      <c r="B5441" s="2"/>
      <c r="C5441" s="2"/>
      <c r="D5441" s="2"/>
      <c r="E5441" s="2"/>
      <c r="F5441" s="2"/>
      <c r="G5441" s="3"/>
      <c r="H5441" s="28">
        <v>649000.0</v>
      </c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</row>
    <row r="5442">
      <c r="A5442" s="1" t="s">
        <v>18</v>
      </c>
      <c r="B5442" s="2"/>
      <c r="C5442" s="2"/>
      <c r="D5442" s="2"/>
      <c r="E5442" s="2"/>
      <c r="F5442" s="2"/>
      <c r="G5442" s="2"/>
      <c r="H5442" s="3"/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</row>
    <row r="5448" ht="29.25" customHeight="1">
      <c r="A5448" s="1" t="s">
        <v>0</v>
      </c>
      <c r="B5448" s="2"/>
      <c r="C5448" s="2"/>
      <c r="D5448" s="2"/>
      <c r="E5448" s="2"/>
      <c r="F5448" s="2"/>
      <c r="G5448" s="2"/>
      <c r="H5448" s="3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</row>
    <row r="5449">
      <c r="A5449" s="6" t="s">
        <v>1221</v>
      </c>
      <c r="B5449" s="2"/>
      <c r="C5449" s="2"/>
      <c r="D5449" s="2"/>
      <c r="E5449" s="2"/>
      <c r="F5449" s="2"/>
      <c r="G5449" s="2"/>
      <c r="H5449" s="3"/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</row>
    <row r="5450">
      <c r="A5450" s="7" t="s">
        <v>2</v>
      </c>
      <c r="B5450" s="7" t="s">
        <v>3</v>
      </c>
      <c r="C5450" s="7" t="s">
        <v>4</v>
      </c>
      <c r="D5450" s="7" t="s">
        <v>5</v>
      </c>
      <c r="E5450" s="7" t="s">
        <v>6</v>
      </c>
      <c r="F5450" s="8" t="s">
        <v>7</v>
      </c>
      <c r="G5450" s="7" t="s">
        <v>8</v>
      </c>
      <c r="H5450" s="9"/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</row>
    <row r="5451">
      <c r="A5451" s="10">
        <v>1.0</v>
      </c>
      <c r="B5451" s="33" t="s">
        <v>1181</v>
      </c>
      <c r="C5451" s="34" t="s">
        <v>1222</v>
      </c>
      <c r="D5451" s="13" t="s">
        <v>11</v>
      </c>
      <c r="E5451" s="35">
        <v>2.45</v>
      </c>
      <c r="F5451" s="15">
        <v>293000.0</v>
      </c>
      <c r="G5451" s="16">
        <f t="shared" ref="G5451:G5453" si="362">IFERROR(E5451*F5451,0)</f>
        <v>717850</v>
      </c>
      <c r="H5451" s="17"/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</row>
    <row r="5452">
      <c r="A5452" s="10">
        <v>2.0</v>
      </c>
      <c r="B5452" s="36" t="s">
        <v>453</v>
      </c>
      <c r="C5452" s="37" t="s">
        <v>1223</v>
      </c>
      <c r="D5452" s="20" t="s">
        <v>13</v>
      </c>
      <c r="E5452" s="38">
        <v>1.08</v>
      </c>
      <c r="F5452" s="22">
        <v>435000.0</v>
      </c>
      <c r="G5452" s="16">
        <f t="shared" si="362"/>
        <v>469800</v>
      </c>
      <c r="H5452" s="17"/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</row>
    <row r="5453">
      <c r="A5453" s="10">
        <v>3.0</v>
      </c>
      <c r="B5453" s="23" t="s">
        <v>14</v>
      </c>
      <c r="C5453" s="17"/>
      <c r="D5453" s="17"/>
      <c r="E5453" s="17"/>
      <c r="F5453" s="17"/>
      <c r="G5453" s="24">
        <f t="shared" si="362"/>
        <v>0</v>
      </c>
      <c r="H5453" s="17"/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</row>
    <row r="5454">
      <c r="A5454" s="25" t="s">
        <v>15</v>
      </c>
      <c r="B5454" s="2"/>
      <c r="C5454" s="2"/>
      <c r="D5454" s="2"/>
      <c r="E5454" s="2"/>
      <c r="F5454" s="2"/>
      <c r="G5454" s="3"/>
      <c r="H5454" s="26">
        <f>SUM(G5451:G5453)</f>
        <v>1187650</v>
      </c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</row>
    <row r="5455">
      <c r="A5455" s="25" t="s">
        <v>16</v>
      </c>
      <c r="B5455" s="2"/>
      <c r="C5455" s="2"/>
      <c r="D5455" s="2"/>
      <c r="E5455" s="2"/>
      <c r="F5455" s="2"/>
      <c r="G5455" s="3"/>
      <c r="H5455" s="26">
        <f>MAX(0,H5454-648000)</f>
        <v>539650</v>
      </c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</row>
    <row r="5456">
      <c r="A5456" s="27" t="s">
        <v>17</v>
      </c>
      <c r="B5456" s="2"/>
      <c r="C5456" s="2"/>
      <c r="D5456" s="2"/>
      <c r="E5456" s="2"/>
      <c r="F5456" s="2"/>
      <c r="G5456" s="3"/>
      <c r="H5456" s="28">
        <v>649000.0</v>
      </c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</row>
    <row r="5457">
      <c r="A5457" s="1" t="s">
        <v>18</v>
      </c>
      <c r="B5457" s="2"/>
      <c r="C5457" s="2"/>
      <c r="D5457" s="2"/>
      <c r="E5457" s="2"/>
      <c r="F5457" s="2"/>
      <c r="G5457" s="2"/>
      <c r="H5457" s="3"/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</row>
    <row r="5463" ht="29.25" customHeight="1">
      <c r="A5463" s="1" t="s">
        <v>0</v>
      </c>
      <c r="B5463" s="2"/>
      <c r="C5463" s="2"/>
      <c r="D5463" s="2"/>
      <c r="E5463" s="2"/>
      <c r="F5463" s="2"/>
      <c r="G5463" s="2"/>
      <c r="H5463" s="3"/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</row>
    <row r="5464">
      <c r="A5464" s="6" t="s">
        <v>1224</v>
      </c>
      <c r="B5464" s="2"/>
      <c r="C5464" s="2"/>
      <c r="D5464" s="2"/>
      <c r="E5464" s="2"/>
      <c r="F5464" s="2"/>
      <c r="G5464" s="2"/>
      <c r="H5464" s="3"/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</row>
    <row r="5465">
      <c r="A5465" s="7" t="s">
        <v>2</v>
      </c>
      <c r="B5465" s="7" t="s">
        <v>3</v>
      </c>
      <c r="C5465" s="7" t="s">
        <v>4</v>
      </c>
      <c r="D5465" s="7" t="s">
        <v>5</v>
      </c>
      <c r="E5465" s="7" t="s">
        <v>6</v>
      </c>
      <c r="F5465" s="8" t="s">
        <v>7</v>
      </c>
      <c r="G5465" s="7" t="s">
        <v>8</v>
      </c>
      <c r="H5465" s="9"/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</row>
    <row r="5466">
      <c r="A5466" s="10">
        <v>1.0</v>
      </c>
      <c r="B5466" s="33" t="s">
        <v>94</v>
      </c>
      <c r="C5466" s="34" t="s">
        <v>1147</v>
      </c>
      <c r="D5466" s="13" t="s">
        <v>11</v>
      </c>
      <c r="E5466" s="35">
        <v>2.0</v>
      </c>
      <c r="F5466" s="15">
        <v>293000.0</v>
      </c>
      <c r="G5466" s="16">
        <f t="shared" ref="G5466:G5468" si="363">IFERROR(E5466*F5466,0)</f>
        <v>586000</v>
      </c>
      <c r="H5466" s="17"/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</row>
    <row r="5467">
      <c r="A5467" s="10">
        <v>2.0</v>
      </c>
      <c r="B5467" s="36" t="s">
        <v>12</v>
      </c>
      <c r="C5467" s="37" t="s">
        <v>1225</v>
      </c>
      <c r="D5467" s="20" t="s">
        <v>13</v>
      </c>
      <c r="E5467" s="38">
        <v>1.45</v>
      </c>
      <c r="F5467" s="22">
        <v>435000.0</v>
      </c>
      <c r="G5467" s="16">
        <f t="shared" si="363"/>
        <v>630750</v>
      </c>
      <c r="H5467" s="17"/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</row>
    <row r="5468">
      <c r="A5468" s="10">
        <v>3.0</v>
      </c>
      <c r="B5468" s="23" t="s">
        <v>14</v>
      </c>
      <c r="C5468" s="17"/>
      <c r="D5468" s="17"/>
      <c r="E5468" s="17"/>
      <c r="F5468" s="17"/>
      <c r="G5468" s="24">
        <f t="shared" si="363"/>
        <v>0</v>
      </c>
      <c r="H5468" s="17"/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</row>
    <row r="5469">
      <c r="A5469" s="25" t="s">
        <v>15</v>
      </c>
      <c r="B5469" s="2"/>
      <c r="C5469" s="2"/>
      <c r="D5469" s="2"/>
      <c r="E5469" s="2"/>
      <c r="F5469" s="2"/>
      <c r="G5469" s="3"/>
      <c r="H5469" s="26">
        <f>SUM(G5466:G5468)</f>
        <v>1216750</v>
      </c>
      <c r="I5469" s="5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</row>
    <row r="5470">
      <c r="A5470" s="25" t="s">
        <v>16</v>
      </c>
      <c r="B5470" s="2"/>
      <c r="C5470" s="2"/>
      <c r="D5470" s="2"/>
      <c r="E5470" s="2"/>
      <c r="F5470" s="2"/>
      <c r="G5470" s="3"/>
      <c r="H5470" s="26">
        <f>MAX(0,H5469-648000)</f>
        <v>568750</v>
      </c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</row>
    <row r="5471">
      <c r="A5471" s="27" t="s">
        <v>17</v>
      </c>
      <c r="B5471" s="2"/>
      <c r="C5471" s="2"/>
      <c r="D5471" s="2"/>
      <c r="E5471" s="2"/>
      <c r="F5471" s="2"/>
      <c r="G5471" s="3"/>
      <c r="H5471" s="28">
        <v>649000.0</v>
      </c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</row>
    <row r="5472">
      <c r="A5472" s="1" t="s">
        <v>18</v>
      </c>
      <c r="B5472" s="2"/>
      <c r="C5472" s="2"/>
      <c r="D5472" s="2"/>
      <c r="E5472" s="2"/>
      <c r="F5472" s="2"/>
      <c r="G5472" s="2"/>
      <c r="H5472" s="3"/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</row>
    <row r="5478" ht="29.25" customHeight="1">
      <c r="A5478" s="1" t="s">
        <v>0</v>
      </c>
      <c r="B5478" s="2"/>
      <c r="C5478" s="2"/>
      <c r="D5478" s="2"/>
      <c r="E5478" s="2"/>
      <c r="F5478" s="2"/>
      <c r="G5478" s="2"/>
      <c r="H5478" s="3"/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</row>
    <row r="5479">
      <c r="A5479" s="6" t="s">
        <v>1226</v>
      </c>
      <c r="B5479" s="2"/>
      <c r="C5479" s="2"/>
      <c r="D5479" s="2"/>
      <c r="E5479" s="2"/>
      <c r="F5479" s="2"/>
      <c r="G5479" s="2"/>
      <c r="H5479" s="3"/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</row>
    <row r="5480">
      <c r="A5480" s="7" t="s">
        <v>2</v>
      </c>
      <c r="B5480" s="7" t="s">
        <v>3</v>
      </c>
      <c r="C5480" s="7" t="s">
        <v>4</v>
      </c>
      <c r="D5480" s="7" t="s">
        <v>5</v>
      </c>
      <c r="E5480" s="7" t="s">
        <v>6</v>
      </c>
      <c r="F5480" s="8" t="s">
        <v>7</v>
      </c>
      <c r="G5480" s="7" t="s">
        <v>8</v>
      </c>
      <c r="H5480" s="9"/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</row>
    <row r="5481">
      <c r="A5481" s="10">
        <v>1.0</v>
      </c>
      <c r="B5481" s="33" t="s">
        <v>449</v>
      </c>
      <c r="C5481" s="34" t="s">
        <v>1227</v>
      </c>
      <c r="D5481" s="13" t="s">
        <v>11</v>
      </c>
      <c r="E5481" s="35">
        <v>1.52</v>
      </c>
      <c r="F5481" s="15">
        <v>293000.0</v>
      </c>
      <c r="G5481" s="16">
        <f t="shared" ref="G5481:G5483" si="364">IFERROR(E5481*F5481,0)</f>
        <v>445360</v>
      </c>
      <c r="H5481" s="17"/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</row>
    <row r="5482">
      <c r="A5482" s="10">
        <v>2.0</v>
      </c>
      <c r="B5482" s="36" t="s">
        <v>269</v>
      </c>
      <c r="C5482" s="37" t="s">
        <v>1228</v>
      </c>
      <c r="D5482" s="20" t="s">
        <v>13</v>
      </c>
      <c r="E5482" s="38">
        <v>2.0</v>
      </c>
      <c r="F5482" s="22">
        <v>435000.0</v>
      </c>
      <c r="G5482" s="16">
        <f t="shared" si="364"/>
        <v>870000</v>
      </c>
      <c r="H5482" s="17"/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</row>
    <row r="5483">
      <c r="A5483" s="10">
        <v>3.0</v>
      </c>
      <c r="B5483" s="23" t="s">
        <v>14</v>
      </c>
      <c r="C5483" s="17"/>
      <c r="D5483" s="17"/>
      <c r="E5483" s="17"/>
      <c r="F5483" s="17"/>
      <c r="G5483" s="24">
        <f t="shared" si="364"/>
        <v>0</v>
      </c>
      <c r="H5483" s="17"/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</row>
    <row r="5484">
      <c r="A5484" s="25" t="s">
        <v>15</v>
      </c>
      <c r="B5484" s="2"/>
      <c r="C5484" s="2"/>
      <c r="D5484" s="2"/>
      <c r="E5484" s="2"/>
      <c r="F5484" s="2"/>
      <c r="G5484" s="3"/>
      <c r="H5484" s="26">
        <f>SUM(G5481:G5483)</f>
        <v>1315360</v>
      </c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</row>
    <row r="5485">
      <c r="A5485" s="25" t="s">
        <v>16</v>
      </c>
      <c r="B5485" s="2"/>
      <c r="C5485" s="2"/>
      <c r="D5485" s="2"/>
      <c r="E5485" s="2"/>
      <c r="F5485" s="2"/>
      <c r="G5485" s="3"/>
      <c r="H5485" s="26">
        <f>MAX(0,H5484-648000)</f>
        <v>667360</v>
      </c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</row>
    <row r="5486">
      <c r="A5486" s="27" t="s">
        <v>17</v>
      </c>
      <c r="B5486" s="2"/>
      <c r="C5486" s="2"/>
      <c r="D5486" s="2"/>
      <c r="E5486" s="2"/>
      <c r="F5486" s="2"/>
      <c r="G5486" s="3"/>
      <c r="H5486" s="28">
        <v>649000.0</v>
      </c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</row>
    <row r="5487">
      <c r="A5487" s="1" t="s">
        <v>18</v>
      </c>
      <c r="B5487" s="2"/>
      <c r="C5487" s="2"/>
      <c r="D5487" s="2"/>
      <c r="E5487" s="2"/>
      <c r="F5487" s="2"/>
      <c r="G5487" s="2"/>
      <c r="H5487" s="3"/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</row>
    <row r="5493" ht="29.25" customHeight="1">
      <c r="A5493" s="1" t="s">
        <v>0</v>
      </c>
      <c r="B5493" s="2"/>
      <c r="C5493" s="2"/>
      <c r="D5493" s="2"/>
      <c r="E5493" s="2"/>
      <c r="F5493" s="2"/>
      <c r="G5493" s="2"/>
      <c r="H5493" s="3"/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</row>
    <row r="5494">
      <c r="A5494" s="6" t="s">
        <v>1229</v>
      </c>
      <c r="B5494" s="2"/>
      <c r="C5494" s="2"/>
      <c r="D5494" s="2"/>
      <c r="E5494" s="2"/>
      <c r="F5494" s="2"/>
      <c r="G5494" s="2"/>
      <c r="H5494" s="3"/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</row>
    <row r="5495">
      <c r="A5495" s="7" t="s">
        <v>2</v>
      </c>
      <c r="B5495" s="7" t="s">
        <v>3</v>
      </c>
      <c r="C5495" s="7" t="s">
        <v>4</v>
      </c>
      <c r="D5495" s="7" t="s">
        <v>5</v>
      </c>
      <c r="E5495" s="7" t="s">
        <v>6</v>
      </c>
      <c r="F5495" s="8" t="s">
        <v>7</v>
      </c>
      <c r="G5495" s="7" t="s">
        <v>8</v>
      </c>
      <c r="H5495" s="9"/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</row>
    <row r="5496">
      <c r="A5496" s="10">
        <v>1.0</v>
      </c>
      <c r="B5496" s="33" t="s">
        <v>72</v>
      </c>
      <c r="C5496" s="34" t="s">
        <v>1230</v>
      </c>
      <c r="D5496" s="13" t="s">
        <v>11</v>
      </c>
      <c r="E5496" s="35">
        <v>1.5</v>
      </c>
      <c r="F5496" s="15">
        <v>293000.0</v>
      </c>
      <c r="G5496" s="16">
        <f t="shared" ref="G5496:G5498" si="365">IFERROR(E5496*F5496,0)</f>
        <v>439500</v>
      </c>
      <c r="H5496" s="17"/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</row>
    <row r="5497">
      <c r="A5497" s="10">
        <v>2.0</v>
      </c>
      <c r="B5497" s="36" t="s">
        <v>218</v>
      </c>
      <c r="C5497" s="37" t="s">
        <v>1231</v>
      </c>
      <c r="D5497" s="20" t="s">
        <v>13</v>
      </c>
      <c r="E5497" s="38">
        <v>1.9</v>
      </c>
      <c r="F5497" s="22">
        <v>435000.0</v>
      </c>
      <c r="G5497" s="16">
        <f t="shared" si="365"/>
        <v>826500</v>
      </c>
      <c r="H5497" s="17"/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</row>
    <row r="5498">
      <c r="A5498" s="10">
        <v>3.0</v>
      </c>
      <c r="B5498" s="23" t="s">
        <v>14</v>
      </c>
      <c r="C5498" s="17"/>
      <c r="D5498" s="17"/>
      <c r="E5498" s="17"/>
      <c r="F5498" s="17"/>
      <c r="G5498" s="24">
        <f t="shared" si="365"/>
        <v>0</v>
      </c>
      <c r="H5498" s="17"/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</row>
    <row r="5499">
      <c r="A5499" s="25" t="s">
        <v>15</v>
      </c>
      <c r="B5499" s="2"/>
      <c r="C5499" s="2"/>
      <c r="D5499" s="2"/>
      <c r="E5499" s="2"/>
      <c r="F5499" s="2"/>
      <c r="G5499" s="3"/>
      <c r="H5499" s="26">
        <f>SUM(G5496:G5498)</f>
        <v>1266000</v>
      </c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</row>
    <row r="5500">
      <c r="A5500" s="25" t="s">
        <v>16</v>
      </c>
      <c r="B5500" s="2"/>
      <c r="C5500" s="2"/>
      <c r="D5500" s="2"/>
      <c r="E5500" s="2"/>
      <c r="F5500" s="2"/>
      <c r="G5500" s="3"/>
      <c r="H5500" s="26">
        <f>MAX(0,H5499-648000)</f>
        <v>618000</v>
      </c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</row>
    <row r="5501">
      <c r="A5501" s="27" t="s">
        <v>17</v>
      </c>
      <c r="B5501" s="2"/>
      <c r="C5501" s="2"/>
      <c r="D5501" s="2"/>
      <c r="E5501" s="2"/>
      <c r="F5501" s="2"/>
      <c r="G5501" s="3"/>
      <c r="H5501" s="28">
        <v>649000.0</v>
      </c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</row>
    <row r="5502">
      <c r="A5502" s="1" t="s">
        <v>18</v>
      </c>
      <c r="B5502" s="2"/>
      <c r="C5502" s="2"/>
      <c r="D5502" s="2"/>
      <c r="E5502" s="2"/>
      <c r="F5502" s="2"/>
      <c r="G5502" s="2"/>
      <c r="H5502" s="3"/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</row>
    <row r="5508" ht="29.25" customHeight="1">
      <c r="A5508" s="1" t="s">
        <v>0</v>
      </c>
      <c r="B5508" s="2"/>
      <c r="C5508" s="2"/>
      <c r="D5508" s="2"/>
      <c r="E5508" s="2"/>
      <c r="F5508" s="2"/>
      <c r="G5508" s="2"/>
      <c r="H5508" s="3"/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</row>
    <row r="5509">
      <c r="A5509" s="6" t="s">
        <v>1232</v>
      </c>
      <c r="B5509" s="2"/>
      <c r="C5509" s="2"/>
      <c r="D5509" s="2"/>
      <c r="E5509" s="2"/>
      <c r="F5509" s="2"/>
      <c r="G5509" s="2"/>
      <c r="H5509" s="3"/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</row>
    <row r="5510">
      <c r="A5510" s="7" t="s">
        <v>2</v>
      </c>
      <c r="B5510" s="7" t="s">
        <v>3</v>
      </c>
      <c r="C5510" s="7" t="s">
        <v>4</v>
      </c>
      <c r="D5510" s="7" t="s">
        <v>5</v>
      </c>
      <c r="E5510" s="7" t="s">
        <v>6</v>
      </c>
      <c r="F5510" s="8" t="s">
        <v>7</v>
      </c>
      <c r="G5510" s="7" t="s">
        <v>8</v>
      </c>
      <c r="H5510" s="9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</row>
    <row r="5511">
      <c r="A5511" s="10">
        <v>1.0</v>
      </c>
      <c r="B5511" s="33" t="s">
        <v>289</v>
      </c>
      <c r="C5511" s="34" t="s">
        <v>1233</v>
      </c>
      <c r="D5511" s="13" t="s">
        <v>11</v>
      </c>
      <c r="E5511" s="35">
        <v>2.5</v>
      </c>
      <c r="F5511" s="15">
        <v>293000.0</v>
      </c>
      <c r="G5511" s="16">
        <f t="shared" ref="G5511:G5513" si="366">IFERROR(E5511*F5511,0)</f>
        <v>732500</v>
      </c>
      <c r="H5511" s="17"/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</row>
    <row r="5512">
      <c r="A5512" s="10">
        <v>2.0</v>
      </c>
      <c r="B5512" s="36" t="s">
        <v>665</v>
      </c>
      <c r="C5512" s="37" t="s">
        <v>1234</v>
      </c>
      <c r="D5512" s="20" t="s">
        <v>13</v>
      </c>
      <c r="E5512" s="38">
        <v>1.15</v>
      </c>
      <c r="F5512" s="22">
        <v>435000.0</v>
      </c>
      <c r="G5512" s="16">
        <f t="shared" si="366"/>
        <v>500250</v>
      </c>
      <c r="H5512" s="17"/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</row>
    <row r="5513">
      <c r="A5513" s="10">
        <v>3.0</v>
      </c>
      <c r="B5513" s="23" t="s">
        <v>14</v>
      </c>
      <c r="C5513" s="17"/>
      <c r="D5513" s="17"/>
      <c r="E5513" s="17"/>
      <c r="F5513" s="17"/>
      <c r="G5513" s="24">
        <f t="shared" si="366"/>
        <v>0</v>
      </c>
      <c r="H5513" s="17"/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</row>
    <row r="5514">
      <c r="A5514" s="25" t="s">
        <v>15</v>
      </c>
      <c r="B5514" s="2"/>
      <c r="C5514" s="2"/>
      <c r="D5514" s="2"/>
      <c r="E5514" s="2"/>
      <c r="F5514" s="2"/>
      <c r="G5514" s="3"/>
      <c r="H5514" s="26">
        <f>SUM(G5511:G5513)</f>
        <v>1232750</v>
      </c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</row>
    <row r="5515">
      <c r="A5515" s="25" t="s">
        <v>16</v>
      </c>
      <c r="B5515" s="2"/>
      <c r="C5515" s="2"/>
      <c r="D5515" s="2"/>
      <c r="E5515" s="2"/>
      <c r="F5515" s="2"/>
      <c r="G5515" s="3"/>
      <c r="H5515" s="26">
        <f>MAX(0,H5514-648000)</f>
        <v>584750</v>
      </c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</row>
    <row r="5516">
      <c r="A5516" s="27" t="s">
        <v>17</v>
      </c>
      <c r="B5516" s="2"/>
      <c r="C5516" s="2"/>
      <c r="D5516" s="2"/>
      <c r="E5516" s="2"/>
      <c r="F5516" s="2"/>
      <c r="G5516" s="3"/>
      <c r="H5516" s="28">
        <v>649000.0</v>
      </c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</row>
    <row r="5517">
      <c r="A5517" s="1" t="s">
        <v>18</v>
      </c>
      <c r="B5517" s="2"/>
      <c r="C5517" s="2"/>
      <c r="D5517" s="2"/>
      <c r="E5517" s="2"/>
      <c r="F5517" s="2"/>
      <c r="G5517" s="2"/>
      <c r="H5517" s="3"/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</row>
    <row r="5523" ht="29.25" customHeight="1">
      <c r="A5523" s="1" t="s">
        <v>0</v>
      </c>
      <c r="B5523" s="2"/>
      <c r="C5523" s="2"/>
      <c r="D5523" s="2"/>
      <c r="E5523" s="2"/>
      <c r="F5523" s="2"/>
      <c r="G5523" s="2"/>
      <c r="H5523" s="3"/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</row>
    <row r="5524">
      <c r="A5524" s="6" t="s">
        <v>1235</v>
      </c>
      <c r="B5524" s="2"/>
      <c r="C5524" s="2"/>
      <c r="D5524" s="2"/>
      <c r="E5524" s="2"/>
      <c r="F5524" s="2"/>
      <c r="G5524" s="2"/>
      <c r="H5524" s="3"/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</row>
    <row r="5525">
      <c r="A5525" s="7" t="s">
        <v>2</v>
      </c>
      <c r="B5525" s="7" t="s">
        <v>3</v>
      </c>
      <c r="C5525" s="7" t="s">
        <v>4</v>
      </c>
      <c r="D5525" s="7" t="s">
        <v>5</v>
      </c>
      <c r="E5525" s="7" t="s">
        <v>6</v>
      </c>
      <c r="F5525" s="8" t="s">
        <v>7</v>
      </c>
      <c r="G5525" s="7" t="s">
        <v>8</v>
      </c>
      <c r="H5525" s="9"/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</row>
    <row r="5526">
      <c r="A5526" s="10">
        <v>1.0</v>
      </c>
      <c r="B5526" s="33" t="s">
        <v>1236</v>
      </c>
      <c r="C5526" s="34" t="s">
        <v>1237</v>
      </c>
      <c r="D5526" s="13" t="s">
        <v>11</v>
      </c>
      <c r="E5526" s="35">
        <v>2.5</v>
      </c>
      <c r="F5526" s="15">
        <v>293000.0</v>
      </c>
      <c r="G5526" s="16">
        <f t="shared" ref="G5526:G5528" si="367">IFERROR(E5526*F5526,0)</f>
        <v>732500</v>
      </c>
      <c r="H5526" s="17"/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</row>
    <row r="5527">
      <c r="A5527" s="10">
        <v>2.0</v>
      </c>
      <c r="B5527" s="36" t="s">
        <v>597</v>
      </c>
      <c r="C5527" s="37" t="s">
        <v>1238</v>
      </c>
      <c r="D5527" s="20" t="s">
        <v>13</v>
      </c>
      <c r="E5527" s="38">
        <v>1.0</v>
      </c>
      <c r="F5527" s="22">
        <v>435000.0</v>
      </c>
      <c r="G5527" s="16">
        <f t="shared" si="367"/>
        <v>435000</v>
      </c>
      <c r="H5527" s="17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</row>
    <row r="5528">
      <c r="A5528" s="10">
        <v>3.0</v>
      </c>
      <c r="B5528" s="23" t="s">
        <v>14</v>
      </c>
      <c r="C5528" s="17"/>
      <c r="D5528" s="17"/>
      <c r="E5528" s="17"/>
      <c r="F5528" s="17"/>
      <c r="G5528" s="24">
        <f t="shared" si="367"/>
        <v>0</v>
      </c>
      <c r="H5528" s="17"/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</row>
    <row r="5529">
      <c r="A5529" s="25" t="s">
        <v>15</v>
      </c>
      <c r="B5529" s="2"/>
      <c r="C5529" s="2"/>
      <c r="D5529" s="2"/>
      <c r="E5529" s="2"/>
      <c r="F5529" s="2"/>
      <c r="G5529" s="3"/>
      <c r="H5529" s="26">
        <f>SUM(G5526:G5528)</f>
        <v>1167500</v>
      </c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</row>
    <row r="5530">
      <c r="A5530" s="25" t="s">
        <v>16</v>
      </c>
      <c r="B5530" s="2"/>
      <c r="C5530" s="2"/>
      <c r="D5530" s="2"/>
      <c r="E5530" s="2"/>
      <c r="F5530" s="2"/>
      <c r="G5530" s="3"/>
      <c r="H5530" s="26">
        <f>MAX(0,H5529-648000)</f>
        <v>519500</v>
      </c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</row>
    <row r="5531">
      <c r="A5531" s="27" t="s">
        <v>17</v>
      </c>
      <c r="B5531" s="2"/>
      <c r="C5531" s="2"/>
      <c r="D5531" s="2"/>
      <c r="E5531" s="2"/>
      <c r="F5531" s="2"/>
      <c r="G5531" s="3"/>
      <c r="H5531" s="28">
        <v>649000.0</v>
      </c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</row>
    <row r="5532">
      <c r="A5532" s="1" t="s">
        <v>18</v>
      </c>
      <c r="B5532" s="2"/>
      <c r="C5532" s="2"/>
      <c r="D5532" s="2"/>
      <c r="E5532" s="2"/>
      <c r="F5532" s="2"/>
      <c r="G5532" s="2"/>
      <c r="H5532" s="3"/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</row>
    <row r="5538" ht="29.25" customHeight="1">
      <c r="A5538" s="1" t="s">
        <v>0</v>
      </c>
      <c r="B5538" s="2"/>
      <c r="C5538" s="2"/>
      <c r="D5538" s="2"/>
      <c r="E5538" s="2"/>
      <c r="F5538" s="2"/>
      <c r="G5538" s="2"/>
      <c r="H5538" s="3"/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</row>
    <row r="5539">
      <c r="A5539" s="6" t="s">
        <v>1239</v>
      </c>
      <c r="B5539" s="2"/>
      <c r="C5539" s="2"/>
      <c r="D5539" s="2"/>
      <c r="E5539" s="2"/>
      <c r="F5539" s="2"/>
      <c r="G5539" s="2"/>
      <c r="H5539" s="3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</row>
    <row r="5540">
      <c r="A5540" s="7" t="s">
        <v>2</v>
      </c>
      <c r="B5540" s="7" t="s">
        <v>3</v>
      </c>
      <c r="C5540" s="7" t="s">
        <v>4</v>
      </c>
      <c r="D5540" s="7" t="s">
        <v>5</v>
      </c>
      <c r="E5540" s="7" t="s">
        <v>6</v>
      </c>
      <c r="F5540" s="8" t="s">
        <v>7</v>
      </c>
      <c r="G5540" s="7" t="s">
        <v>8</v>
      </c>
      <c r="H5540" s="9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</row>
    <row r="5541">
      <c r="A5541" s="10">
        <v>1.0</v>
      </c>
      <c r="B5541" s="33" t="s">
        <v>94</v>
      </c>
      <c r="C5541" s="34" t="s">
        <v>1240</v>
      </c>
      <c r="D5541" s="13" t="s">
        <v>11</v>
      </c>
      <c r="E5541" s="35">
        <v>2.0</v>
      </c>
      <c r="F5541" s="15">
        <v>293000.0</v>
      </c>
      <c r="G5541" s="16">
        <f t="shared" ref="G5541:G5543" si="368">IFERROR(E5541*F5541,0)</f>
        <v>586000</v>
      </c>
      <c r="H5541" s="17"/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</row>
    <row r="5542">
      <c r="A5542" s="10">
        <v>2.0</v>
      </c>
      <c r="B5542" s="36" t="s">
        <v>12</v>
      </c>
      <c r="C5542" s="37" t="s">
        <v>1241</v>
      </c>
      <c r="D5542" s="20" t="s">
        <v>13</v>
      </c>
      <c r="E5542" s="38">
        <v>1.45</v>
      </c>
      <c r="F5542" s="22">
        <v>435000.0</v>
      </c>
      <c r="G5542" s="16">
        <f t="shared" si="368"/>
        <v>630750</v>
      </c>
      <c r="H5542" s="17"/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</row>
    <row r="5543">
      <c r="A5543" s="10">
        <v>3.0</v>
      </c>
      <c r="B5543" s="23" t="s">
        <v>14</v>
      </c>
      <c r="C5543" s="17"/>
      <c r="D5543" s="17"/>
      <c r="E5543" s="17"/>
      <c r="F5543" s="17"/>
      <c r="G5543" s="24">
        <f t="shared" si="368"/>
        <v>0</v>
      </c>
      <c r="H5543" s="17"/>
      <c r="I5543" s="5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</row>
    <row r="5544">
      <c r="A5544" s="25" t="s">
        <v>15</v>
      </c>
      <c r="B5544" s="2"/>
      <c r="C5544" s="2"/>
      <c r="D5544" s="2"/>
      <c r="E5544" s="2"/>
      <c r="F5544" s="2"/>
      <c r="G5544" s="3"/>
      <c r="H5544" s="26">
        <f>SUM(G5541:G5543)</f>
        <v>1216750</v>
      </c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</row>
    <row r="5545">
      <c r="A5545" s="25" t="s">
        <v>16</v>
      </c>
      <c r="B5545" s="2"/>
      <c r="C5545" s="2"/>
      <c r="D5545" s="2"/>
      <c r="E5545" s="2"/>
      <c r="F5545" s="2"/>
      <c r="G5545" s="3"/>
      <c r="H5545" s="26">
        <f>MAX(0,H5544-648000)</f>
        <v>568750</v>
      </c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</row>
    <row r="5546">
      <c r="A5546" s="27" t="s">
        <v>17</v>
      </c>
      <c r="B5546" s="2"/>
      <c r="C5546" s="2"/>
      <c r="D5546" s="2"/>
      <c r="E5546" s="2"/>
      <c r="F5546" s="2"/>
      <c r="G5546" s="3"/>
      <c r="H5546" s="28">
        <v>649000.0</v>
      </c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</row>
    <row r="5547">
      <c r="A5547" s="1" t="s">
        <v>18</v>
      </c>
      <c r="B5547" s="2"/>
      <c r="C5547" s="2"/>
      <c r="D5547" s="2"/>
      <c r="E5547" s="2"/>
      <c r="F5547" s="2"/>
      <c r="G5547" s="2"/>
      <c r="H5547" s="3"/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</row>
    <row r="5554" ht="29.25" customHeight="1">
      <c r="A5554" s="1" t="s">
        <v>0</v>
      </c>
      <c r="B5554" s="2"/>
      <c r="C5554" s="2"/>
      <c r="D5554" s="2"/>
      <c r="E5554" s="2"/>
      <c r="F5554" s="2"/>
      <c r="G5554" s="2"/>
      <c r="H5554" s="3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</row>
    <row r="5555">
      <c r="A5555" s="6" t="s">
        <v>1242</v>
      </c>
      <c r="B5555" s="2"/>
      <c r="C5555" s="2"/>
      <c r="D5555" s="2"/>
      <c r="E5555" s="2"/>
      <c r="F5555" s="2"/>
      <c r="G5555" s="2"/>
      <c r="H5555" s="3"/>
      <c r="I5555" s="5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</row>
    <row r="5556">
      <c r="A5556" s="7" t="s">
        <v>2</v>
      </c>
      <c r="B5556" s="7" t="s">
        <v>3</v>
      </c>
      <c r="C5556" s="7" t="s">
        <v>4</v>
      </c>
      <c r="D5556" s="7" t="s">
        <v>5</v>
      </c>
      <c r="E5556" s="7" t="s">
        <v>6</v>
      </c>
      <c r="F5556" s="8" t="s">
        <v>7</v>
      </c>
      <c r="G5556" s="7" t="s">
        <v>8</v>
      </c>
      <c r="H5556" s="9"/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</row>
    <row r="5557">
      <c r="A5557" s="10">
        <v>1.0</v>
      </c>
      <c r="B5557" s="33" t="s">
        <v>12</v>
      </c>
      <c r="C5557" s="34" t="s">
        <v>614</v>
      </c>
      <c r="D5557" s="13" t="s">
        <v>11</v>
      </c>
      <c r="E5557" s="35">
        <v>2.0</v>
      </c>
      <c r="F5557" s="15">
        <v>293000.0</v>
      </c>
      <c r="G5557" s="16">
        <f t="shared" ref="G5557:G5559" si="369">IFERROR(E5557*F5557,0)</f>
        <v>586000</v>
      </c>
      <c r="H5557" s="17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</row>
    <row r="5558">
      <c r="A5558" s="10">
        <v>2.0</v>
      </c>
      <c r="B5558" s="36" t="s">
        <v>1243</v>
      </c>
      <c r="C5558" s="37" t="s">
        <v>1244</v>
      </c>
      <c r="D5558" s="20" t="s">
        <v>13</v>
      </c>
      <c r="E5558" s="38">
        <v>1.48</v>
      </c>
      <c r="F5558" s="22">
        <v>435000.0</v>
      </c>
      <c r="G5558" s="16">
        <f t="shared" si="369"/>
        <v>643800</v>
      </c>
      <c r="H5558" s="17"/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</row>
    <row r="5559">
      <c r="A5559" s="10">
        <v>3.0</v>
      </c>
      <c r="B5559" s="23" t="s">
        <v>14</v>
      </c>
      <c r="C5559" s="17"/>
      <c r="D5559" s="17"/>
      <c r="E5559" s="17"/>
      <c r="F5559" s="17"/>
      <c r="G5559" s="24">
        <f t="shared" si="369"/>
        <v>0</v>
      </c>
      <c r="H5559" s="17"/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</row>
    <row r="5560">
      <c r="A5560" s="25" t="s">
        <v>15</v>
      </c>
      <c r="B5560" s="2"/>
      <c r="C5560" s="2"/>
      <c r="D5560" s="2"/>
      <c r="E5560" s="2"/>
      <c r="F5560" s="2"/>
      <c r="G5560" s="3"/>
      <c r="H5560" s="26">
        <f>SUM(G5557:G5559)</f>
        <v>1229800</v>
      </c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</row>
    <row r="5561">
      <c r="A5561" s="25" t="s">
        <v>16</v>
      </c>
      <c r="B5561" s="2"/>
      <c r="C5561" s="2"/>
      <c r="D5561" s="2"/>
      <c r="E5561" s="2"/>
      <c r="F5561" s="2"/>
      <c r="G5561" s="3"/>
      <c r="H5561" s="26">
        <f>MAX(0,H5560-648000)</f>
        <v>581800</v>
      </c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</row>
    <row r="5562">
      <c r="A5562" s="27" t="s">
        <v>17</v>
      </c>
      <c r="B5562" s="2"/>
      <c r="C5562" s="2"/>
      <c r="D5562" s="2"/>
      <c r="E5562" s="2"/>
      <c r="F5562" s="2"/>
      <c r="G5562" s="3"/>
      <c r="H5562" s="28">
        <v>649000.0</v>
      </c>
      <c r="I5562" s="5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</row>
    <row r="5563">
      <c r="A5563" s="1" t="s">
        <v>18</v>
      </c>
      <c r="B5563" s="2"/>
      <c r="C5563" s="2"/>
      <c r="D5563" s="2"/>
      <c r="E5563" s="2"/>
      <c r="F5563" s="2"/>
      <c r="G5563" s="2"/>
      <c r="H5563" s="3"/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</row>
    <row r="5569" ht="29.25" customHeight="1">
      <c r="A5569" s="1" t="s">
        <v>0</v>
      </c>
      <c r="B5569" s="2"/>
      <c r="C5569" s="2"/>
      <c r="D5569" s="2"/>
      <c r="E5569" s="2"/>
      <c r="F5569" s="2"/>
      <c r="G5569" s="2"/>
      <c r="H5569" s="3"/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</row>
    <row r="5570">
      <c r="A5570" s="6" t="s">
        <v>1245</v>
      </c>
      <c r="B5570" s="2"/>
      <c r="C5570" s="2"/>
      <c r="D5570" s="2"/>
      <c r="E5570" s="2"/>
      <c r="F5570" s="2"/>
      <c r="G5570" s="2"/>
      <c r="H5570" s="3"/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</row>
    <row r="5571">
      <c r="A5571" s="7" t="s">
        <v>2</v>
      </c>
      <c r="B5571" s="7" t="s">
        <v>3</v>
      </c>
      <c r="C5571" s="7" t="s">
        <v>4</v>
      </c>
      <c r="D5571" s="7" t="s">
        <v>5</v>
      </c>
      <c r="E5571" s="7" t="s">
        <v>6</v>
      </c>
      <c r="F5571" s="8" t="s">
        <v>7</v>
      </c>
      <c r="G5571" s="7" t="s">
        <v>8</v>
      </c>
      <c r="H5571" s="9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</row>
    <row r="5572">
      <c r="A5572" s="10">
        <v>1.0</v>
      </c>
      <c r="B5572" s="33" t="s">
        <v>94</v>
      </c>
      <c r="C5572" s="34" t="s">
        <v>1246</v>
      </c>
      <c r="D5572" s="13" t="s">
        <v>11</v>
      </c>
      <c r="E5572" s="35">
        <v>1.95</v>
      </c>
      <c r="F5572" s="15">
        <v>293000.0</v>
      </c>
      <c r="G5572" s="16">
        <f t="shared" ref="G5572:G5574" si="370">IFERROR(E5572*F5572,0)</f>
        <v>571350</v>
      </c>
      <c r="H5572" s="17"/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</row>
    <row r="5573">
      <c r="A5573" s="10">
        <v>2.0</v>
      </c>
      <c r="B5573" s="36" t="s">
        <v>22</v>
      </c>
      <c r="C5573" s="37" t="s">
        <v>1247</v>
      </c>
      <c r="D5573" s="20" t="s">
        <v>13</v>
      </c>
      <c r="E5573" s="38">
        <v>1.46</v>
      </c>
      <c r="F5573" s="22">
        <v>435000.0</v>
      </c>
      <c r="G5573" s="16">
        <f t="shared" si="370"/>
        <v>635100</v>
      </c>
      <c r="H5573" s="17"/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</row>
    <row r="5574">
      <c r="A5574" s="10">
        <v>3.0</v>
      </c>
      <c r="B5574" s="23" t="s">
        <v>14</v>
      </c>
      <c r="C5574" s="17"/>
      <c r="D5574" s="17"/>
      <c r="E5574" s="17"/>
      <c r="F5574" s="17"/>
      <c r="G5574" s="24">
        <f t="shared" si="370"/>
        <v>0</v>
      </c>
      <c r="H5574" s="17"/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</row>
    <row r="5575">
      <c r="A5575" s="25" t="s">
        <v>15</v>
      </c>
      <c r="B5575" s="2"/>
      <c r="C5575" s="2"/>
      <c r="D5575" s="2"/>
      <c r="E5575" s="2"/>
      <c r="F5575" s="2"/>
      <c r="G5575" s="3"/>
      <c r="H5575" s="26">
        <f>SUM(G5572:G5574)</f>
        <v>1206450</v>
      </c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</row>
    <row r="5576">
      <c r="A5576" s="25" t="s">
        <v>16</v>
      </c>
      <c r="B5576" s="2"/>
      <c r="C5576" s="2"/>
      <c r="D5576" s="2"/>
      <c r="E5576" s="2"/>
      <c r="F5576" s="2"/>
      <c r="G5576" s="3"/>
      <c r="H5576" s="26">
        <f>MAX(0,H5575-648000)</f>
        <v>558450</v>
      </c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</row>
    <row r="5577">
      <c r="A5577" s="27" t="s">
        <v>17</v>
      </c>
      <c r="B5577" s="2"/>
      <c r="C5577" s="2"/>
      <c r="D5577" s="2"/>
      <c r="E5577" s="2"/>
      <c r="F5577" s="2"/>
      <c r="G5577" s="3"/>
      <c r="H5577" s="28">
        <v>649000.0</v>
      </c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</row>
    <row r="5578">
      <c r="A5578" s="1" t="s">
        <v>18</v>
      </c>
      <c r="B5578" s="2"/>
      <c r="C5578" s="2"/>
      <c r="D5578" s="2"/>
      <c r="E5578" s="2"/>
      <c r="F5578" s="2"/>
      <c r="G5578" s="2"/>
      <c r="H5578" s="3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</row>
    <row r="5583" ht="29.25" customHeight="1">
      <c r="A5583" s="1" t="s">
        <v>0</v>
      </c>
      <c r="B5583" s="2"/>
      <c r="C5583" s="2"/>
      <c r="D5583" s="2"/>
      <c r="E5583" s="2"/>
      <c r="F5583" s="2"/>
      <c r="G5583" s="2"/>
      <c r="H5583" s="3"/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</row>
    <row r="5584">
      <c r="A5584" s="6" t="s">
        <v>1248</v>
      </c>
      <c r="B5584" s="2"/>
      <c r="C5584" s="2"/>
      <c r="D5584" s="2"/>
      <c r="E5584" s="2"/>
      <c r="F5584" s="2"/>
      <c r="G5584" s="2"/>
      <c r="H5584" s="3"/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</row>
    <row r="5585">
      <c r="A5585" s="7" t="s">
        <v>2</v>
      </c>
      <c r="B5585" s="7" t="s">
        <v>3</v>
      </c>
      <c r="C5585" s="7" t="s">
        <v>4</v>
      </c>
      <c r="D5585" s="7" t="s">
        <v>5</v>
      </c>
      <c r="E5585" s="7" t="s">
        <v>6</v>
      </c>
      <c r="F5585" s="8" t="s">
        <v>7</v>
      </c>
      <c r="G5585" s="7" t="s">
        <v>8</v>
      </c>
      <c r="H5585" s="9"/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</row>
    <row r="5586">
      <c r="A5586" s="10">
        <v>1.0</v>
      </c>
      <c r="B5586" s="33" t="s">
        <v>621</v>
      </c>
      <c r="C5586" s="34" t="s">
        <v>1249</v>
      </c>
      <c r="D5586" s="13" t="s">
        <v>11</v>
      </c>
      <c r="E5586" s="35">
        <v>1.2</v>
      </c>
      <c r="F5586" s="15">
        <v>293000.0</v>
      </c>
      <c r="G5586" s="16">
        <f t="shared" ref="G5586:G5588" si="371">IFERROR(E5586*F5586,0)</f>
        <v>351600</v>
      </c>
      <c r="H5586" s="17"/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</row>
    <row r="5587">
      <c r="A5587" s="10">
        <v>2.0</v>
      </c>
      <c r="B5587" s="36" t="s">
        <v>254</v>
      </c>
      <c r="C5587" s="37" t="s">
        <v>1250</v>
      </c>
      <c r="D5587" s="20" t="s">
        <v>13</v>
      </c>
      <c r="E5587" s="38">
        <v>2.08</v>
      </c>
      <c r="F5587" s="22">
        <v>435000.0</v>
      </c>
      <c r="G5587" s="16">
        <f t="shared" si="371"/>
        <v>904800</v>
      </c>
      <c r="H5587" s="17"/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</row>
    <row r="5588">
      <c r="A5588" s="10">
        <v>3.0</v>
      </c>
      <c r="B5588" s="23" t="s">
        <v>14</v>
      </c>
      <c r="C5588" s="17"/>
      <c r="D5588" s="17"/>
      <c r="E5588" s="17"/>
      <c r="F5588" s="17"/>
      <c r="G5588" s="24">
        <f t="shared" si="371"/>
        <v>0</v>
      </c>
      <c r="H5588" s="17"/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</row>
    <row r="5589">
      <c r="A5589" s="25" t="s">
        <v>15</v>
      </c>
      <c r="B5589" s="2"/>
      <c r="C5589" s="2"/>
      <c r="D5589" s="2"/>
      <c r="E5589" s="2"/>
      <c r="F5589" s="2"/>
      <c r="G5589" s="3"/>
      <c r="H5589" s="26">
        <f>SUM(G5586:G5588)</f>
        <v>1256400</v>
      </c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</row>
    <row r="5590">
      <c r="A5590" s="25" t="s">
        <v>16</v>
      </c>
      <c r="B5590" s="2"/>
      <c r="C5590" s="2"/>
      <c r="D5590" s="2"/>
      <c r="E5590" s="2"/>
      <c r="F5590" s="2"/>
      <c r="G5590" s="3"/>
      <c r="H5590" s="26">
        <f>MAX(0,H5589-648000)</f>
        <v>608400</v>
      </c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</row>
    <row r="5591">
      <c r="A5591" s="27" t="s">
        <v>17</v>
      </c>
      <c r="B5591" s="2"/>
      <c r="C5591" s="2"/>
      <c r="D5591" s="2"/>
      <c r="E5591" s="2"/>
      <c r="F5591" s="2"/>
      <c r="G5591" s="3"/>
      <c r="H5591" s="28">
        <v>649000.0</v>
      </c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</row>
    <row r="5592">
      <c r="A5592" s="1" t="s">
        <v>18</v>
      </c>
      <c r="B5592" s="2"/>
      <c r="C5592" s="2"/>
      <c r="D5592" s="2"/>
      <c r="E5592" s="2"/>
      <c r="F5592" s="2"/>
      <c r="G5592" s="2"/>
      <c r="H5592" s="3"/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</row>
    <row r="5598" ht="29.25" customHeight="1">
      <c r="A5598" s="1" t="s">
        <v>0</v>
      </c>
      <c r="B5598" s="2"/>
      <c r="C5598" s="2"/>
      <c r="D5598" s="2"/>
      <c r="E5598" s="2"/>
      <c r="F5598" s="2"/>
      <c r="G5598" s="2"/>
      <c r="H5598" s="3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</row>
    <row r="5599">
      <c r="A5599" s="6" t="s">
        <v>1251</v>
      </c>
      <c r="B5599" s="2"/>
      <c r="C5599" s="2"/>
      <c r="D5599" s="2"/>
      <c r="E5599" s="2"/>
      <c r="F5599" s="2"/>
      <c r="G5599" s="2"/>
      <c r="H5599" s="3"/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</row>
    <row r="5600">
      <c r="A5600" s="7" t="s">
        <v>2</v>
      </c>
      <c r="B5600" s="7" t="s">
        <v>3</v>
      </c>
      <c r="C5600" s="7" t="s">
        <v>4</v>
      </c>
      <c r="D5600" s="7" t="s">
        <v>5</v>
      </c>
      <c r="E5600" s="7" t="s">
        <v>6</v>
      </c>
      <c r="F5600" s="8" t="s">
        <v>7</v>
      </c>
      <c r="G5600" s="7" t="s">
        <v>8</v>
      </c>
      <c r="H5600" s="9"/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</row>
    <row r="5601">
      <c r="A5601" s="10">
        <v>1.0</v>
      </c>
      <c r="B5601" s="33" t="s">
        <v>94</v>
      </c>
      <c r="C5601" s="34" t="s">
        <v>1147</v>
      </c>
      <c r="D5601" s="13" t="s">
        <v>11</v>
      </c>
      <c r="E5601" s="35">
        <v>2.0</v>
      </c>
      <c r="F5601" s="15">
        <v>293000.0</v>
      </c>
      <c r="G5601" s="16">
        <f t="shared" ref="G5601:G5603" si="372">IFERROR(E5601*F5601,0)</f>
        <v>586000</v>
      </c>
      <c r="H5601" s="17"/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</row>
    <row r="5602">
      <c r="A5602" s="10">
        <v>2.0</v>
      </c>
      <c r="B5602" s="36" t="s">
        <v>175</v>
      </c>
      <c r="C5602" s="37" t="s">
        <v>1252</v>
      </c>
      <c r="D5602" s="20" t="s">
        <v>13</v>
      </c>
      <c r="E5602" s="38">
        <v>1.25</v>
      </c>
      <c r="F5602" s="22">
        <v>435000.0</v>
      </c>
      <c r="G5602" s="16">
        <f t="shared" si="372"/>
        <v>543750</v>
      </c>
      <c r="H5602" s="17"/>
      <c r="I5602" s="5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</row>
    <row r="5603">
      <c r="A5603" s="10">
        <v>3.0</v>
      </c>
      <c r="B5603" s="23" t="s">
        <v>14</v>
      </c>
      <c r="C5603" s="17"/>
      <c r="D5603" s="17"/>
      <c r="E5603" s="17"/>
      <c r="F5603" s="17"/>
      <c r="G5603" s="24">
        <f t="shared" si="372"/>
        <v>0</v>
      </c>
      <c r="H5603" s="17"/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</row>
    <row r="5604">
      <c r="A5604" s="25" t="s">
        <v>15</v>
      </c>
      <c r="B5604" s="2"/>
      <c r="C5604" s="2"/>
      <c r="D5604" s="2"/>
      <c r="E5604" s="2"/>
      <c r="F5604" s="2"/>
      <c r="G5604" s="3"/>
      <c r="H5604" s="26">
        <f>SUM(G5601:G5603)</f>
        <v>1129750</v>
      </c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</row>
    <row r="5605">
      <c r="A5605" s="25" t="s">
        <v>16</v>
      </c>
      <c r="B5605" s="2"/>
      <c r="C5605" s="2"/>
      <c r="D5605" s="2"/>
      <c r="E5605" s="2"/>
      <c r="F5605" s="2"/>
      <c r="G5605" s="3"/>
      <c r="H5605" s="26">
        <f>MAX(0,H5604-648000)</f>
        <v>481750</v>
      </c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</row>
    <row r="5606">
      <c r="A5606" s="27" t="s">
        <v>17</v>
      </c>
      <c r="B5606" s="2"/>
      <c r="C5606" s="2"/>
      <c r="D5606" s="2"/>
      <c r="E5606" s="2"/>
      <c r="F5606" s="2"/>
      <c r="G5606" s="3"/>
      <c r="H5606" s="28">
        <v>649000.0</v>
      </c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</row>
    <row r="5607">
      <c r="A5607" s="1" t="s">
        <v>18</v>
      </c>
      <c r="B5607" s="2"/>
      <c r="C5607" s="2"/>
      <c r="D5607" s="2"/>
      <c r="E5607" s="2"/>
      <c r="F5607" s="2"/>
      <c r="G5607" s="2"/>
      <c r="H5607" s="3"/>
      <c r="I5607" s="5"/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</row>
    <row r="5613" ht="29.25" customHeight="1">
      <c r="A5613" s="1" t="s">
        <v>0</v>
      </c>
      <c r="B5613" s="2"/>
      <c r="C5613" s="2"/>
      <c r="D5613" s="2"/>
      <c r="E5613" s="2"/>
      <c r="F5613" s="2"/>
      <c r="G5613" s="2"/>
      <c r="H5613" s="3"/>
      <c r="I5613" s="5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</row>
    <row r="5614">
      <c r="A5614" s="6" t="s">
        <v>1253</v>
      </c>
      <c r="B5614" s="2"/>
      <c r="C5614" s="2"/>
      <c r="D5614" s="2"/>
      <c r="E5614" s="2"/>
      <c r="F5614" s="2"/>
      <c r="G5614" s="2"/>
      <c r="H5614" s="3"/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</row>
    <row r="5615">
      <c r="A5615" s="7" t="s">
        <v>2</v>
      </c>
      <c r="B5615" s="7" t="s">
        <v>3</v>
      </c>
      <c r="C5615" s="7" t="s">
        <v>4</v>
      </c>
      <c r="D5615" s="7" t="s">
        <v>5</v>
      </c>
      <c r="E5615" s="7" t="s">
        <v>6</v>
      </c>
      <c r="F5615" s="8" t="s">
        <v>7</v>
      </c>
      <c r="G5615" s="7" t="s">
        <v>8</v>
      </c>
      <c r="H5615" s="9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</row>
    <row r="5616">
      <c r="A5616" s="10">
        <v>1.0</v>
      </c>
      <c r="B5616" s="33" t="s">
        <v>1254</v>
      </c>
      <c r="C5616" s="34" t="s">
        <v>1255</v>
      </c>
      <c r="D5616" s="13" t="s">
        <v>11</v>
      </c>
      <c r="E5616" s="35">
        <v>1.5</v>
      </c>
      <c r="F5616" s="15">
        <v>293000.0</v>
      </c>
      <c r="G5616" s="16">
        <f t="shared" ref="G5616:G5618" si="373">IFERROR(E5616*F5616,0)</f>
        <v>439500</v>
      </c>
      <c r="H5616" s="17"/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</row>
    <row r="5617">
      <c r="A5617" s="10">
        <v>2.0</v>
      </c>
      <c r="B5617" s="36" t="s">
        <v>12</v>
      </c>
      <c r="C5617" s="37" t="s">
        <v>1256</v>
      </c>
      <c r="D5617" s="20" t="s">
        <v>13</v>
      </c>
      <c r="E5617" s="38">
        <v>2.0</v>
      </c>
      <c r="F5617" s="22">
        <v>435000.0</v>
      </c>
      <c r="G5617" s="16">
        <f t="shared" si="373"/>
        <v>870000</v>
      </c>
      <c r="H5617" s="17"/>
      <c r="I5617" s="5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</row>
    <row r="5618">
      <c r="A5618" s="10">
        <v>3.0</v>
      </c>
      <c r="B5618" s="23" t="s">
        <v>14</v>
      </c>
      <c r="C5618" s="17"/>
      <c r="D5618" s="17"/>
      <c r="E5618" s="17"/>
      <c r="F5618" s="17"/>
      <c r="G5618" s="24">
        <f t="shared" si="373"/>
        <v>0</v>
      </c>
      <c r="H5618" s="17"/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</row>
    <row r="5619">
      <c r="A5619" s="25" t="s">
        <v>15</v>
      </c>
      <c r="B5619" s="2"/>
      <c r="C5619" s="2"/>
      <c r="D5619" s="2"/>
      <c r="E5619" s="2"/>
      <c r="F5619" s="2"/>
      <c r="G5619" s="3"/>
      <c r="H5619" s="26">
        <f>SUM(G5616:G5618)</f>
        <v>1309500</v>
      </c>
      <c r="I5619" s="5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</row>
    <row r="5620">
      <c r="A5620" s="25" t="s">
        <v>16</v>
      </c>
      <c r="B5620" s="2"/>
      <c r="C5620" s="2"/>
      <c r="D5620" s="2"/>
      <c r="E5620" s="2"/>
      <c r="F5620" s="2"/>
      <c r="G5620" s="3"/>
      <c r="H5620" s="26">
        <f>MAX(0,H5619-648000)</f>
        <v>661500</v>
      </c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</row>
    <row r="5621">
      <c r="A5621" s="27" t="s">
        <v>17</v>
      </c>
      <c r="B5621" s="2"/>
      <c r="C5621" s="2"/>
      <c r="D5621" s="2"/>
      <c r="E5621" s="2"/>
      <c r="F5621" s="2"/>
      <c r="G5621" s="3"/>
      <c r="H5621" s="28">
        <v>649000.0</v>
      </c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</row>
    <row r="5622">
      <c r="A5622" s="1" t="s">
        <v>18</v>
      </c>
      <c r="B5622" s="2"/>
      <c r="C5622" s="2"/>
      <c r="D5622" s="2"/>
      <c r="E5622" s="2"/>
      <c r="F5622" s="2"/>
      <c r="G5622" s="2"/>
      <c r="H5622" s="3"/>
      <c r="I5622" s="5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</row>
    <row r="5628" ht="29.25" customHeight="1">
      <c r="A5628" s="1" t="s">
        <v>0</v>
      </c>
      <c r="B5628" s="2"/>
      <c r="C5628" s="2"/>
      <c r="D5628" s="2"/>
      <c r="E5628" s="2"/>
      <c r="F5628" s="2"/>
      <c r="G5628" s="2"/>
      <c r="H5628" s="3"/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</row>
    <row r="5629">
      <c r="A5629" s="6" t="s">
        <v>1257</v>
      </c>
      <c r="B5629" s="2"/>
      <c r="C5629" s="2"/>
      <c r="D5629" s="2"/>
      <c r="E5629" s="2"/>
      <c r="F5629" s="2"/>
      <c r="G5629" s="2"/>
      <c r="H5629" s="3"/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</row>
    <row r="5630">
      <c r="A5630" s="7" t="s">
        <v>2</v>
      </c>
      <c r="B5630" s="7" t="s">
        <v>3</v>
      </c>
      <c r="C5630" s="7" t="s">
        <v>4</v>
      </c>
      <c r="D5630" s="7" t="s">
        <v>5</v>
      </c>
      <c r="E5630" s="7" t="s">
        <v>6</v>
      </c>
      <c r="F5630" s="8" t="s">
        <v>7</v>
      </c>
      <c r="G5630" s="7" t="s">
        <v>8</v>
      </c>
      <c r="H5630" s="9"/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</row>
    <row r="5631">
      <c r="A5631" s="10">
        <v>1.0</v>
      </c>
      <c r="B5631" s="33" t="s">
        <v>88</v>
      </c>
      <c r="C5631" s="34" t="s">
        <v>1258</v>
      </c>
      <c r="D5631" s="13" t="s">
        <v>11</v>
      </c>
      <c r="E5631" s="35">
        <v>1.5</v>
      </c>
      <c r="F5631" s="15">
        <v>293000.0</v>
      </c>
      <c r="G5631" s="16">
        <f t="shared" ref="G5631:G5633" si="374">IFERROR(E5631*F5631,0)</f>
        <v>439500</v>
      </c>
      <c r="H5631" s="17"/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</row>
    <row r="5632">
      <c r="A5632" s="10">
        <v>2.0</v>
      </c>
      <c r="B5632" s="36" t="s">
        <v>1259</v>
      </c>
      <c r="C5632" s="37" t="s">
        <v>80</v>
      </c>
      <c r="D5632" s="20" t="s">
        <v>13</v>
      </c>
      <c r="E5632" s="38">
        <v>1.93</v>
      </c>
      <c r="F5632" s="22">
        <v>435000.0</v>
      </c>
      <c r="G5632" s="16">
        <f t="shared" si="374"/>
        <v>839550</v>
      </c>
      <c r="H5632" s="17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</row>
    <row r="5633">
      <c r="A5633" s="10">
        <v>3.0</v>
      </c>
      <c r="B5633" s="23" t="s">
        <v>14</v>
      </c>
      <c r="C5633" s="17"/>
      <c r="D5633" s="17"/>
      <c r="E5633" s="17"/>
      <c r="F5633" s="17"/>
      <c r="G5633" s="24">
        <f t="shared" si="374"/>
        <v>0</v>
      </c>
      <c r="H5633" s="17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</row>
    <row r="5634">
      <c r="A5634" s="25" t="s">
        <v>15</v>
      </c>
      <c r="B5634" s="2"/>
      <c r="C5634" s="2"/>
      <c r="D5634" s="2"/>
      <c r="E5634" s="2"/>
      <c r="F5634" s="2"/>
      <c r="G5634" s="3"/>
      <c r="H5634" s="26">
        <f>SUM(G5631:G5633)</f>
        <v>1279050</v>
      </c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</row>
    <row r="5635">
      <c r="A5635" s="25" t="s">
        <v>16</v>
      </c>
      <c r="B5635" s="2"/>
      <c r="C5635" s="2"/>
      <c r="D5635" s="2"/>
      <c r="E5635" s="2"/>
      <c r="F5635" s="2"/>
      <c r="G5635" s="3"/>
      <c r="H5635" s="26">
        <f>MAX(0,H5634-648000)</f>
        <v>631050</v>
      </c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</row>
    <row r="5636">
      <c r="A5636" s="27" t="s">
        <v>17</v>
      </c>
      <c r="B5636" s="2"/>
      <c r="C5636" s="2"/>
      <c r="D5636" s="2"/>
      <c r="E5636" s="2"/>
      <c r="F5636" s="2"/>
      <c r="G5636" s="3"/>
      <c r="H5636" s="28">
        <v>649000.0</v>
      </c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</row>
    <row r="5637">
      <c r="A5637" s="1" t="s">
        <v>18</v>
      </c>
      <c r="B5637" s="2"/>
      <c r="C5637" s="2"/>
      <c r="D5637" s="2"/>
      <c r="E5637" s="2"/>
      <c r="F5637" s="2"/>
      <c r="G5637" s="2"/>
      <c r="H5637" s="3"/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</row>
    <row r="5642" ht="29.25" customHeight="1">
      <c r="A5642" s="1" t="s">
        <v>0</v>
      </c>
      <c r="B5642" s="2"/>
      <c r="C5642" s="2"/>
      <c r="D5642" s="2"/>
      <c r="E5642" s="2"/>
      <c r="F5642" s="2"/>
      <c r="G5642" s="2"/>
      <c r="H5642" s="3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</row>
    <row r="5643">
      <c r="A5643" s="6" t="s">
        <v>1260</v>
      </c>
      <c r="B5643" s="2"/>
      <c r="C5643" s="2"/>
      <c r="D5643" s="2"/>
      <c r="E5643" s="2"/>
      <c r="F5643" s="2"/>
      <c r="G5643" s="2"/>
      <c r="H5643" s="3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</row>
    <row r="5644">
      <c r="A5644" s="7" t="s">
        <v>2</v>
      </c>
      <c r="B5644" s="7" t="s">
        <v>3</v>
      </c>
      <c r="C5644" s="7" t="s">
        <v>4</v>
      </c>
      <c r="D5644" s="7" t="s">
        <v>5</v>
      </c>
      <c r="E5644" s="7" t="s">
        <v>6</v>
      </c>
      <c r="F5644" s="8" t="s">
        <v>7</v>
      </c>
      <c r="G5644" s="7" t="s">
        <v>8</v>
      </c>
      <c r="H5644" s="9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</row>
    <row r="5645">
      <c r="A5645" s="10">
        <v>1.0</v>
      </c>
      <c r="B5645" s="33" t="s">
        <v>101</v>
      </c>
      <c r="C5645" s="34" t="s">
        <v>104</v>
      </c>
      <c r="D5645" s="13" t="s">
        <v>11</v>
      </c>
      <c r="E5645" s="35">
        <v>1.47</v>
      </c>
      <c r="F5645" s="15">
        <v>293000.0</v>
      </c>
      <c r="G5645" s="16">
        <f t="shared" ref="G5645:G5647" si="375">IFERROR(E5645*F5645,0)</f>
        <v>430710</v>
      </c>
      <c r="H5645" s="17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</row>
    <row r="5646">
      <c r="A5646" s="10">
        <v>2.0</v>
      </c>
      <c r="B5646" s="36" t="s">
        <v>484</v>
      </c>
      <c r="C5646" s="37" t="s">
        <v>485</v>
      </c>
      <c r="D5646" s="20" t="s">
        <v>13</v>
      </c>
      <c r="E5646" s="38">
        <v>2.0</v>
      </c>
      <c r="F5646" s="22">
        <v>435000.0</v>
      </c>
      <c r="G5646" s="16">
        <f t="shared" si="375"/>
        <v>870000</v>
      </c>
      <c r="H5646" s="17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</row>
    <row r="5647">
      <c r="A5647" s="10">
        <v>3.0</v>
      </c>
      <c r="B5647" s="23" t="s">
        <v>14</v>
      </c>
      <c r="C5647" s="17"/>
      <c r="D5647" s="17"/>
      <c r="E5647" s="17"/>
      <c r="F5647" s="17"/>
      <c r="G5647" s="24">
        <f t="shared" si="375"/>
        <v>0</v>
      </c>
      <c r="H5647" s="17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</row>
    <row r="5648">
      <c r="A5648" s="25" t="s">
        <v>15</v>
      </c>
      <c r="B5648" s="2"/>
      <c r="C5648" s="2"/>
      <c r="D5648" s="2"/>
      <c r="E5648" s="2"/>
      <c r="F5648" s="2"/>
      <c r="G5648" s="3"/>
      <c r="H5648" s="26">
        <f>SUM(G5645:G5647)</f>
        <v>1300710</v>
      </c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</row>
    <row r="5649">
      <c r="A5649" s="25" t="s">
        <v>16</v>
      </c>
      <c r="B5649" s="2"/>
      <c r="C5649" s="2"/>
      <c r="D5649" s="2"/>
      <c r="E5649" s="2"/>
      <c r="F5649" s="2"/>
      <c r="G5649" s="3"/>
      <c r="H5649" s="26">
        <f>MAX(0,H5648-648000)</f>
        <v>652710</v>
      </c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</row>
    <row r="5650">
      <c r="A5650" s="27" t="s">
        <v>17</v>
      </c>
      <c r="B5650" s="2"/>
      <c r="C5650" s="2"/>
      <c r="D5650" s="2"/>
      <c r="E5650" s="2"/>
      <c r="F5650" s="2"/>
      <c r="G5650" s="3"/>
      <c r="H5650" s="28">
        <v>649000.0</v>
      </c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</row>
    <row r="5651">
      <c r="A5651" s="1" t="s">
        <v>18</v>
      </c>
      <c r="B5651" s="2"/>
      <c r="C5651" s="2"/>
      <c r="D5651" s="2"/>
      <c r="E5651" s="2"/>
      <c r="F5651" s="2"/>
      <c r="G5651" s="2"/>
      <c r="H5651" s="3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</row>
    <row r="5656" ht="29.25" customHeight="1">
      <c r="A5656" s="1" t="s">
        <v>0</v>
      </c>
      <c r="B5656" s="2"/>
      <c r="C5656" s="2"/>
      <c r="D5656" s="2"/>
      <c r="E5656" s="2"/>
      <c r="F5656" s="2"/>
      <c r="G5656" s="2"/>
      <c r="H5656" s="3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</row>
    <row r="5657">
      <c r="A5657" s="6" t="s">
        <v>1261</v>
      </c>
      <c r="B5657" s="2"/>
      <c r="C5657" s="2"/>
      <c r="D5657" s="2"/>
      <c r="E5657" s="2"/>
      <c r="F5657" s="2"/>
      <c r="G5657" s="2"/>
      <c r="H5657" s="3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</row>
    <row r="5658">
      <c r="A5658" s="7" t="s">
        <v>2</v>
      </c>
      <c r="B5658" s="7" t="s">
        <v>3</v>
      </c>
      <c r="C5658" s="7" t="s">
        <v>4</v>
      </c>
      <c r="D5658" s="7" t="s">
        <v>5</v>
      </c>
      <c r="E5658" s="7" t="s">
        <v>6</v>
      </c>
      <c r="F5658" s="8" t="s">
        <v>7</v>
      </c>
      <c r="G5658" s="7" t="s">
        <v>8</v>
      </c>
      <c r="H5658" s="9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</row>
    <row r="5659">
      <c r="A5659" s="10">
        <v>1.0</v>
      </c>
      <c r="B5659" s="33" t="s">
        <v>1262</v>
      </c>
      <c r="C5659" s="34" t="s">
        <v>1263</v>
      </c>
      <c r="D5659" s="13" t="s">
        <v>11</v>
      </c>
      <c r="E5659" s="35">
        <v>2.0</v>
      </c>
      <c r="F5659" s="15">
        <v>293000.0</v>
      </c>
      <c r="G5659" s="16">
        <f t="shared" ref="G5659:G5661" si="376">IFERROR(E5659*F5659,0)</f>
        <v>586000</v>
      </c>
      <c r="H5659" s="17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</row>
    <row r="5660">
      <c r="A5660" s="10">
        <v>2.0</v>
      </c>
      <c r="B5660" s="36" t="s">
        <v>22</v>
      </c>
      <c r="C5660" s="37" t="s">
        <v>1264</v>
      </c>
      <c r="D5660" s="20" t="s">
        <v>13</v>
      </c>
      <c r="E5660" s="38">
        <v>1.3</v>
      </c>
      <c r="F5660" s="22">
        <v>435000.0</v>
      </c>
      <c r="G5660" s="16">
        <f t="shared" si="376"/>
        <v>565500</v>
      </c>
      <c r="H5660" s="17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</row>
    <row r="5661">
      <c r="A5661" s="10">
        <v>3.0</v>
      </c>
      <c r="B5661" s="23" t="s">
        <v>14</v>
      </c>
      <c r="C5661" s="17"/>
      <c r="D5661" s="17"/>
      <c r="E5661" s="17"/>
      <c r="F5661" s="17"/>
      <c r="G5661" s="24">
        <f t="shared" si="376"/>
        <v>0</v>
      </c>
      <c r="H5661" s="17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</row>
    <row r="5662">
      <c r="A5662" s="25" t="s">
        <v>15</v>
      </c>
      <c r="B5662" s="2"/>
      <c r="C5662" s="2"/>
      <c r="D5662" s="2"/>
      <c r="E5662" s="2"/>
      <c r="F5662" s="2"/>
      <c r="G5662" s="3"/>
      <c r="H5662" s="26">
        <f>SUM(G5659:G5661)</f>
        <v>1151500</v>
      </c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</row>
    <row r="5663">
      <c r="A5663" s="25" t="s">
        <v>16</v>
      </c>
      <c r="B5663" s="2"/>
      <c r="C5663" s="2"/>
      <c r="D5663" s="2"/>
      <c r="E5663" s="2"/>
      <c r="F5663" s="2"/>
      <c r="G5663" s="3"/>
      <c r="H5663" s="26">
        <f>MAX(0,H5662-648000)</f>
        <v>503500</v>
      </c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</row>
    <row r="5664">
      <c r="A5664" s="27" t="s">
        <v>17</v>
      </c>
      <c r="B5664" s="2"/>
      <c r="C5664" s="2"/>
      <c r="D5664" s="2"/>
      <c r="E5664" s="2"/>
      <c r="F5664" s="2"/>
      <c r="G5664" s="3"/>
      <c r="H5664" s="28">
        <v>649000.0</v>
      </c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</row>
    <row r="5665">
      <c r="A5665" s="1" t="s">
        <v>18</v>
      </c>
      <c r="B5665" s="2"/>
      <c r="C5665" s="2"/>
      <c r="D5665" s="2"/>
      <c r="E5665" s="2"/>
      <c r="F5665" s="2"/>
      <c r="G5665" s="2"/>
      <c r="H5665" s="3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</row>
    <row r="5671" ht="29.25" customHeight="1">
      <c r="A5671" s="1" t="s">
        <v>0</v>
      </c>
      <c r="B5671" s="2"/>
      <c r="C5671" s="2"/>
      <c r="D5671" s="2"/>
      <c r="E5671" s="2"/>
      <c r="F5671" s="2"/>
      <c r="G5671" s="2"/>
      <c r="H5671" s="3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</row>
    <row r="5672">
      <c r="A5672" s="6" t="s">
        <v>1265</v>
      </c>
      <c r="B5672" s="2"/>
      <c r="C5672" s="2"/>
      <c r="D5672" s="2"/>
      <c r="E5672" s="2"/>
      <c r="F5672" s="2"/>
      <c r="G5672" s="2"/>
      <c r="H5672" s="3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</row>
    <row r="5673">
      <c r="A5673" s="7" t="s">
        <v>2</v>
      </c>
      <c r="B5673" s="7" t="s">
        <v>3</v>
      </c>
      <c r="C5673" s="7" t="s">
        <v>4</v>
      </c>
      <c r="D5673" s="7" t="s">
        <v>5</v>
      </c>
      <c r="E5673" s="7" t="s">
        <v>6</v>
      </c>
      <c r="F5673" s="8" t="s">
        <v>7</v>
      </c>
      <c r="G5673" s="7" t="s">
        <v>8</v>
      </c>
      <c r="H5673" s="9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</row>
    <row r="5674">
      <c r="A5674" s="10">
        <v>1.0</v>
      </c>
      <c r="B5674" s="33" t="s">
        <v>1266</v>
      </c>
      <c r="C5674" s="34" t="s">
        <v>1267</v>
      </c>
      <c r="D5674" s="13" t="s">
        <v>11</v>
      </c>
      <c r="E5674" s="35">
        <v>1.47</v>
      </c>
      <c r="F5674" s="15">
        <v>293000.0</v>
      </c>
      <c r="G5674" s="16">
        <f t="shared" ref="G5674:G5676" si="377">IFERROR(E5674*F5674,0)</f>
        <v>430710</v>
      </c>
      <c r="H5674" s="17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</row>
    <row r="5675">
      <c r="A5675" s="10">
        <v>2.0</v>
      </c>
      <c r="B5675" s="36" t="s">
        <v>41</v>
      </c>
      <c r="C5675" s="37" t="s">
        <v>166</v>
      </c>
      <c r="D5675" s="20" t="s">
        <v>13</v>
      </c>
      <c r="E5675" s="38">
        <v>2.0</v>
      </c>
      <c r="F5675" s="22">
        <v>435000.0</v>
      </c>
      <c r="G5675" s="16">
        <f t="shared" si="377"/>
        <v>870000</v>
      </c>
      <c r="H5675" s="17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</row>
    <row r="5676">
      <c r="A5676" s="10">
        <v>3.0</v>
      </c>
      <c r="B5676" s="23" t="s">
        <v>14</v>
      </c>
      <c r="C5676" s="17"/>
      <c r="D5676" s="17"/>
      <c r="E5676" s="17"/>
      <c r="F5676" s="17"/>
      <c r="G5676" s="24">
        <f t="shared" si="377"/>
        <v>0</v>
      </c>
      <c r="H5676" s="17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</row>
    <row r="5677">
      <c r="A5677" s="25" t="s">
        <v>15</v>
      </c>
      <c r="B5677" s="2"/>
      <c r="C5677" s="2"/>
      <c r="D5677" s="2"/>
      <c r="E5677" s="2"/>
      <c r="F5677" s="2"/>
      <c r="G5677" s="3"/>
      <c r="H5677" s="26">
        <f>SUM(G5674:G5676)</f>
        <v>1300710</v>
      </c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</row>
    <row r="5678">
      <c r="A5678" s="25" t="s">
        <v>16</v>
      </c>
      <c r="B5678" s="2"/>
      <c r="C5678" s="2"/>
      <c r="D5678" s="2"/>
      <c r="E5678" s="2"/>
      <c r="F5678" s="2"/>
      <c r="G5678" s="3"/>
      <c r="H5678" s="26">
        <f>MAX(0,H5677-648000)</f>
        <v>652710</v>
      </c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</row>
    <row r="5679">
      <c r="A5679" s="27" t="s">
        <v>17</v>
      </c>
      <c r="B5679" s="2"/>
      <c r="C5679" s="2"/>
      <c r="D5679" s="2"/>
      <c r="E5679" s="2"/>
      <c r="F5679" s="2"/>
      <c r="G5679" s="3"/>
      <c r="H5679" s="28">
        <v>649000.0</v>
      </c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</row>
    <row r="5680">
      <c r="A5680" s="1" t="s">
        <v>18</v>
      </c>
      <c r="B5680" s="2"/>
      <c r="C5680" s="2"/>
      <c r="D5680" s="2"/>
      <c r="E5680" s="2"/>
      <c r="F5680" s="2"/>
      <c r="G5680" s="2"/>
      <c r="H5680" s="3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</row>
    <row r="5688" ht="29.25" customHeight="1">
      <c r="A5688" s="1" t="s">
        <v>0</v>
      </c>
      <c r="B5688" s="2"/>
      <c r="C5688" s="2"/>
      <c r="D5688" s="2"/>
      <c r="E5688" s="2"/>
      <c r="F5688" s="2"/>
      <c r="G5688" s="2"/>
      <c r="H5688" s="3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</row>
    <row r="5689">
      <c r="A5689" s="6" t="s">
        <v>1268</v>
      </c>
      <c r="B5689" s="2"/>
      <c r="C5689" s="2"/>
      <c r="D5689" s="2"/>
      <c r="E5689" s="2"/>
      <c r="F5689" s="2"/>
      <c r="G5689" s="2"/>
      <c r="H5689" s="3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</row>
    <row r="5690">
      <c r="A5690" s="7" t="s">
        <v>2</v>
      </c>
      <c r="B5690" s="7" t="s">
        <v>3</v>
      </c>
      <c r="C5690" s="7" t="s">
        <v>4</v>
      </c>
      <c r="D5690" s="7" t="s">
        <v>5</v>
      </c>
      <c r="E5690" s="7" t="s">
        <v>6</v>
      </c>
      <c r="F5690" s="8" t="s">
        <v>7</v>
      </c>
      <c r="G5690" s="7" t="s">
        <v>8</v>
      </c>
      <c r="H5690" s="9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</row>
    <row r="5691">
      <c r="A5691" s="10">
        <v>1.0</v>
      </c>
      <c r="B5691" s="33" t="s">
        <v>383</v>
      </c>
      <c r="C5691" s="34" t="s">
        <v>439</v>
      </c>
      <c r="D5691" s="13" t="s">
        <v>11</v>
      </c>
      <c r="E5691" s="35">
        <v>2.0</v>
      </c>
      <c r="F5691" s="15">
        <v>293000.0</v>
      </c>
      <c r="G5691" s="16">
        <f t="shared" ref="G5691:G5693" si="378">IFERROR(E5691*F5691,0)</f>
        <v>586000</v>
      </c>
      <c r="H5691" s="17"/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</row>
    <row r="5692">
      <c r="A5692" s="10">
        <v>2.0</v>
      </c>
      <c r="B5692" s="36" t="s">
        <v>25</v>
      </c>
      <c r="C5692" s="37" t="s">
        <v>1269</v>
      </c>
      <c r="D5692" s="20" t="s">
        <v>13</v>
      </c>
      <c r="E5692" s="38">
        <v>1.3</v>
      </c>
      <c r="F5692" s="22">
        <v>435000.0</v>
      </c>
      <c r="G5692" s="16">
        <f t="shared" si="378"/>
        <v>565500</v>
      </c>
      <c r="H5692" s="17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</row>
    <row r="5693">
      <c r="A5693" s="10">
        <v>3.0</v>
      </c>
      <c r="B5693" s="23" t="s">
        <v>14</v>
      </c>
      <c r="C5693" s="17"/>
      <c r="D5693" s="17"/>
      <c r="E5693" s="17"/>
      <c r="F5693" s="17"/>
      <c r="G5693" s="24">
        <f t="shared" si="378"/>
        <v>0</v>
      </c>
      <c r="H5693" s="17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</row>
    <row r="5694">
      <c r="A5694" s="25" t="s">
        <v>15</v>
      </c>
      <c r="B5694" s="2"/>
      <c r="C5694" s="2"/>
      <c r="D5694" s="2"/>
      <c r="E5694" s="2"/>
      <c r="F5694" s="2"/>
      <c r="G5694" s="3"/>
      <c r="H5694" s="26">
        <f>SUM(G5691:G5693)</f>
        <v>1151500</v>
      </c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</row>
    <row r="5695">
      <c r="A5695" s="25" t="s">
        <v>16</v>
      </c>
      <c r="B5695" s="2"/>
      <c r="C5695" s="2"/>
      <c r="D5695" s="2"/>
      <c r="E5695" s="2"/>
      <c r="F5695" s="2"/>
      <c r="G5695" s="3"/>
      <c r="H5695" s="26">
        <f>MAX(0,H5694-648000)</f>
        <v>503500</v>
      </c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</row>
    <row r="5696">
      <c r="A5696" s="27" t="s">
        <v>17</v>
      </c>
      <c r="B5696" s="2"/>
      <c r="C5696" s="2"/>
      <c r="D5696" s="2"/>
      <c r="E5696" s="2"/>
      <c r="F5696" s="2"/>
      <c r="G5696" s="3"/>
      <c r="H5696" s="28">
        <v>649000.0</v>
      </c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</row>
    <row r="5697">
      <c r="A5697" s="1" t="s">
        <v>18</v>
      </c>
      <c r="B5697" s="2"/>
      <c r="C5697" s="2"/>
      <c r="D5697" s="2"/>
      <c r="E5697" s="2"/>
      <c r="F5697" s="2"/>
      <c r="G5697" s="2"/>
      <c r="H5697" s="3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</row>
    <row r="5705" ht="29.25" customHeight="1">
      <c r="A5705" s="1" t="s">
        <v>0</v>
      </c>
      <c r="B5705" s="2"/>
      <c r="C5705" s="2"/>
      <c r="D5705" s="2"/>
      <c r="E5705" s="2"/>
      <c r="F5705" s="2"/>
      <c r="G5705" s="2"/>
      <c r="H5705" s="3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</row>
    <row r="5706">
      <c r="A5706" s="6" t="s">
        <v>1270</v>
      </c>
      <c r="B5706" s="2"/>
      <c r="C5706" s="2"/>
      <c r="D5706" s="2"/>
      <c r="E5706" s="2"/>
      <c r="F5706" s="2"/>
      <c r="G5706" s="2"/>
      <c r="H5706" s="3"/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</row>
    <row r="5707">
      <c r="A5707" s="7" t="s">
        <v>2</v>
      </c>
      <c r="B5707" s="7" t="s">
        <v>3</v>
      </c>
      <c r="C5707" s="7" t="s">
        <v>4</v>
      </c>
      <c r="D5707" s="7" t="s">
        <v>5</v>
      </c>
      <c r="E5707" s="7" t="s">
        <v>6</v>
      </c>
      <c r="F5707" s="8" t="s">
        <v>7</v>
      </c>
      <c r="G5707" s="7" t="s">
        <v>8</v>
      </c>
      <c r="H5707" s="9"/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</row>
    <row r="5708">
      <c r="A5708" s="10">
        <v>1.0</v>
      </c>
      <c r="B5708" s="33" t="s">
        <v>12</v>
      </c>
      <c r="C5708" s="34" t="s">
        <v>1271</v>
      </c>
      <c r="D5708" s="13" t="s">
        <v>11</v>
      </c>
      <c r="E5708" s="35">
        <v>1.07</v>
      </c>
      <c r="F5708" s="15">
        <v>293000.0</v>
      </c>
      <c r="G5708" s="16">
        <f t="shared" ref="G5708:G5710" si="379">IFERROR(E5708*F5708,0)</f>
        <v>313510</v>
      </c>
      <c r="H5708" s="17"/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</row>
    <row r="5709">
      <c r="A5709" s="10">
        <v>2.0</v>
      </c>
      <c r="B5709" s="36" t="s">
        <v>157</v>
      </c>
      <c r="C5709" s="37" t="s">
        <v>1272</v>
      </c>
      <c r="D5709" s="20" t="s">
        <v>13</v>
      </c>
      <c r="E5709" s="38">
        <v>2.7</v>
      </c>
      <c r="F5709" s="22">
        <v>435000.0</v>
      </c>
      <c r="G5709" s="16">
        <f t="shared" si="379"/>
        <v>1174500</v>
      </c>
      <c r="H5709" s="17"/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</row>
    <row r="5710">
      <c r="A5710" s="10">
        <v>3.0</v>
      </c>
      <c r="B5710" s="23" t="s">
        <v>14</v>
      </c>
      <c r="C5710" s="17"/>
      <c r="D5710" s="17"/>
      <c r="E5710" s="17"/>
      <c r="F5710" s="17"/>
      <c r="G5710" s="24">
        <f t="shared" si="379"/>
        <v>0</v>
      </c>
      <c r="H5710" s="17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</row>
    <row r="5711">
      <c r="A5711" s="25" t="s">
        <v>15</v>
      </c>
      <c r="B5711" s="2"/>
      <c r="C5711" s="2"/>
      <c r="D5711" s="2"/>
      <c r="E5711" s="2"/>
      <c r="F5711" s="2"/>
      <c r="G5711" s="3"/>
      <c r="H5711" s="26">
        <f>SUM(G5708:G5710)</f>
        <v>1488010</v>
      </c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</row>
    <row r="5712">
      <c r="A5712" s="25" t="s">
        <v>16</v>
      </c>
      <c r="B5712" s="2"/>
      <c r="C5712" s="2"/>
      <c r="D5712" s="2"/>
      <c r="E5712" s="2"/>
      <c r="F5712" s="2"/>
      <c r="G5712" s="3"/>
      <c r="H5712" s="26">
        <f>MAX(0,H5711-648000)</f>
        <v>840010</v>
      </c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</row>
    <row r="5713">
      <c r="A5713" s="27" t="s">
        <v>17</v>
      </c>
      <c r="B5713" s="2"/>
      <c r="C5713" s="2"/>
      <c r="D5713" s="2"/>
      <c r="E5713" s="2"/>
      <c r="F5713" s="2"/>
      <c r="G5713" s="3"/>
      <c r="H5713" s="28">
        <v>649000.0</v>
      </c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</row>
    <row r="5714">
      <c r="A5714" s="1" t="s">
        <v>18</v>
      </c>
      <c r="B5714" s="2"/>
      <c r="C5714" s="2"/>
      <c r="D5714" s="2"/>
      <c r="E5714" s="2"/>
      <c r="F5714" s="2"/>
      <c r="G5714" s="2"/>
      <c r="H5714" s="3"/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</row>
    <row r="5721" ht="29.25" customHeight="1">
      <c r="A5721" s="1" t="s">
        <v>0</v>
      </c>
      <c r="B5721" s="2"/>
      <c r="C5721" s="2"/>
      <c r="D5721" s="2"/>
      <c r="E5721" s="2"/>
      <c r="F5721" s="2"/>
      <c r="G5721" s="2"/>
      <c r="H5721" s="3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</row>
    <row r="5722">
      <c r="A5722" s="6" t="s">
        <v>1273</v>
      </c>
      <c r="B5722" s="2"/>
      <c r="C5722" s="2"/>
      <c r="D5722" s="2"/>
      <c r="E5722" s="2"/>
      <c r="F5722" s="2"/>
      <c r="G5722" s="2"/>
      <c r="H5722" s="3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</row>
    <row r="5723">
      <c r="A5723" s="7" t="s">
        <v>2</v>
      </c>
      <c r="B5723" s="7" t="s">
        <v>3</v>
      </c>
      <c r="C5723" s="7" t="s">
        <v>4</v>
      </c>
      <c r="D5723" s="7" t="s">
        <v>5</v>
      </c>
      <c r="E5723" s="7" t="s">
        <v>6</v>
      </c>
      <c r="F5723" s="8" t="s">
        <v>7</v>
      </c>
      <c r="G5723" s="7" t="s">
        <v>8</v>
      </c>
      <c r="H5723" s="9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</row>
    <row r="5724">
      <c r="A5724" s="10">
        <v>1.0</v>
      </c>
      <c r="B5724" s="33" t="s">
        <v>383</v>
      </c>
      <c r="C5724" s="34" t="s">
        <v>1274</v>
      </c>
      <c r="D5724" s="13" t="s">
        <v>11</v>
      </c>
      <c r="E5724" s="35">
        <v>2.0</v>
      </c>
      <c r="F5724" s="15">
        <v>293000.0</v>
      </c>
      <c r="G5724" s="16">
        <f t="shared" ref="G5724:G5726" si="380">IFERROR(E5724*F5724,0)</f>
        <v>586000</v>
      </c>
      <c r="H5724" s="17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</row>
    <row r="5725">
      <c r="A5725" s="10">
        <v>2.0</v>
      </c>
      <c r="B5725" s="36" t="s">
        <v>12</v>
      </c>
      <c r="C5725" s="37" t="s">
        <v>1275</v>
      </c>
      <c r="D5725" s="20" t="s">
        <v>13</v>
      </c>
      <c r="E5725" s="38">
        <v>1.26</v>
      </c>
      <c r="F5725" s="22">
        <v>435000.0</v>
      </c>
      <c r="G5725" s="16">
        <f t="shared" si="380"/>
        <v>548100</v>
      </c>
      <c r="H5725" s="17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</row>
    <row r="5726">
      <c r="A5726" s="10">
        <v>3.0</v>
      </c>
      <c r="B5726" s="23" t="s">
        <v>14</v>
      </c>
      <c r="C5726" s="17"/>
      <c r="D5726" s="17"/>
      <c r="E5726" s="17"/>
      <c r="F5726" s="17"/>
      <c r="G5726" s="24">
        <f t="shared" si="380"/>
        <v>0</v>
      </c>
      <c r="H5726" s="17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</row>
    <row r="5727">
      <c r="A5727" s="25" t="s">
        <v>15</v>
      </c>
      <c r="B5727" s="2"/>
      <c r="C5727" s="2"/>
      <c r="D5727" s="2"/>
      <c r="E5727" s="2"/>
      <c r="F5727" s="2"/>
      <c r="G5727" s="3"/>
      <c r="H5727" s="26">
        <f>SUM(G5724:G5726)</f>
        <v>1134100</v>
      </c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</row>
    <row r="5728">
      <c r="A5728" s="25" t="s">
        <v>16</v>
      </c>
      <c r="B5728" s="2"/>
      <c r="C5728" s="2"/>
      <c r="D5728" s="2"/>
      <c r="E5728" s="2"/>
      <c r="F5728" s="2"/>
      <c r="G5728" s="3"/>
      <c r="H5728" s="26">
        <f>MAX(0,H5727-648000)</f>
        <v>486100</v>
      </c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</row>
    <row r="5729">
      <c r="A5729" s="27" t="s">
        <v>17</v>
      </c>
      <c r="B5729" s="2"/>
      <c r="C5729" s="2"/>
      <c r="D5729" s="2"/>
      <c r="E5729" s="2"/>
      <c r="F5729" s="2"/>
      <c r="G5729" s="3"/>
      <c r="H5729" s="28">
        <v>649000.0</v>
      </c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</row>
    <row r="5730">
      <c r="A5730" s="1" t="s">
        <v>18</v>
      </c>
      <c r="B5730" s="2"/>
      <c r="C5730" s="2"/>
      <c r="D5730" s="2"/>
      <c r="E5730" s="2"/>
      <c r="F5730" s="2"/>
      <c r="G5730" s="2"/>
      <c r="H5730" s="3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</row>
    <row r="5736" ht="29.25" customHeight="1">
      <c r="A5736" s="1" t="s">
        <v>0</v>
      </c>
      <c r="B5736" s="2"/>
      <c r="C5736" s="2"/>
      <c r="D5736" s="2"/>
      <c r="E5736" s="2"/>
      <c r="F5736" s="2"/>
      <c r="G5736" s="2"/>
      <c r="H5736" s="3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</row>
    <row r="5737">
      <c r="A5737" s="6" t="s">
        <v>1276</v>
      </c>
      <c r="B5737" s="2"/>
      <c r="C5737" s="2"/>
      <c r="D5737" s="2"/>
      <c r="E5737" s="2"/>
      <c r="F5737" s="2"/>
      <c r="G5737" s="2"/>
      <c r="H5737" s="3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</row>
    <row r="5738">
      <c r="A5738" s="7" t="s">
        <v>2</v>
      </c>
      <c r="B5738" s="7" t="s">
        <v>3</v>
      </c>
      <c r="C5738" s="7" t="s">
        <v>4</v>
      </c>
      <c r="D5738" s="7" t="s">
        <v>5</v>
      </c>
      <c r="E5738" s="7" t="s">
        <v>6</v>
      </c>
      <c r="F5738" s="8" t="s">
        <v>7</v>
      </c>
      <c r="G5738" s="7" t="s">
        <v>8</v>
      </c>
      <c r="H5738" s="9"/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</row>
    <row r="5739">
      <c r="A5739" s="10">
        <v>1.0</v>
      </c>
      <c r="B5739" s="33" t="s">
        <v>373</v>
      </c>
      <c r="C5739" s="34" t="s">
        <v>1277</v>
      </c>
      <c r="D5739" s="13" t="s">
        <v>11</v>
      </c>
      <c r="E5739" s="35">
        <v>2.09</v>
      </c>
      <c r="F5739" s="15">
        <v>293000.0</v>
      </c>
      <c r="G5739" s="16">
        <f t="shared" ref="G5739:G5741" si="381">IFERROR(E5739*F5739,0)</f>
        <v>612370</v>
      </c>
      <c r="H5739" s="17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</row>
    <row r="5740">
      <c r="A5740" s="10">
        <v>2.0</v>
      </c>
      <c r="B5740" s="36" t="s">
        <v>94</v>
      </c>
      <c r="C5740" s="37" t="s">
        <v>1278</v>
      </c>
      <c r="D5740" s="20" t="s">
        <v>13</v>
      </c>
      <c r="E5740" s="38">
        <v>1.2</v>
      </c>
      <c r="F5740" s="22">
        <v>435000.0</v>
      </c>
      <c r="G5740" s="16">
        <f t="shared" si="381"/>
        <v>522000</v>
      </c>
      <c r="H5740" s="17"/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</row>
    <row r="5741">
      <c r="A5741" s="10">
        <v>3.0</v>
      </c>
      <c r="B5741" s="23" t="s">
        <v>14</v>
      </c>
      <c r="C5741" s="17"/>
      <c r="D5741" s="17"/>
      <c r="E5741" s="17"/>
      <c r="F5741" s="17"/>
      <c r="G5741" s="24">
        <f t="shared" si="381"/>
        <v>0</v>
      </c>
      <c r="H5741" s="17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</row>
    <row r="5742">
      <c r="A5742" s="25" t="s">
        <v>15</v>
      </c>
      <c r="B5742" s="2"/>
      <c r="C5742" s="2"/>
      <c r="D5742" s="2"/>
      <c r="E5742" s="2"/>
      <c r="F5742" s="2"/>
      <c r="G5742" s="3"/>
      <c r="H5742" s="26">
        <f>SUM(G5739:G5741)</f>
        <v>1134370</v>
      </c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</row>
    <row r="5743">
      <c r="A5743" s="25" t="s">
        <v>16</v>
      </c>
      <c r="B5743" s="2"/>
      <c r="C5743" s="2"/>
      <c r="D5743" s="2"/>
      <c r="E5743" s="2"/>
      <c r="F5743" s="2"/>
      <c r="G5743" s="3"/>
      <c r="H5743" s="26">
        <f>MAX(0,H5742-648000)</f>
        <v>486370</v>
      </c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</row>
    <row r="5744">
      <c r="A5744" s="27" t="s">
        <v>17</v>
      </c>
      <c r="B5744" s="2"/>
      <c r="C5744" s="2"/>
      <c r="D5744" s="2"/>
      <c r="E5744" s="2"/>
      <c r="F5744" s="2"/>
      <c r="G5744" s="3"/>
      <c r="H5744" s="28">
        <v>649000.0</v>
      </c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</row>
    <row r="5745">
      <c r="A5745" s="1" t="s">
        <v>18</v>
      </c>
      <c r="B5745" s="2"/>
      <c r="C5745" s="2"/>
      <c r="D5745" s="2"/>
      <c r="E5745" s="2"/>
      <c r="F5745" s="2"/>
      <c r="G5745" s="2"/>
      <c r="H5745" s="3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</row>
    <row r="5750" ht="29.25" customHeight="1">
      <c r="A5750" s="1" t="s">
        <v>0</v>
      </c>
      <c r="B5750" s="2"/>
      <c r="C5750" s="2"/>
      <c r="D5750" s="2"/>
      <c r="E5750" s="2"/>
      <c r="F5750" s="2"/>
      <c r="G5750" s="2"/>
      <c r="H5750" s="3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</row>
    <row r="5751">
      <c r="A5751" s="6" t="s">
        <v>1279</v>
      </c>
      <c r="B5751" s="2"/>
      <c r="C5751" s="2"/>
      <c r="D5751" s="2"/>
      <c r="E5751" s="2"/>
      <c r="F5751" s="2"/>
      <c r="G5751" s="2"/>
      <c r="H5751" s="3"/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</row>
    <row r="5752">
      <c r="A5752" s="7" t="s">
        <v>2</v>
      </c>
      <c r="B5752" s="7" t="s">
        <v>3</v>
      </c>
      <c r="C5752" s="7" t="s">
        <v>4</v>
      </c>
      <c r="D5752" s="7" t="s">
        <v>5</v>
      </c>
      <c r="E5752" s="7" t="s">
        <v>6</v>
      </c>
      <c r="F5752" s="8" t="s">
        <v>7</v>
      </c>
      <c r="G5752" s="7" t="s">
        <v>8</v>
      </c>
      <c r="H5752" s="9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</row>
    <row r="5753">
      <c r="A5753" s="10">
        <v>1.0</v>
      </c>
      <c r="B5753" s="33" t="s">
        <v>34</v>
      </c>
      <c r="C5753" s="34" t="s">
        <v>1280</v>
      </c>
      <c r="D5753" s="13" t="s">
        <v>11</v>
      </c>
      <c r="E5753" s="35">
        <v>1.4</v>
      </c>
      <c r="F5753" s="15">
        <v>293000.0</v>
      </c>
      <c r="G5753" s="16">
        <f t="shared" ref="G5753:G5755" si="382">IFERROR(E5753*F5753,0)</f>
        <v>410200</v>
      </c>
      <c r="H5753" s="17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</row>
    <row r="5754">
      <c r="A5754" s="10">
        <v>2.0</v>
      </c>
      <c r="B5754" s="36" t="s">
        <v>41</v>
      </c>
      <c r="C5754" s="37" t="s">
        <v>114</v>
      </c>
      <c r="D5754" s="20" t="s">
        <v>13</v>
      </c>
      <c r="E5754" s="38">
        <v>2.0</v>
      </c>
      <c r="F5754" s="22">
        <v>435000.0</v>
      </c>
      <c r="G5754" s="16">
        <f t="shared" si="382"/>
        <v>870000</v>
      </c>
      <c r="H5754" s="17"/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</row>
    <row r="5755">
      <c r="A5755" s="10">
        <v>3.0</v>
      </c>
      <c r="B5755" s="23" t="s">
        <v>14</v>
      </c>
      <c r="C5755" s="17"/>
      <c r="D5755" s="17"/>
      <c r="E5755" s="17"/>
      <c r="F5755" s="17"/>
      <c r="G5755" s="24">
        <f t="shared" si="382"/>
        <v>0</v>
      </c>
      <c r="H5755" s="17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</row>
    <row r="5756">
      <c r="A5756" s="25" t="s">
        <v>15</v>
      </c>
      <c r="B5756" s="2"/>
      <c r="C5756" s="2"/>
      <c r="D5756" s="2"/>
      <c r="E5756" s="2"/>
      <c r="F5756" s="2"/>
      <c r="G5756" s="3"/>
      <c r="H5756" s="26">
        <f>SUM(G5753:G5755)</f>
        <v>1280200</v>
      </c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</row>
    <row r="5757">
      <c r="A5757" s="25" t="s">
        <v>16</v>
      </c>
      <c r="B5757" s="2"/>
      <c r="C5757" s="2"/>
      <c r="D5757" s="2"/>
      <c r="E5757" s="2"/>
      <c r="F5757" s="2"/>
      <c r="G5757" s="3"/>
      <c r="H5757" s="26">
        <f>MAX(0,H5756-648000)</f>
        <v>632200</v>
      </c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</row>
    <row r="5758">
      <c r="A5758" s="27" t="s">
        <v>17</v>
      </c>
      <c r="B5758" s="2"/>
      <c r="C5758" s="2"/>
      <c r="D5758" s="2"/>
      <c r="E5758" s="2"/>
      <c r="F5758" s="2"/>
      <c r="G5758" s="3"/>
      <c r="H5758" s="28">
        <v>649000.0</v>
      </c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</row>
    <row r="5759">
      <c r="A5759" s="1" t="s">
        <v>18</v>
      </c>
      <c r="B5759" s="2"/>
      <c r="C5759" s="2"/>
      <c r="D5759" s="2"/>
      <c r="E5759" s="2"/>
      <c r="F5759" s="2"/>
      <c r="G5759" s="2"/>
      <c r="H5759" s="3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</row>
    <row r="5765" ht="29.25" customHeight="1">
      <c r="A5765" s="1" t="s">
        <v>0</v>
      </c>
      <c r="B5765" s="2"/>
      <c r="C5765" s="2"/>
      <c r="D5765" s="2"/>
      <c r="E5765" s="2"/>
      <c r="F5765" s="2"/>
      <c r="G5765" s="2"/>
      <c r="H5765" s="3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</row>
    <row r="5766">
      <c r="A5766" s="6" t="s">
        <v>1281</v>
      </c>
      <c r="B5766" s="2"/>
      <c r="C5766" s="2"/>
      <c r="D5766" s="2"/>
      <c r="E5766" s="2"/>
      <c r="F5766" s="2"/>
      <c r="G5766" s="2"/>
      <c r="H5766" s="3"/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</row>
    <row r="5767">
      <c r="A5767" s="7" t="s">
        <v>2</v>
      </c>
      <c r="B5767" s="7" t="s">
        <v>3</v>
      </c>
      <c r="C5767" s="7" t="s">
        <v>4</v>
      </c>
      <c r="D5767" s="7" t="s">
        <v>5</v>
      </c>
      <c r="E5767" s="7" t="s">
        <v>6</v>
      </c>
      <c r="F5767" s="8" t="s">
        <v>7</v>
      </c>
      <c r="G5767" s="7" t="s">
        <v>8</v>
      </c>
      <c r="H5767" s="9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</row>
    <row r="5768">
      <c r="A5768" s="10">
        <v>1.0</v>
      </c>
      <c r="B5768" s="33" t="s">
        <v>1181</v>
      </c>
      <c r="C5768" s="34" t="s">
        <v>1282</v>
      </c>
      <c r="D5768" s="13" t="s">
        <v>11</v>
      </c>
      <c r="E5768" s="35">
        <v>1.5</v>
      </c>
      <c r="F5768" s="15">
        <v>293000.0</v>
      </c>
      <c r="G5768" s="16">
        <f t="shared" ref="G5768:G5770" si="383">IFERROR(E5768*F5768,0)</f>
        <v>439500</v>
      </c>
      <c r="H5768" s="17"/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</row>
    <row r="5769">
      <c r="A5769" s="10">
        <v>2.0</v>
      </c>
      <c r="B5769" s="36" t="s">
        <v>25</v>
      </c>
      <c r="C5769" s="37" t="s">
        <v>1283</v>
      </c>
      <c r="D5769" s="20" t="s">
        <v>13</v>
      </c>
      <c r="E5769" s="38">
        <v>1.87</v>
      </c>
      <c r="F5769" s="22">
        <v>435000.0</v>
      </c>
      <c r="G5769" s="16">
        <f t="shared" si="383"/>
        <v>813450</v>
      </c>
      <c r="H5769" s="17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</row>
    <row r="5770">
      <c r="A5770" s="10">
        <v>3.0</v>
      </c>
      <c r="B5770" s="23" t="s">
        <v>14</v>
      </c>
      <c r="C5770" s="17"/>
      <c r="D5770" s="17"/>
      <c r="E5770" s="17"/>
      <c r="F5770" s="17"/>
      <c r="G5770" s="24">
        <f t="shared" si="383"/>
        <v>0</v>
      </c>
      <c r="H5770" s="17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</row>
    <row r="5771">
      <c r="A5771" s="25" t="s">
        <v>15</v>
      </c>
      <c r="B5771" s="2"/>
      <c r="C5771" s="2"/>
      <c r="D5771" s="2"/>
      <c r="E5771" s="2"/>
      <c r="F5771" s="2"/>
      <c r="G5771" s="3"/>
      <c r="H5771" s="26">
        <f>SUM(G5768:G5770)</f>
        <v>1252950</v>
      </c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</row>
    <row r="5772">
      <c r="A5772" s="25" t="s">
        <v>16</v>
      </c>
      <c r="B5772" s="2"/>
      <c r="C5772" s="2"/>
      <c r="D5772" s="2"/>
      <c r="E5772" s="2"/>
      <c r="F5772" s="2"/>
      <c r="G5772" s="3"/>
      <c r="H5772" s="26">
        <f>MAX(0,H5771-648000)</f>
        <v>604950</v>
      </c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</row>
    <row r="5773">
      <c r="A5773" s="27" t="s">
        <v>17</v>
      </c>
      <c r="B5773" s="2"/>
      <c r="C5773" s="2"/>
      <c r="D5773" s="2"/>
      <c r="E5773" s="2"/>
      <c r="F5773" s="2"/>
      <c r="G5773" s="3"/>
      <c r="H5773" s="28">
        <v>649000.0</v>
      </c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</row>
    <row r="5774">
      <c r="A5774" s="1" t="s">
        <v>18</v>
      </c>
      <c r="B5774" s="2"/>
      <c r="C5774" s="2"/>
      <c r="D5774" s="2"/>
      <c r="E5774" s="2"/>
      <c r="F5774" s="2"/>
      <c r="G5774" s="2"/>
      <c r="H5774" s="3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</row>
    <row r="5780" ht="29.25" customHeight="1">
      <c r="A5780" s="1" t="s">
        <v>0</v>
      </c>
      <c r="B5780" s="2"/>
      <c r="C5780" s="2"/>
      <c r="D5780" s="2"/>
      <c r="E5780" s="2"/>
      <c r="F5780" s="2"/>
      <c r="G5780" s="2"/>
      <c r="H5780" s="3"/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</row>
    <row r="5781">
      <c r="A5781" s="6" t="s">
        <v>1284</v>
      </c>
      <c r="B5781" s="2"/>
      <c r="C5781" s="2"/>
      <c r="D5781" s="2"/>
      <c r="E5781" s="2"/>
      <c r="F5781" s="2"/>
      <c r="G5781" s="2"/>
      <c r="H5781" s="3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</row>
    <row r="5782">
      <c r="A5782" s="7" t="s">
        <v>2</v>
      </c>
      <c r="B5782" s="7" t="s">
        <v>3</v>
      </c>
      <c r="C5782" s="7" t="s">
        <v>4</v>
      </c>
      <c r="D5782" s="7" t="s">
        <v>5</v>
      </c>
      <c r="E5782" s="7" t="s">
        <v>6</v>
      </c>
      <c r="F5782" s="8" t="s">
        <v>7</v>
      </c>
      <c r="G5782" s="7" t="s">
        <v>8</v>
      </c>
      <c r="H5782" s="9"/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</row>
    <row r="5783">
      <c r="A5783" s="10">
        <v>1.0</v>
      </c>
      <c r="B5783" s="33" t="s">
        <v>682</v>
      </c>
      <c r="C5783" s="34" t="s">
        <v>1285</v>
      </c>
      <c r="D5783" s="13" t="s">
        <v>11</v>
      </c>
      <c r="E5783" s="35">
        <v>1.48</v>
      </c>
      <c r="F5783" s="15">
        <v>293000.0</v>
      </c>
      <c r="G5783" s="16">
        <f t="shared" ref="G5783:G5785" si="384">IFERROR(E5783*F5783,0)</f>
        <v>433640</v>
      </c>
      <c r="H5783" s="17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</row>
    <row r="5784">
      <c r="A5784" s="10">
        <v>2.0</v>
      </c>
      <c r="B5784" s="36" t="s">
        <v>22</v>
      </c>
      <c r="C5784" s="37" t="s">
        <v>1286</v>
      </c>
      <c r="D5784" s="20" t="s">
        <v>13</v>
      </c>
      <c r="E5784" s="38">
        <v>1.94</v>
      </c>
      <c r="F5784" s="22">
        <v>435000.0</v>
      </c>
      <c r="G5784" s="16">
        <f t="shared" si="384"/>
        <v>843900</v>
      </c>
      <c r="H5784" s="17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</row>
    <row r="5785">
      <c r="A5785" s="10">
        <v>3.0</v>
      </c>
      <c r="B5785" s="23" t="s">
        <v>14</v>
      </c>
      <c r="C5785" s="17"/>
      <c r="D5785" s="17"/>
      <c r="E5785" s="17"/>
      <c r="F5785" s="17"/>
      <c r="G5785" s="24">
        <f t="shared" si="384"/>
        <v>0</v>
      </c>
      <c r="H5785" s="17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</row>
    <row r="5786">
      <c r="A5786" s="25" t="s">
        <v>15</v>
      </c>
      <c r="B5786" s="2"/>
      <c r="C5786" s="2"/>
      <c r="D5786" s="2"/>
      <c r="E5786" s="2"/>
      <c r="F5786" s="2"/>
      <c r="G5786" s="3"/>
      <c r="H5786" s="26">
        <f>SUM(G5783:G5785)</f>
        <v>1277540</v>
      </c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</row>
    <row r="5787">
      <c r="A5787" s="25" t="s">
        <v>16</v>
      </c>
      <c r="B5787" s="2"/>
      <c r="C5787" s="2"/>
      <c r="D5787" s="2"/>
      <c r="E5787" s="2"/>
      <c r="F5787" s="2"/>
      <c r="G5787" s="3"/>
      <c r="H5787" s="26">
        <f>MAX(0,H5786-648000)</f>
        <v>629540</v>
      </c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</row>
    <row r="5788">
      <c r="A5788" s="27" t="s">
        <v>17</v>
      </c>
      <c r="B5788" s="2"/>
      <c r="C5788" s="2"/>
      <c r="D5788" s="2"/>
      <c r="E5788" s="2"/>
      <c r="F5788" s="2"/>
      <c r="G5788" s="3"/>
      <c r="H5788" s="28">
        <v>649000.0</v>
      </c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</row>
    <row r="5789">
      <c r="A5789" s="1" t="s">
        <v>18</v>
      </c>
      <c r="B5789" s="2"/>
      <c r="C5789" s="2"/>
      <c r="D5789" s="2"/>
      <c r="E5789" s="2"/>
      <c r="F5789" s="2"/>
      <c r="G5789" s="2"/>
      <c r="H5789" s="3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</row>
    <row r="5796" ht="29.25" customHeight="1">
      <c r="A5796" s="1" t="s">
        <v>0</v>
      </c>
      <c r="B5796" s="2"/>
      <c r="C5796" s="2"/>
      <c r="D5796" s="2"/>
      <c r="E5796" s="2"/>
      <c r="F5796" s="2"/>
      <c r="G5796" s="2"/>
      <c r="H5796" s="3"/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</row>
    <row r="5797">
      <c r="A5797" s="6" t="s">
        <v>1287</v>
      </c>
      <c r="B5797" s="2"/>
      <c r="C5797" s="2"/>
      <c r="D5797" s="2"/>
      <c r="E5797" s="2"/>
      <c r="F5797" s="2"/>
      <c r="G5797" s="2"/>
      <c r="H5797" s="3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</row>
    <row r="5798">
      <c r="A5798" s="7" t="s">
        <v>2</v>
      </c>
      <c r="B5798" s="7" t="s">
        <v>3</v>
      </c>
      <c r="C5798" s="7" t="s">
        <v>4</v>
      </c>
      <c r="D5798" s="7" t="s">
        <v>5</v>
      </c>
      <c r="E5798" s="7" t="s">
        <v>6</v>
      </c>
      <c r="F5798" s="8" t="s">
        <v>7</v>
      </c>
      <c r="G5798" s="7" t="s">
        <v>8</v>
      </c>
      <c r="H5798" s="9"/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</row>
    <row r="5799">
      <c r="A5799" s="10">
        <v>1.0</v>
      </c>
      <c r="B5799" s="11" t="s">
        <v>218</v>
      </c>
      <c r="C5799" s="34" t="s">
        <v>1288</v>
      </c>
      <c r="D5799" s="13" t="s">
        <v>11</v>
      </c>
      <c r="E5799" s="35">
        <v>1.66</v>
      </c>
      <c r="F5799" s="15">
        <v>293000.0</v>
      </c>
      <c r="G5799" s="16">
        <f t="shared" ref="G5799:G5801" si="385">IFERROR(E5799*F5799,0)</f>
        <v>486380</v>
      </c>
      <c r="H5799" s="17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</row>
    <row r="5800">
      <c r="A5800" s="10">
        <v>2.0</v>
      </c>
      <c r="B5800" s="33" t="s">
        <v>1289</v>
      </c>
      <c r="C5800" s="37" t="s">
        <v>1290</v>
      </c>
      <c r="D5800" s="20" t="s">
        <v>13</v>
      </c>
      <c r="E5800" s="38">
        <v>1.75</v>
      </c>
      <c r="F5800" s="22">
        <v>435000.0</v>
      </c>
      <c r="G5800" s="16">
        <f t="shared" si="385"/>
        <v>761250</v>
      </c>
      <c r="H5800" s="17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</row>
    <row r="5801">
      <c r="A5801" s="10">
        <v>3.0</v>
      </c>
      <c r="B5801" s="23" t="s">
        <v>14</v>
      </c>
      <c r="C5801" s="17"/>
      <c r="D5801" s="17"/>
      <c r="E5801" s="17"/>
      <c r="F5801" s="17"/>
      <c r="G5801" s="24">
        <f t="shared" si="385"/>
        <v>0</v>
      </c>
      <c r="H5801" s="17"/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</row>
    <row r="5802">
      <c r="A5802" s="25" t="s">
        <v>15</v>
      </c>
      <c r="B5802" s="2"/>
      <c r="C5802" s="2"/>
      <c r="D5802" s="2"/>
      <c r="E5802" s="2"/>
      <c r="F5802" s="2"/>
      <c r="G5802" s="3"/>
      <c r="H5802" s="26">
        <f>SUM(G5799:G5801)</f>
        <v>1247630</v>
      </c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</row>
    <row r="5803">
      <c r="A5803" s="25" t="s">
        <v>16</v>
      </c>
      <c r="B5803" s="2"/>
      <c r="C5803" s="2"/>
      <c r="D5803" s="2"/>
      <c r="E5803" s="2"/>
      <c r="F5803" s="2"/>
      <c r="G5803" s="3"/>
      <c r="H5803" s="26">
        <f>MAX(0,H5802-648000)</f>
        <v>599630</v>
      </c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</row>
    <row r="5804">
      <c r="A5804" s="27" t="s">
        <v>17</v>
      </c>
      <c r="B5804" s="2"/>
      <c r="C5804" s="2"/>
      <c r="D5804" s="2"/>
      <c r="E5804" s="2"/>
      <c r="F5804" s="2"/>
      <c r="G5804" s="3"/>
      <c r="H5804" s="28">
        <v>649000.0</v>
      </c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</row>
    <row r="5805">
      <c r="A5805" s="1" t="s">
        <v>18</v>
      </c>
      <c r="B5805" s="2"/>
      <c r="C5805" s="2"/>
      <c r="D5805" s="2"/>
      <c r="E5805" s="2"/>
      <c r="F5805" s="2"/>
      <c r="G5805" s="2"/>
      <c r="H5805" s="3"/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</row>
    <row r="5811" ht="29.25" customHeight="1">
      <c r="A5811" s="1" t="s">
        <v>0</v>
      </c>
      <c r="B5811" s="2"/>
      <c r="C5811" s="2"/>
      <c r="D5811" s="2"/>
      <c r="E5811" s="2"/>
      <c r="F5811" s="2"/>
      <c r="G5811" s="2"/>
      <c r="H5811" s="3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</row>
    <row r="5812">
      <c r="A5812" s="6" t="s">
        <v>1291</v>
      </c>
      <c r="B5812" s="2"/>
      <c r="C5812" s="2"/>
      <c r="D5812" s="2"/>
      <c r="E5812" s="2"/>
      <c r="F5812" s="2"/>
      <c r="G5812" s="2"/>
      <c r="H5812" s="3"/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</row>
    <row r="5813">
      <c r="A5813" s="7" t="s">
        <v>2</v>
      </c>
      <c r="B5813" s="7" t="s">
        <v>3</v>
      </c>
      <c r="C5813" s="7" t="s">
        <v>4</v>
      </c>
      <c r="D5813" s="7" t="s">
        <v>5</v>
      </c>
      <c r="E5813" s="7" t="s">
        <v>6</v>
      </c>
      <c r="F5813" s="8" t="s">
        <v>7</v>
      </c>
      <c r="G5813" s="7" t="s">
        <v>8</v>
      </c>
      <c r="H5813" s="9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</row>
    <row r="5814">
      <c r="A5814" s="10">
        <v>1.0</v>
      </c>
      <c r="B5814" s="33" t="s">
        <v>234</v>
      </c>
      <c r="C5814" s="34" t="s">
        <v>815</v>
      </c>
      <c r="D5814" s="13" t="s">
        <v>11</v>
      </c>
      <c r="E5814" s="35">
        <v>2.0</v>
      </c>
      <c r="F5814" s="15">
        <v>293000.0</v>
      </c>
      <c r="G5814" s="16">
        <f t="shared" ref="G5814:G5816" si="386">IFERROR(E5814*F5814,0)</f>
        <v>586000</v>
      </c>
      <c r="H5814" s="17"/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</row>
    <row r="5815">
      <c r="A5815" s="10">
        <v>2.0</v>
      </c>
      <c r="B5815" s="36" t="s">
        <v>94</v>
      </c>
      <c r="C5815" s="37" t="s">
        <v>1292</v>
      </c>
      <c r="D5815" s="20" t="s">
        <v>13</v>
      </c>
      <c r="E5815" s="38">
        <v>1.56</v>
      </c>
      <c r="F5815" s="22">
        <v>435000.0</v>
      </c>
      <c r="G5815" s="16">
        <f t="shared" si="386"/>
        <v>678600</v>
      </c>
      <c r="H5815" s="17"/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</row>
    <row r="5816">
      <c r="A5816" s="10">
        <v>3.0</v>
      </c>
      <c r="B5816" s="23" t="s">
        <v>14</v>
      </c>
      <c r="C5816" s="17"/>
      <c r="D5816" s="17"/>
      <c r="E5816" s="17"/>
      <c r="F5816" s="17"/>
      <c r="G5816" s="24">
        <f t="shared" si="386"/>
        <v>0</v>
      </c>
      <c r="H5816" s="17"/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</row>
    <row r="5817">
      <c r="A5817" s="25" t="s">
        <v>15</v>
      </c>
      <c r="B5817" s="2"/>
      <c r="C5817" s="2"/>
      <c r="D5817" s="2"/>
      <c r="E5817" s="2"/>
      <c r="F5817" s="2"/>
      <c r="G5817" s="3"/>
      <c r="H5817" s="26">
        <f>SUM(G5814:G5816)</f>
        <v>1264600</v>
      </c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</row>
    <row r="5818">
      <c r="A5818" s="25" t="s">
        <v>16</v>
      </c>
      <c r="B5818" s="2"/>
      <c r="C5818" s="2"/>
      <c r="D5818" s="2"/>
      <c r="E5818" s="2"/>
      <c r="F5818" s="2"/>
      <c r="G5818" s="3"/>
      <c r="H5818" s="26">
        <f>MAX(0,H5817-648000)</f>
        <v>616600</v>
      </c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</row>
    <row r="5819">
      <c r="A5819" s="27" t="s">
        <v>17</v>
      </c>
      <c r="B5819" s="2"/>
      <c r="C5819" s="2"/>
      <c r="D5819" s="2"/>
      <c r="E5819" s="2"/>
      <c r="F5819" s="2"/>
      <c r="G5819" s="3"/>
      <c r="H5819" s="28">
        <v>649000.0</v>
      </c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</row>
    <row r="5820">
      <c r="A5820" s="1" t="s">
        <v>18</v>
      </c>
      <c r="B5820" s="2"/>
      <c r="C5820" s="2"/>
      <c r="D5820" s="2"/>
      <c r="E5820" s="2"/>
      <c r="F5820" s="2"/>
      <c r="G5820" s="2"/>
      <c r="H5820" s="3"/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</row>
    <row r="5826" ht="29.25" customHeight="1">
      <c r="A5826" s="1" t="s">
        <v>0</v>
      </c>
      <c r="B5826" s="2"/>
      <c r="C5826" s="2"/>
      <c r="D5826" s="2"/>
      <c r="E5826" s="2"/>
      <c r="F5826" s="2"/>
      <c r="G5826" s="2"/>
      <c r="H5826" s="3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</row>
    <row r="5827">
      <c r="A5827" s="6" t="s">
        <v>1293</v>
      </c>
      <c r="B5827" s="2"/>
      <c r="C5827" s="2"/>
      <c r="D5827" s="2"/>
      <c r="E5827" s="2"/>
      <c r="F5827" s="2"/>
      <c r="G5827" s="2"/>
      <c r="H5827" s="3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</row>
    <row r="5828">
      <c r="A5828" s="7" t="s">
        <v>2</v>
      </c>
      <c r="B5828" s="7" t="s">
        <v>3</v>
      </c>
      <c r="C5828" s="7" t="s">
        <v>4</v>
      </c>
      <c r="D5828" s="7" t="s">
        <v>5</v>
      </c>
      <c r="E5828" s="7" t="s">
        <v>6</v>
      </c>
      <c r="F5828" s="8" t="s">
        <v>7</v>
      </c>
      <c r="G5828" s="7" t="s">
        <v>8</v>
      </c>
      <c r="H5828" s="9"/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</row>
    <row r="5829">
      <c r="A5829" s="10">
        <v>1.0</v>
      </c>
      <c r="B5829" s="33" t="s">
        <v>34</v>
      </c>
      <c r="C5829" s="34" t="s">
        <v>1294</v>
      </c>
      <c r="D5829" s="13" t="s">
        <v>11</v>
      </c>
      <c r="E5829" s="35">
        <v>1.46</v>
      </c>
      <c r="F5829" s="15">
        <v>293000.0</v>
      </c>
      <c r="G5829" s="16">
        <f t="shared" ref="G5829:G5831" si="387">IFERROR(E5829*F5829,0)</f>
        <v>427780</v>
      </c>
      <c r="H5829" s="17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</row>
    <row r="5830">
      <c r="A5830" s="10">
        <v>2.0</v>
      </c>
      <c r="B5830" s="36" t="s">
        <v>97</v>
      </c>
      <c r="C5830" s="37" t="s">
        <v>1295</v>
      </c>
      <c r="D5830" s="20" t="s">
        <v>13</v>
      </c>
      <c r="E5830" s="38">
        <v>1.95</v>
      </c>
      <c r="F5830" s="22">
        <v>435000.0</v>
      </c>
      <c r="G5830" s="16">
        <f t="shared" si="387"/>
        <v>848250</v>
      </c>
      <c r="H5830" s="17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</row>
    <row r="5831">
      <c r="A5831" s="10">
        <v>3.0</v>
      </c>
      <c r="B5831" s="23" t="s">
        <v>14</v>
      </c>
      <c r="C5831" s="17"/>
      <c r="D5831" s="17"/>
      <c r="E5831" s="17"/>
      <c r="F5831" s="17"/>
      <c r="G5831" s="24">
        <f t="shared" si="387"/>
        <v>0</v>
      </c>
      <c r="H5831" s="17"/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</row>
    <row r="5832">
      <c r="A5832" s="25" t="s">
        <v>15</v>
      </c>
      <c r="B5832" s="2"/>
      <c r="C5832" s="2"/>
      <c r="D5832" s="2"/>
      <c r="E5832" s="2"/>
      <c r="F5832" s="2"/>
      <c r="G5832" s="3"/>
      <c r="H5832" s="26">
        <f>SUM(G5829:G5831)</f>
        <v>1276030</v>
      </c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</row>
    <row r="5833">
      <c r="A5833" s="25" t="s">
        <v>16</v>
      </c>
      <c r="B5833" s="2"/>
      <c r="C5833" s="2"/>
      <c r="D5833" s="2"/>
      <c r="E5833" s="2"/>
      <c r="F5833" s="2"/>
      <c r="G5833" s="3"/>
      <c r="H5833" s="26">
        <f>MAX(0,H5832-648000)</f>
        <v>628030</v>
      </c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</row>
    <row r="5834">
      <c r="A5834" s="27" t="s">
        <v>17</v>
      </c>
      <c r="B5834" s="2"/>
      <c r="C5834" s="2"/>
      <c r="D5834" s="2"/>
      <c r="E5834" s="2"/>
      <c r="F5834" s="2"/>
      <c r="G5834" s="3"/>
      <c r="H5834" s="28">
        <v>649000.0</v>
      </c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</row>
    <row r="5835">
      <c r="A5835" s="1" t="s">
        <v>18</v>
      </c>
      <c r="B5835" s="2"/>
      <c r="C5835" s="2"/>
      <c r="D5835" s="2"/>
      <c r="E5835" s="2"/>
      <c r="F5835" s="2"/>
      <c r="G5835" s="2"/>
      <c r="H5835" s="3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</row>
    <row r="5842" ht="29.25" customHeight="1">
      <c r="A5842" s="1" t="s">
        <v>0</v>
      </c>
      <c r="B5842" s="2"/>
      <c r="C5842" s="2"/>
      <c r="D5842" s="2"/>
      <c r="E5842" s="2"/>
      <c r="F5842" s="2"/>
      <c r="G5842" s="2"/>
      <c r="H5842" s="3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</row>
    <row r="5843">
      <c r="A5843" s="6" t="s">
        <v>1296</v>
      </c>
      <c r="B5843" s="2"/>
      <c r="C5843" s="2"/>
      <c r="D5843" s="2"/>
      <c r="E5843" s="2"/>
      <c r="F5843" s="2"/>
      <c r="G5843" s="2"/>
      <c r="H5843" s="3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</row>
    <row r="5844">
      <c r="A5844" s="7" t="s">
        <v>2</v>
      </c>
      <c r="B5844" s="7" t="s">
        <v>3</v>
      </c>
      <c r="C5844" s="7" t="s">
        <v>4</v>
      </c>
      <c r="D5844" s="7" t="s">
        <v>5</v>
      </c>
      <c r="E5844" s="7" t="s">
        <v>6</v>
      </c>
      <c r="F5844" s="8" t="s">
        <v>7</v>
      </c>
      <c r="G5844" s="7" t="s">
        <v>8</v>
      </c>
      <c r="H5844" s="9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</row>
    <row r="5845">
      <c r="A5845" s="10">
        <v>1.0</v>
      </c>
      <c r="B5845" s="33" t="s">
        <v>431</v>
      </c>
      <c r="C5845" s="34" t="s">
        <v>1297</v>
      </c>
      <c r="D5845" s="13" t="s">
        <v>11</v>
      </c>
      <c r="E5845" s="35">
        <v>2.26</v>
      </c>
      <c r="F5845" s="15">
        <v>293000.0</v>
      </c>
      <c r="G5845" s="16">
        <f t="shared" ref="G5845:G5847" si="388">IFERROR(E5845*F5845,0)</f>
        <v>662180</v>
      </c>
      <c r="H5845" s="17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</row>
    <row r="5846">
      <c r="A5846" s="10">
        <v>2.0</v>
      </c>
      <c r="B5846" s="36" t="s">
        <v>379</v>
      </c>
      <c r="C5846" s="37" t="s">
        <v>1298</v>
      </c>
      <c r="D5846" s="20" t="s">
        <v>13</v>
      </c>
      <c r="E5846" s="38">
        <v>1.0</v>
      </c>
      <c r="F5846" s="22">
        <v>435000.0</v>
      </c>
      <c r="G5846" s="16">
        <f t="shared" si="388"/>
        <v>435000</v>
      </c>
      <c r="H5846" s="17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</row>
    <row r="5847">
      <c r="A5847" s="10">
        <v>3.0</v>
      </c>
      <c r="B5847" s="23" t="s">
        <v>14</v>
      </c>
      <c r="C5847" s="17"/>
      <c r="D5847" s="17"/>
      <c r="E5847" s="17"/>
      <c r="F5847" s="17"/>
      <c r="G5847" s="24">
        <f t="shared" si="388"/>
        <v>0</v>
      </c>
      <c r="H5847" s="17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</row>
    <row r="5848">
      <c r="A5848" s="25" t="s">
        <v>15</v>
      </c>
      <c r="B5848" s="2"/>
      <c r="C5848" s="2"/>
      <c r="D5848" s="2"/>
      <c r="E5848" s="2"/>
      <c r="F5848" s="2"/>
      <c r="G5848" s="3"/>
      <c r="H5848" s="26">
        <f>SUM(G5845:G5847)</f>
        <v>1097180</v>
      </c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</row>
    <row r="5849">
      <c r="A5849" s="25" t="s">
        <v>16</v>
      </c>
      <c r="B5849" s="2"/>
      <c r="C5849" s="2"/>
      <c r="D5849" s="2"/>
      <c r="E5849" s="2"/>
      <c r="F5849" s="2"/>
      <c r="G5849" s="3"/>
      <c r="H5849" s="26">
        <f>MAX(0,H5848-648000)</f>
        <v>449180</v>
      </c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</row>
    <row r="5850">
      <c r="A5850" s="27" t="s">
        <v>17</v>
      </c>
      <c r="B5850" s="2"/>
      <c r="C5850" s="2"/>
      <c r="D5850" s="2"/>
      <c r="E5850" s="2"/>
      <c r="F5850" s="2"/>
      <c r="G5850" s="3"/>
      <c r="H5850" s="28">
        <v>649000.0</v>
      </c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</row>
    <row r="5851">
      <c r="A5851" s="1" t="s">
        <v>18</v>
      </c>
      <c r="B5851" s="2"/>
      <c r="C5851" s="2"/>
      <c r="D5851" s="2"/>
      <c r="E5851" s="2"/>
      <c r="F5851" s="2"/>
      <c r="G5851" s="2"/>
      <c r="H5851" s="3"/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</row>
    <row r="5856" ht="29.25" customHeight="1">
      <c r="A5856" s="1" t="s">
        <v>0</v>
      </c>
      <c r="B5856" s="2"/>
      <c r="C5856" s="2"/>
      <c r="D5856" s="2"/>
      <c r="E5856" s="2"/>
      <c r="F5856" s="2"/>
      <c r="G5856" s="2"/>
      <c r="H5856" s="3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</row>
    <row r="5857">
      <c r="A5857" s="6" t="s">
        <v>1299</v>
      </c>
      <c r="B5857" s="2"/>
      <c r="C5857" s="2"/>
      <c r="D5857" s="2"/>
      <c r="E5857" s="2"/>
      <c r="F5857" s="2"/>
      <c r="G5857" s="2"/>
      <c r="H5857" s="3"/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</row>
    <row r="5858">
      <c r="A5858" s="7" t="s">
        <v>2</v>
      </c>
      <c r="B5858" s="7" t="s">
        <v>3</v>
      </c>
      <c r="C5858" s="7" t="s">
        <v>4</v>
      </c>
      <c r="D5858" s="7" t="s">
        <v>5</v>
      </c>
      <c r="E5858" s="7" t="s">
        <v>6</v>
      </c>
      <c r="F5858" s="8" t="s">
        <v>7</v>
      </c>
      <c r="G5858" s="7" t="s">
        <v>8</v>
      </c>
      <c r="H5858" s="9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</row>
    <row r="5859">
      <c r="A5859" s="10">
        <v>1.0</v>
      </c>
      <c r="B5859" s="33" t="s">
        <v>1128</v>
      </c>
      <c r="C5859" s="34" t="s">
        <v>1300</v>
      </c>
      <c r="D5859" s="13" t="s">
        <v>11</v>
      </c>
      <c r="E5859" s="35">
        <v>2.4</v>
      </c>
      <c r="F5859" s="15">
        <v>293000.0</v>
      </c>
      <c r="G5859" s="16">
        <f t="shared" ref="G5859:G5861" si="389">IFERROR(E5859*F5859,0)</f>
        <v>703200</v>
      </c>
      <c r="H5859" s="17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</row>
    <row r="5860">
      <c r="A5860" s="10">
        <v>2.0</v>
      </c>
      <c r="B5860" s="36" t="s">
        <v>12</v>
      </c>
      <c r="C5860" s="37" t="s">
        <v>1301</v>
      </c>
      <c r="D5860" s="20" t="s">
        <v>13</v>
      </c>
      <c r="E5860" s="38">
        <v>1.0</v>
      </c>
      <c r="F5860" s="22">
        <v>435000.0</v>
      </c>
      <c r="G5860" s="16">
        <f t="shared" si="389"/>
        <v>435000</v>
      </c>
      <c r="H5860" s="17"/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</row>
    <row r="5861">
      <c r="A5861" s="10">
        <v>3.0</v>
      </c>
      <c r="B5861" s="23" t="s">
        <v>14</v>
      </c>
      <c r="C5861" s="17"/>
      <c r="D5861" s="17"/>
      <c r="E5861" s="17"/>
      <c r="F5861" s="17"/>
      <c r="G5861" s="24">
        <f t="shared" si="389"/>
        <v>0</v>
      </c>
      <c r="H5861" s="17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</row>
    <row r="5862">
      <c r="A5862" s="25" t="s">
        <v>15</v>
      </c>
      <c r="B5862" s="2"/>
      <c r="C5862" s="2"/>
      <c r="D5862" s="2"/>
      <c r="E5862" s="2"/>
      <c r="F5862" s="2"/>
      <c r="G5862" s="3"/>
      <c r="H5862" s="26">
        <f>SUM(G5859:G5861)</f>
        <v>1138200</v>
      </c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</row>
    <row r="5863">
      <c r="A5863" s="25" t="s">
        <v>16</v>
      </c>
      <c r="B5863" s="2"/>
      <c r="C5863" s="2"/>
      <c r="D5863" s="2"/>
      <c r="E5863" s="2"/>
      <c r="F5863" s="2"/>
      <c r="G5863" s="3"/>
      <c r="H5863" s="26">
        <f>MAX(0,H5862-648000)</f>
        <v>490200</v>
      </c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</row>
    <row r="5864">
      <c r="A5864" s="27" t="s">
        <v>17</v>
      </c>
      <c r="B5864" s="2"/>
      <c r="C5864" s="2"/>
      <c r="D5864" s="2"/>
      <c r="E5864" s="2"/>
      <c r="F5864" s="2"/>
      <c r="G5864" s="3"/>
      <c r="H5864" s="28">
        <v>649000.0</v>
      </c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</row>
    <row r="5865">
      <c r="A5865" s="1" t="s">
        <v>18</v>
      </c>
      <c r="B5865" s="2"/>
      <c r="C5865" s="2"/>
      <c r="D5865" s="2"/>
      <c r="E5865" s="2"/>
      <c r="F5865" s="2"/>
      <c r="G5865" s="2"/>
      <c r="H5865" s="3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</row>
    <row r="5870" ht="29.25" customHeight="1">
      <c r="A5870" s="1" t="s">
        <v>0</v>
      </c>
      <c r="B5870" s="2"/>
      <c r="C5870" s="2"/>
      <c r="D5870" s="2"/>
      <c r="E5870" s="2"/>
      <c r="F5870" s="2"/>
      <c r="G5870" s="2"/>
      <c r="H5870" s="3"/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</row>
    <row r="5871">
      <c r="A5871" s="6" t="s">
        <v>1302</v>
      </c>
      <c r="B5871" s="2"/>
      <c r="C5871" s="2"/>
      <c r="D5871" s="2"/>
      <c r="E5871" s="2"/>
      <c r="F5871" s="2"/>
      <c r="G5871" s="2"/>
      <c r="H5871" s="3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</row>
    <row r="5872">
      <c r="A5872" s="7" t="s">
        <v>2</v>
      </c>
      <c r="B5872" s="7" t="s">
        <v>3</v>
      </c>
      <c r="C5872" s="7" t="s">
        <v>4</v>
      </c>
      <c r="D5872" s="7" t="s">
        <v>5</v>
      </c>
      <c r="E5872" s="7" t="s">
        <v>6</v>
      </c>
      <c r="F5872" s="8" t="s">
        <v>7</v>
      </c>
      <c r="G5872" s="7" t="s">
        <v>8</v>
      </c>
      <c r="H5872" s="9"/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</row>
    <row r="5873">
      <c r="A5873" s="10">
        <v>1.0</v>
      </c>
      <c r="B5873" s="33" t="s">
        <v>1303</v>
      </c>
      <c r="C5873" s="34" t="s">
        <v>1304</v>
      </c>
      <c r="D5873" s="13" t="s">
        <v>11</v>
      </c>
      <c r="E5873" s="35">
        <v>1.44</v>
      </c>
      <c r="F5873" s="15">
        <v>293000.0</v>
      </c>
      <c r="G5873" s="16">
        <f t="shared" ref="G5873:G5875" si="390">IFERROR(E5873*F5873,0)</f>
        <v>421920</v>
      </c>
      <c r="H5873" s="17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</row>
    <row r="5874">
      <c r="A5874" s="10">
        <v>2.0</v>
      </c>
      <c r="B5874" s="36" t="s">
        <v>12</v>
      </c>
      <c r="C5874" s="37" t="s">
        <v>899</v>
      </c>
      <c r="D5874" s="20" t="s">
        <v>13</v>
      </c>
      <c r="E5874" s="38">
        <v>1.9</v>
      </c>
      <c r="F5874" s="22">
        <v>435000.0</v>
      </c>
      <c r="G5874" s="16">
        <f t="shared" si="390"/>
        <v>826500</v>
      </c>
      <c r="H5874" s="17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</row>
    <row r="5875">
      <c r="A5875" s="10">
        <v>3.0</v>
      </c>
      <c r="B5875" s="23" t="s">
        <v>14</v>
      </c>
      <c r="C5875" s="17"/>
      <c r="D5875" s="17"/>
      <c r="E5875" s="17"/>
      <c r="F5875" s="17"/>
      <c r="G5875" s="24">
        <f t="shared" si="390"/>
        <v>0</v>
      </c>
      <c r="H5875" s="17"/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</row>
    <row r="5876">
      <c r="A5876" s="25" t="s">
        <v>15</v>
      </c>
      <c r="B5876" s="2"/>
      <c r="C5876" s="2"/>
      <c r="D5876" s="2"/>
      <c r="E5876" s="2"/>
      <c r="F5876" s="2"/>
      <c r="G5876" s="3"/>
      <c r="H5876" s="26">
        <f>SUM(G5873:G5875)</f>
        <v>1248420</v>
      </c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</row>
    <row r="5877">
      <c r="A5877" s="25" t="s">
        <v>16</v>
      </c>
      <c r="B5877" s="2"/>
      <c r="C5877" s="2"/>
      <c r="D5877" s="2"/>
      <c r="E5877" s="2"/>
      <c r="F5877" s="2"/>
      <c r="G5877" s="3"/>
      <c r="H5877" s="26">
        <f>MAX(0,H5876-648000)</f>
        <v>600420</v>
      </c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</row>
    <row r="5878">
      <c r="A5878" s="27" t="s">
        <v>17</v>
      </c>
      <c r="B5878" s="2"/>
      <c r="C5878" s="2"/>
      <c r="D5878" s="2"/>
      <c r="E5878" s="2"/>
      <c r="F5878" s="2"/>
      <c r="G5878" s="3"/>
      <c r="H5878" s="28">
        <v>649000.0</v>
      </c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</row>
    <row r="5879">
      <c r="A5879" s="1" t="s">
        <v>18</v>
      </c>
      <c r="B5879" s="2"/>
      <c r="C5879" s="2"/>
      <c r="D5879" s="2"/>
      <c r="E5879" s="2"/>
      <c r="F5879" s="2"/>
      <c r="G5879" s="2"/>
      <c r="H5879" s="3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</row>
    <row r="5886" ht="29.25" customHeight="1">
      <c r="A5886" s="1" t="s">
        <v>0</v>
      </c>
      <c r="B5886" s="2"/>
      <c r="C5886" s="2"/>
      <c r="D5886" s="2"/>
      <c r="E5886" s="2"/>
      <c r="F5886" s="2"/>
      <c r="G5886" s="2"/>
      <c r="H5886" s="3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</row>
    <row r="5887">
      <c r="A5887" s="6" t="s">
        <v>1305</v>
      </c>
      <c r="B5887" s="2"/>
      <c r="C5887" s="2"/>
      <c r="D5887" s="2"/>
      <c r="E5887" s="2"/>
      <c r="F5887" s="2"/>
      <c r="G5887" s="2"/>
      <c r="H5887" s="3"/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</row>
    <row r="5888">
      <c r="A5888" s="7" t="s">
        <v>2</v>
      </c>
      <c r="B5888" s="7" t="s">
        <v>3</v>
      </c>
      <c r="C5888" s="7" t="s">
        <v>4</v>
      </c>
      <c r="D5888" s="7" t="s">
        <v>5</v>
      </c>
      <c r="E5888" s="7" t="s">
        <v>6</v>
      </c>
      <c r="F5888" s="8" t="s">
        <v>7</v>
      </c>
      <c r="G5888" s="7" t="s">
        <v>8</v>
      </c>
      <c r="H5888" s="9"/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</row>
    <row r="5889">
      <c r="A5889" s="10">
        <v>1.0</v>
      </c>
      <c r="B5889" s="33" t="s">
        <v>1306</v>
      </c>
      <c r="C5889" s="34" t="s">
        <v>452</v>
      </c>
      <c r="D5889" s="13" t="s">
        <v>11</v>
      </c>
      <c r="E5889" s="35">
        <v>2.0</v>
      </c>
      <c r="F5889" s="15">
        <v>293000.0</v>
      </c>
      <c r="G5889" s="16">
        <f t="shared" ref="G5889:G5891" si="391">IFERROR(E5889*F5889,0)</f>
        <v>586000</v>
      </c>
      <c r="H5889" s="17"/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</row>
    <row r="5890">
      <c r="A5890" s="10">
        <v>2.0</v>
      </c>
      <c r="B5890" s="36" t="s">
        <v>88</v>
      </c>
      <c r="C5890" s="37" t="s">
        <v>1307</v>
      </c>
      <c r="D5890" s="20" t="s">
        <v>13</v>
      </c>
      <c r="E5890" s="38" t="s">
        <v>1308</v>
      </c>
      <c r="F5890" s="22">
        <v>435000.0</v>
      </c>
      <c r="G5890" s="16">
        <f t="shared" si="391"/>
        <v>0</v>
      </c>
      <c r="H5890" s="17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</row>
    <row r="5891">
      <c r="A5891" s="10">
        <v>3.0</v>
      </c>
      <c r="B5891" s="23" t="s">
        <v>14</v>
      </c>
      <c r="C5891" s="17"/>
      <c r="D5891" s="17"/>
      <c r="E5891" s="17"/>
      <c r="F5891" s="17"/>
      <c r="G5891" s="24">
        <f t="shared" si="391"/>
        <v>0</v>
      </c>
      <c r="H5891" s="17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</row>
    <row r="5892">
      <c r="A5892" s="25" t="s">
        <v>15</v>
      </c>
      <c r="B5892" s="2"/>
      <c r="C5892" s="2"/>
      <c r="D5892" s="2"/>
      <c r="E5892" s="2"/>
      <c r="F5892" s="2"/>
      <c r="G5892" s="3"/>
      <c r="H5892" s="26">
        <f>SUM(G5889:G5891)</f>
        <v>586000</v>
      </c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</row>
    <row r="5893">
      <c r="A5893" s="25" t="s">
        <v>16</v>
      </c>
      <c r="B5893" s="2"/>
      <c r="C5893" s="2"/>
      <c r="D5893" s="2"/>
      <c r="E5893" s="2"/>
      <c r="F5893" s="2"/>
      <c r="G5893" s="3"/>
      <c r="H5893" s="26">
        <f>MAX(0,H5892-648000)</f>
        <v>0</v>
      </c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</row>
    <row r="5894">
      <c r="A5894" s="27" t="s">
        <v>17</v>
      </c>
      <c r="B5894" s="2"/>
      <c r="C5894" s="2"/>
      <c r="D5894" s="2"/>
      <c r="E5894" s="2"/>
      <c r="F5894" s="2"/>
      <c r="G5894" s="3"/>
      <c r="H5894" s="28">
        <v>649000.0</v>
      </c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</row>
    <row r="5895">
      <c r="A5895" s="1" t="s">
        <v>18</v>
      </c>
      <c r="B5895" s="2"/>
      <c r="C5895" s="2"/>
      <c r="D5895" s="2"/>
      <c r="E5895" s="2"/>
      <c r="F5895" s="2"/>
      <c r="G5895" s="2"/>
      <c r="H5895" s="3"/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</row>
    <row r="5901" ht="29.25" customHeight="1">
      <c r="A5901" s="1" t="s">
        <v>0</v>
      </c>
      <c r="B5901" s="2"/>
      <c r="C5901" s="2"/>
      <c r="D5901" s="2"/>
      <c r="E5901" s="2"/>
      <c r="F5901" s="2"/>
      <c r="G5901" s="2"/>
      <c r="H5901" s="3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</row>
    <row r="5902">
      <c r="A5902" s="6" t="s">
        <v>1309</v>
      </c>
      <c r="B5902" s="2"/>
      <c r="C5902" s="2"/>
      <c r="D5902" s="2"/>
      <c r="E5902" s="2"/>
      <c r="F5902" s="2"/>
      <c r="G5902" s="2"/>
      <c r="H5902" s="3"/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</row>
    <row r="5903">
      <c r="A5903" s="7" t="s">
        <v>2</v>
      </c>
      <c r="B5903" s="7" t="s">
        <v>3</v>
      </c>
      <c r="C5903" s="7" t="s">
        <v>4</v>
      </c>
      <c r="D5903" s="7" t="s">
        <v>5</v>
      </c>
      <c r="E5903" s="7" t="s">
        <v>6</v>
      </c>
      <c r="F5903" s="8" t="s">
        <v>7</v>
      </c>
      <c r="G5903" s="7" t="s">
        <v>8</v>
      </c>
      <c r="H5903" s="9"/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</row>
    <row r="5904">
      <c r="A5904" s="10">
        <v>1.0</v>
      </c>
      <c r="B5904" s="33" t="s">
        <v>212</v>
      </c>
      <c r="C5904" s="34" t="s">
        <v>1310</v>
      </c>
      <c r="D5904" s="13" t="s">
        <v>11</v>
      </c>
      <c r="E5904" s="35">
        <v>1.6</v>
      </c>
      <c r="F5904" s="15">
        <v>293000.0</v>
      </c>
      <c r="G5904" s="16">
        <f t="shared" ref="G5904:G5906" si="392">IFERROR(E5904*F5904,0)</f>
        <v>468800</v>
      </c>
      <c r="H5904" s="17"/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</row>
    <row r="5905">
      <c r="A5905" s="10">
        <v>2.0</v>
      </c>
      <c r="B5905" s="36" t="s">
        <v>526</v>
      </c>
      <c r="C5905" s="37" t="s">
        <v>922</v>
      </c>
      <c r="D5905" s="20" t="s">
        <v>13</v>
      </c>
      <c r="E5905" s="38">
        <v>1.8</v>
      </c>
      <c r="F5905" s="22">
        <v>435000.0</v>
      </c>
      <c r="G5905" s="16">
        <f t="shared" si="392"/>
        <v>783000</v>
      </c>
      <c r="H5905" s="17"/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</row>
    <row r="5906">
      <c r="A5906" s="10">
        <v>3.0</v>
      </c>
      <c r="B5906" s="23" t="s">
        <v>14</v>
      </c>
      <c r="C5906" s="17"/>
      <c r="D5906" s="17"/>
      <c r="E5906" s="17"/>
      <c r="F5906" s="17"/>
      <c r="G5906" s="24">
        <f t="shared" si="392"/>
        <v>0</v>
      </c>
      <c r="H5906" s="17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</row>
    <row r="5907">
      <c r="A5907" s="25" t="s">
        <v>15</v>
      </c>
      <c r="B5907" s="2"/>
      <c r="C5907" s="2"/>
      <c r="D5907" s="2"/>
      <c r="E5907" s="2"/>
      <c r="F5907" s="2"/>
      <c r="G5907" s="3"/>
      <c r="H5907" s="26">
        <f>SUM(G5904:G5906)</f>
        <v>1251800</v>
      </c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</row>
    <row r="5908">
      <c r="A5908" s="25" t="s">
        <v>16</v>
      </c>
      <c r="B5908" s="2"/>
      <c r="C5908" s="2"/>
      <c r="D5908" s="2"/>
      <c r="E5908" s="2"/>
      <c r="F5908" s="2"/>
      <c r="G5908" s="3"/>
      <c r="H5908" s="26">
        <f>MAX(0,H5907-648000)</f>
        <v>603800</v>
      </c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</row>
    <row r="5909">
      <c r="A5909" s="27" t="s">
        <v>17</v>
      </c>
      <c r="B5909" s="2"/>
      <c r="C5909" s="2"/>
      <c r="D5909" s="2"/>
      <c r="E5909" s="2"/>
      <c r="F5909" s="2"/>
      <c r="G5909" s="3"/>
      <c r="H5909" s="28">
        <v>649000.0</v>
      </c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</row>
    <row r="5910">
      <c r="A5910" s="1" t="s">
        <v>18</v>
      </c>
      <c r="B5910" s="2"/>
      <c r="C5910" s="2"/>
      <c r="D5910" s="2"/>
      <c r="E5910" s="2"/>
      <c r="F5910" s="2"/>
      <c r="G5910" s="2"/>
      <c r="H5910" s="3"/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</row>
    <row r="5915" ht="29.25" customHeight="1">
      <c r="A5915" s="1" t="s">
        <v>0</v>
      </c>
      <c r="B5915" s="2"/>
      <c r="C5915" s="2"/>
      <c r="D5915" s="2"/>
      <c r="E5915" s="2"/>
      <c r="F5915" s="2"/>
      <c r="G5915" s="2"/>
      <c r="H5915" s="3"/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</row>
    <row r="5916">
      <c r="A5916" s="6" t="s">
        <v>1311</v>
      </c>
      <c r="B5916" s="2"/>
      <c r="C5916" s="2"/>
      <c r="D5916" s="2"/>
      <c r="E5916" s="2"/>
      <c r="F5916" s="2"/>
      <c r="G5916" s="2"/>
      <c r="H5916" s="3"/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</row>
    <row r="5917">
      <c r="A5917" s="7" t="s">
        <v>2</v>
      </c>
      <c r="B5917" s="7" t="s">
        <v>3</v>
      </c>
      <c r="C5917" s="7" t="s">
        <v>4</v>
      </c>
      <c r="D5917" s="7" t="s">
        <v>5</v>
      </c>
      <c r="E5917" s="7" t="s">
        <v>6</v>
      </c>
      <c r="F5917" s="8" t="s">
        <v>7</v>
      </c>
      <c r="G5917" s="7" t="s">
        <v>8</v>
      </c>
      <c r="H5917" s="9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</row>
    <row r="5918">
      <c r="A5918" s="10">
        <v>1.0</v>
      </c>
      <c r="B5918" s="33" t="s">
        <v>218</v>
      </c>
      <c r="C5918" s="34" t="s">
        <v>1312</v>
      </c>
      <c r="D5918" s="13" t="s">
        <v>11</v>
      </c>
      <c r="E5918" s="35">
        <v>2.0</v>
      </c>
      <c r="F5918" s="15">
        <v>293000.0</v>
      </c>
      <c r="G5918" s="16">
        <f t="shared" ref="G5918:G5920" si="393">IFERROR(E5918*F5918,0)</f>
        <v>586000</v>
      </c>
      <c r="H5918" s="17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</row>
    <row r="5919">
      <c r="A5919" s="10">
        <v>2.0</v>
      </c>
      <c r="B5919" s="36" t="s">
        <v>137</v>
      </c>
      <c r="C5919" s="37" t="s">
        <v>1313</v>
      </c>
      <c r="D5919" s="20" t="s">
        <v>13</v>
      </c>
      <c r="E5919" s="38">
        <v>1.35</v>
      </c>
      <c r="F5919" s="22">
        <v>435000.0</v>
      </c>
      <c r="G5919" s="16">
        <f t="shared" si="393"/>
        <v>587250</v>
      </c>
      <c r="H5919" s="17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</row>
    <row r="5920">
      <c r="A5920" s="10">
        <v>3.0</v>
      </c>
      <c r="B5920" s="23" t="s">
        <v>14</v>
      </c>
      <c r="C5920" s="17"/>
      <c r="D5920" s="17"/>
      <c r="E5920" s="17"/>
      <c r="F5920" s="17"/>
      <c r="G5920" s="24">
        <f t="shared" si="393"/>
        <v>0</v>
      </c>
      <c r="H5920" s="17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</row>
    <row r="5921">
      <c r="A5921" s="25" t="s">
        <v>15</v>
      </c>
      <c r="B5921" s="2"/>
      <c r="C5921" s="2"/>
      <c r="D5921" s="2"/>
      <c r="E5921" s="2"/>
      <c r="F5921" s="2"/>
      <c r="G5921" s="3"/>
      <c r="H5921" s="26">
        <f>SUM(G5918:G5920)</f>
        <v>1173250</v>
      </c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</row>
    <row r="5922">
      <c r="A5922" s="25" t="s">
        <v>16</v>
      </c>
      <c r="B5922" s="2"/>
      <c r="C5922" s="2"/>
      <c r="D5922" s="2"/>
      <c r="E5922" s="2"/>
      <c r="F5922" s="2"/>
      <c r="G5922" s="3"/>
      <c r="H5922" s="26">
        <f>MAX(0,H5921-648000)</f>
        <v>525250</v>
      </c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</row>
    <row r="5923">
      <c r="A5923" s="27" t="s">
        <v>17</v>
      </c>
      <c r="B5923" s="2"/>
      <c r="C5923" s="2"/>
      <c r="D5923" s="2"/>
      <c r="E5923" s="2"/>
      <c r="F5923" s="2"/>
      <c r="G5923" s="3"/>
      <c r="H5923" s="28">
        <v>649000.0</v>
      </c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</row>
    <row r="5924">
      <c r="A5924" s="1" t="s">
        <v>18</v>
      </c>
      <c r="B5924" s="2"/>
      <c r="C5924" s="2"/>
      <c r="D5924" s="2"/>
      <c r="E5924" s="2"/>
      <c r="F5924" s="2"/>
      <c r="G5924" s="2"/>
      <c r="H5924" s="3"/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</row>
    <row r="5928" ht="29.25" customHeight="1">
      <c r="A5928" s="1" t="s">
        <v>0</v>
      </c>
      <c r="B5928" s="2"/>
      <c r="C5928" s="2"/>
      <c r="D5928" s="2"/>
      <c r="E5928" s="2"/>
      <c r="F5928" s="2"/>
      <c r="G5928" s="2"/>
      <c r="H5928" s="3"/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</row>
    <row r="5929">
      <c r="A5929" s="6" t="s">
        <v>1314</v>
      </c>
      <c r="B5929" s="2"/>
      <c r="C5929" s="2"/>
      <c r="D5929" s="2"/>
      <c r="E5929" s="2"/>
      <c r="F5929" s="2"/>
      <c r="G5929" s="2"/>
      <c r="H5929" s="3"/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</row>
    <row r="5930">
      <c r="A5930" s="7" t="s">
        <v>2</v>
      </c>
      <c r="B5930" s="7" t="s">
        <v>3</v>
      </c>
      <c r="C5930" s="7" t="s">
        <v>4</v>
      </c>
      <c r="D5930" s="7" t="s">
        <v>5</v>
      </c>
      <c r="E5930" s="7" t="s">
        <v>6</v>
      </c>
      <c r="F5930" s="8" t="s">
        <v>7</v>
      </c>
      <c r="G5930" s="7" t="s">
        <v>8</v>
      </c>
      <c r="H5930" s="9"/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</row>
    <row r="5931">
      <c r="A5931" s="10">
        <v>1.0</v>
      </c>
      <c r="B5931" s="33" t="s">
        <v>98</v>
      </c>
      <c r="C5931" s="34" t="s">
        <v>899</v>
      </c>
      <c r="D5931" s="13" t="s">
        <v>11</v>
      </c>
      <c r="E5931" s="35">
        <v>2.0</v>
      </c>
      <c r="F5931" s="15">
        <v>293000.0</v>
      </c>
      <c r="G5931" s="16">
        <f t="shared" ref="G5931:G5933" si="394">IFERROR(E5931*F5931,0)</f>
        <v>586000</v>
      </c>
      <c r="H5931" s="17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</row>
    <row r="5932">
      <c r="A5932" s="10">
        <v>2.0</v>
      </c>
      <c r="B5932" s="36" t="s">
        <v>12</v>
      </c>
      <c r="C5932" s="37" t="s">
        <v>1315</v>
      </c>
      <c r="D5932" s="20" t="s">
        <v>13</v>
      </c>
      <c r="E5932" s="38">
        <v>1.21</v>
      </c>
      <c r="F5932" s="22">
        <v>435000.0</v>
      </c>
      <c r="G5932" s="16">
        <f t="shared" si="394"/>
        <v>526350</v>
      </c>
      <c r="H5932" s="17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</row>
    <row r="5933">
      <c r="A5933" s="10">
        <v>3.0</v>
      </c>
      <c r="B5933" s="23" t="s">
        <v>14</v>
      </c>
      <c r="C5933" s="17"/>
      <c r="D5933" s="17"/>
      <c r="E5933" s="17"/>
      <c r="F5933" s="17"/>
      <c r="G5933" s="24">
        <f t="shared" si="394"/>
        <v>0</v>
      </c>
      <c r="H5933" s="17"/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</row>
    <row r="5934">
      <c r="A5934" s="25" t="s">
        <v>15</v>
      </c>
      <c r="B5934" s="2"/>
      <c r="C5934" s="2"/>
      <c r="D5934" s="2"/>
      <c r="E5934" s="2"/>
      <c r="F5934" s="2"/>
      <c r="G5934" s="3"/>
      <c r="H5934" s="26">
        <f>SUM(G5931:G5933)</f>
        <v>1112350</v>
      </c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</row>
    <row r="5935">
      <c r="A5935" s="25" t="s">
        <v>16</v>
      </c>
      <c r="B5935" s="2"/>
      <c r="C5935" s="2"/>
      <c r="D5935" s="2"/>
      <c r="E5935" s="2"/>
      <c r="F5935" s="2"/>
      <c r="G5935" s="3"/>
      <c r="H5935" s="26">
        <f>MAX(0,H5934-648000)</f>
        <v>464350</v>
      </c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</row>
    <row r="5936">
      <c r="A5936" s="27" t="s">
        <v>17</v>
      </c>
      <c r="B5936" s="2"/>
      <c r="C5936" s="2"/>
      <c r="D5936" s="2"/>
      <c r="E5936" s="2"/>
      <c r="F5936" s="2"/>
      <c r="G5936" s="3"/>
      <c r="H5936" s="28">
        <v>649000.0</v>
      </c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</row>
    <row r="5937">
      <c r="A5937" s="1" t="s">
        <v>18</v>
      </c>
      <c r="B5937" s="2"/>
      <c r="C5937" s="2"/>
      <c r="D5937" s="2"/>
      <c r="E5937" s="2"/>
      <c r="F5937" s="2"/>
      <c r="G5937" s="2"/>
      <c r="H5937" s="3"/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</row>
    <row r="5943" ht="29.25" customHeight="1">
      <c r="A5943" s="1" t="s">
        <v>0</v>
      </c>
      <c r="B5943" s="2"/>
      <c r="C5943" s="2"/>
      <c r="D5943" s="2"/>
      <c r="E5943" s="2"/>
      <c r="F5943" s="2"/>
      <c r="G5943" s="2"/>
      <c r="H5943" s="3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</row>
    <row r="5944">
      <c r="A5944" s="6" t="s">
        <v>1316</v>
      </c>
      <c r="B5944" s="2"/>
      <c r="C5944" s="2"/>
      <c r="D5944" s="2"/>
      <c r="E5944" s="2"/>
      <c r="F5944" s="2"/>
      <c r="G5944" s="2"/>
      <c r="H5944" s="3"/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</row>
    <row r="5945">
      <c r="A5945" s="7" t="s">
        <v>2</v>
      </c>
      <c r="B5945" s="7" t="s">
        <v>3</v>
      </c>
      <c r="C5945" s="7" t="s">
        <v>4</v>
      </c>
      <c r="D5945" s="7" t="s">
        <v>5</v>
      </c>
      <c r="E5945" s="7" t="s">
        <v>6</v>
      </c>
      <c r="F5945" s="8" t="s">
        <v>7</v>
      </c>
      <c r="G5945" s="7" t="s">
        <v>8</v>
      </c>
      <c r="H5945" s="9"/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</row>
    <row r="5946">
      <c r="A5946" s="10">
        <v>1.0</v>
      </c>
      <c r="B5946" s="33" t="s">
        <v>58</v>
      </c>
      <c r="C5946" s="34" t="s">
        <v>1317</v>
      </c>
      <c r="D5946" s="13" t="s">
        <v>11</v>
      </c>
      <c r="E5946" s="35">
        <v>3.0</v>
      </c>
      <c r="F5946" s="15">
        <v>293000.0</v>
      </c>
      <c r="G5946" s="16">
        <f t="shared" ref="G5946:G5948" si="395">IFERROR(E5946*F5946,0)</f>
        <v>879000</v>
      </c>
      <c r="H5946" s="17"/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</row>
    <row r="5947">
      <c r="A5947" s="10">
        <v>2.0</v>
      </c>
      <c r="B5947" s="36" t="s">
        <v>175</v>
      </c>
      <c r="C5947" s="37" t="s">
        <v>1318</v>
      </c>
      <c r="D5947" s="20" t="s">
        <v>13</v>
      </c>
      <c r="E5947" s="38">
        <v>0.72</v>
      </c>
      <c r="F5947" s="22">
        <v>435000.0</v>
      </c>
      <c r="G5947" s="16">
        <f t="shared" si="395"/>
        <v>313200</v>
      </c>
      <c r="H5947" s="17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</row>
    <row r="5948">
      <c r="A5948" s="10">
        <v>3.0</v>
      </c>
      <c r="B5948" s="23" t="s">
        <v>14</v>
      </c>
      <c r="C5948" s="17"/>
      <c r="D5948" s="17"/>
      <c r="E5948" s="17"/>
      <c r="F5948" s="17"/>
      <c r="G5948" s="24">
        <f t="shared" si="395"/>
        <v>0</v>
      </c>
      <c r="H5948" s="17"/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</row>
    <row r="5949">
      <c r="A5949" s="25" t="s">
        <v>15</v>
      </c>
      <c r="B5949" s="2"/>
      <c r="C5949" s="2"/>
      <c r="D5949" s="2"/>
      <c r="E5949" s="2"/>
      <c r="F5949" s="2"/>
      <c r="G5949" s="3"/>
      <c r="H5949" s="26">
        <f>SUM(G5946:G5948)</f>
        <v>1192200</v>
      </c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</row>
    <row r="5950">
      <c r="A5950" s="25" t="s">
        <v>16</v>
      </c>
      <c r="B5950" s="2"/>
      <c r="C5950" s="2"/>
      <c r="D5950" s="2"/>
      <c r="E5950" s="2"/>
      <c r="F5950" s="2"/>
      <c r="G5950" s="3"/>
      <c r="H5950" s="26">
        <f>MAX(0,H5949-648000)</f>
        <v>544200</v>
      </c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</row>
    <row r="5951">
      <c r="A5951" s="27" t="s">
        <v>17</v>
      </c>
      <c r="B5951" s="2"/>
      <c r="C5951" s="2"/>
      <c r="D5951" s="2"/>
      <c r="E5951" s="2"/>
      <c r="F5951" s="2"/>
      <c r="G5951" s="3"/>
      <c r="H5951" s="28">
        <v>649000.0</v>
      </c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</row>
    <row r="5952">
      <c r="A5952" s="1" t="s">
        <v>18</v>
      </c>
      <c r="B5952" s="2"/>
      <c r="C5952" s="2"/>
      <c r="D5952" s="2"/>
      <c r="E5952" s="2"/>
      <c r="F5952" s="2"/>
      <c r="G5952" s="2"/>
      <c r="H5952" s="3"/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</row>
    <row r="5957" ht="29.25" customHeight="1">
      <c r="A5957" s="1" t="s">
        <v>0</v>
      </c>
      <c r="B5957" s="2"/>
      <c r="C5957" s="2"/>
      <c r="D5957" s="2"/>
      <c r="E5957" s="2"/>
      <c r="F5957" s="2"/>
      <c r="G5957" s="2"/>
      <c r="H5957" s="3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</row>
    <row r="5958">
      <c r="A5958" s="6" t="s">
        <v>1319</v>
      </c>
      <c r="B5958" s="2"/>
      <c r="C5958" s="2"/>
      <c r="D5958" s="2"/>
      <c r="E5958" s="2"/>
      <c r="F5958" s="2"/>
      <c r="G5958" s="2"/>
      <c r="H5958" s="3"/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</row>
    <row r="5959">
      <c r="A5959" s="7" t="s">
        <v>2</v>
      </c>
      <c r="B5959" s="7" t="s">
        <v>3</v>
      </c>
      <c r="C5959" s="7" t="s">
        <v>4</v>
      </c>
      <c r="D5959" s="7" t="s">
        <v>5</v>
      </c>
      <c r="E5959" s="7" t="s">
        <v>6</v>
      </c>
      <c r="F5959" s="8" t="s">
        <v>7</v>
      </c>
      <c r="G5959" s="7" t="s">
        <v>8</v>
      </c>
      <c r="H5959" s="9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</row>
    <row r="5960">
      <c r="A5960" s="10">
        <v>1.0</v>
      </c>
      <c r="B5960" s="33" t="s">
        <v>63</v>
      </c>
      <c r="C5960" s="34" t="s">
        <v>1320</v>
      </c>
      <c r="D5960" s="13" t="s">
        <v>11</v>
      </c>
      <c r="E5960" s="35">
        <v>3.08</v>
      </c>
      <c r="F5960" s="15">
        <v>293000.0</v>
      </c>
      <c r="G5960" s="16">
        <f t="shared" ref="G5960:G5962" si="396">IFERROR(E5960*F5960,0)</f>
        <v>902440</v>
      </c>
      <c r="H5960" s="17"/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</row>
    <row r="5961">
      <c r="A5961" s="10">
        <v>2.0</v>
      </c>
      <c r="B5961" s="36" t="s">
        <v>151</v>
      </c>
      <c r="C5961" s="37" t="s">
        <v>1321</v>
      </c>
      <c r="D5961" s="20" t="s">
        <v>13</v>
      </c>
      <c r="E5961" s="38">
        <v>0.71</v>
      </c>
      <c r="F5961" s="22">
        <v>435000.0</v>
      </c>
      <c r="G5961" s="16">
        <f t="shared" si="396"/>
        <v>308850</v>
      </c>
      <c r="H5961" s="17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</row>
    <row r="5962">
      <c r="A5962" s="10">
        <v>3.0</v>
      </c>
      <c r="B5962" s="23" t="s">
        <v>14</v>
      </c>
      <c r="C5962" s="17"/>
      <c r="D5962" s="17"/>
      <c r="E5962" s="31"/>
      <c r="F5962" s="17"/>
      <c r="G5962" s="24">
        <f t="shared" si="396"/>
        <v>0</v>
      </c>
      <c r="H5962" s="17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</row>
    <row r="5963">
      <c r="A5963" s="25" t="s">
        <v>15</v>
      </c>
      <c r="B5963" s="2"/>
      <c r="C5963" s="2"/>
      <c r="D5963" s="2"/>
      <c r="E5963" s="2"/>
      <c r="F5963" s="2"/>
      <c r="G5963" s="3"/>
      <c r="H5963" s="26">
        <f>SUM(G5960:G5962)</f>
        <v>1211290</v>
      </c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</row>
    <row r="5964">
      <c r="A5964" s="25" t="s">
        <v>16</v>
      </c>
      <c r="B5964" s="2"/>
      <c r="C5964" s="2"/>
      <c r="D5964" s="2"/>
      <c r="E5964" s="2"/>
      <c r="F5964" s="2"/>
      <c r="G5964" s="3"/>
      <c r="H5964" s="26">
        <f>MAX(0,H5963-648000)</f>
        <v>563290</v>
      </c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</row>
    <row r="5965">
      <c r="A5965" s="27" t="s">
        <v>17</v>
      </c>
      <c r="B5965" s="2"/>
      <c r="C5965" s="2"/>
      <c r="D5965" s="2"/>
      <c r="E5965" s="2"/>
      <c r="F5965" s="2"/>
      <c r="G5965" s="3"/>
      <c r="H5965" s="28">
        <v>649000.0</v>
      </c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</row>
    <row r="5966">
      <c r="A5966" s="1" t="s">
        <v>18</v>
      </c>
      <c r="B5966" s="2"/>
      <c r="C5966" s="2"/>
      <c r="D5966" s="2"/>
      <c r="E5966" s="2"/>
      <c r="F5966" s="2"/>
      <c r="G5966" s="2"/>
      <c r="H5966" s="3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</row>
    <row r="5973" ht="29.25" customHeight="1">
      <c r="A5973" s="1" t="s">
        <v>0</v>
      </c>
      <c r="B5973" s="2"/>
      <c r="C5973" s="2"/>
      <c r="D5973" s="2"/>
      <c r="E5973" s="2"/>
      <c r="F5973" s="2"/>
      <c r="G5973" s="2"/>
      <c r="H5973" s="3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</row>
    <row r="5974">
      <c r="A5974" s="6" t="s">
        <v>1322</v>
      </c>
      <c r="B5974" s="2"/>
      <c r="C5974" s="2"/>
      <c r="D5974" s="2"/>
      <c r="E5974" s="2"/>
      <c r="F5974" s="2"/>
      <c r="G5974" s="2"/>
      <c r="H5974" s="3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</row>
    <row r="5975">
      <c r="A5975" s="7" t="s">
        <v>2</v>
      </c>
      <c r="B5975" s="7" t="s">
        <v>3</v>
      </c>
      <c r="C5975" s="7" t="s">
        <v>4</v>
      </c>
      <c r="D5975" s="7" t="s">
        <v>5</v>
      </c>
      <c r="E5975" s="7" t="s">
        <v>6</v>
      </c>
      <c r="F5975" s="8" t="s">
        <v>7</v>
      </c>
      <c r="G5975" s="7" t="s">
        <v>8</v>
      </c>
      <c r="H5975" s="9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</row>
    <row r="5976">
      <c r="A5976" s="10">
        <v>1.0</v>
      </c>
      <c r="B5976" s="33" t="s">
        <v>247</v>
      </c>
      <c r="C5976" s="34" t="s">
        <v>1323</v>
      </c>
      <c r="D5976" s="13" t="s">
        <v>11</v>
      </c>
      <c r="E5976" s="35">
        <v>2.95</v>
      </c>
      <c r="F5976" s="15">
        <v>293000.0</v>
      </c>
      <c r="G5976" s="16">
        <f t="shared" ref="G5976:G5978" si="397">IFERROR(E5976*F5976,0)</f>
        <v>864350</v>
      </c>
      <c r="H5976" s="17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</row>
    <row r="5977">
      <c r="A5977" s="10">
        <v>2.0</v>
      </c>
      <c r="B5977" s="36" t="s">
        <v>34</v>
      </c>
      <c r="C5977" s="37" t="s">
        <v>1324</v>
      </c>
      <c r="D5977" s="20" t="s">
        <v>13</v>
      </c>
      <c r="E5977" s="38">
        <v>0.8</v>
      </c>
      <c r="F5977" s="22">
        <v>435000.0</v>
      </c>
      <c r="G5977" s="16">
        <f t="shared" si="397"/>
        <v>348000</v>
      </c>
      <c r="H5977" s="17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</row>
    <row r="5978">
      <c r="A5978" s="10">
        <v>3.0</v>
      </c>
      <c r="B5978" s="23" t="s">
        <v>14</v>
      </c>
      <c r="C5978" s="17"/>
      <c r="D5978" s="17"/>
      <c r="E5978" s="17"/>
      <c r="F5978" s="17"/>
      <c r="G5978" s="24">
        <f t="shared" si="397"/>
        <v>0</v>
      </c>
      <c r="H5978" s="17"/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</row>
    <row r="5979">
      <c r="A5979" s="25" t="s">
        <v>15</v>
      </c>
      <c r="B5979" s="2"/>
      <c r="C5979" s="2"/>
      <c r="D5979" s="2"/>
      <c r="E5979" s="2"/>
      <c r="F5979" s="2"/>
      <c r="G5979" s="3"/>
      <c r="H5979" s="26">
        <f>SUM(G5976:G5978)</f>
        <v>1212350</v>
      </c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</row>
    <row r="5980">
      <c r="A5980" s="25" t="s">
        <v>16</v>
      </c>
      <c r="B5980" s="2"/>
      <c r="C5980" s="2"/>
      <c r="D5980" s="2"/>
      <c r="E5980" s="2"/>
      <c r="F5980" s="2"/>
      <c r="G5980" s="3"/>
      <c r="H5980" s="26">
        <f>MAX(0,H5979-648000)</f>
        <v>564350</v>
      </c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</row>
    <row r="5981">
      <c r="A5981" s="27" t="s">
        <v>17</v>
      </c>
      <c r="B5981" s="2"/>
      <c r="C5981" s="2"/>
      <c r="D5981" s="2"/>
      <c r="E5981" s="2"/>
      <c r="F5981" s="2"/>
      <c r="G5981" s="3"/>
      <c r="H5981" s="28">
        <v>649000.0</v>
      </c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</row>
    <row r="5982">
      <c r="A5982" s="1" t="s">
        <v>18</v>
      </c>
      <c r="B5982" s="2"/>
      <c r="C5982" s="2"/>
      <c r="D5982" s="2"/>
      <c r="E5982" s="2"/>
      <c r="F5982" s="2"/>
      <c r="G5982" s="2"/>
      <c r="H5982" s="3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</row>
    <row r="5988" ht="29.25" customHeight="1">
      <c r="A5988" s="1" t="s">
        <v>0</v>
      </c>
      <c r="B5988" s="2"/>
      <c r="C5988" s="2"/>
      <c r="D5988" s="2"/>
      <c r="E5988" s="2"/>
      <c r="F5988" s="2"/>
      <c r="G5988" s="2"/>
      <c r="H5988" s="3"/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</row>
    <row r="5989">
      <c r="A5989" s="6" t="s">
        <v>1325</v>
      </c>
      <c r="B5989" s="2"/>
      <c r="C5989" s="2"/>
      <c r="D5989" s="2"/>
      <c r="E5989" s="2"/>
      <c r="F5989" s="2"/>
      <c r="G5989" s="2"/>
      <c r="H5989" s="3"/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</row>
    <row r="5990">
      <c r="A5990" s="7" t="s">
        <v>2</v>
      </c>
      <c r="B5990" s="7" t="s">
        <v>3</v>
      </c>
      <c r="C5990" s="7" t="s">
        <v>4</v>
      </c>
      <c r="D5990" s="7" t="s">
        <v>5</v>
      </c>
      <c r="E5990" s="7" t="s">
        <v>6</v>
      </c>
      <c r="F5990" s="8" t="s">
        <v>7</v>
      </c>
      <c r="G5990" s="7" t="s">
        <v>8</v>
      </c>
      <c r="H5990" s="9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</row>
    <row r="5991">
      <c r="A5991" s="10">
        <v>1.0</v>
      </c>
      <c r="B5991" s="33" t="s">
        <v>110</v>
      </c>
      <c r="C5991" s="34" t="s">
        <v>1326</v>
      </c>
      <c r="D5991" s="13" t="s">
        <v>11</v>
      </c>
      <c r="E5991" s="35">
        <v>2.89</v>
      </c>
      <c r="F5991" s="15">
        <v>293000.0</v>
      </c>
      <c r="G5991" s="16">
        <f t="shared" ref="G5991:G5993" si="398">IFERROR(E5991*F5991,0)</f>
        <v>846770</v>
      </c>
      <c r="H5991" s="17"/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</row>
    <row r="5992">
      <c r="A5992" s="10">
        <v>2.0</v>
      </c>
      <c r="B5992" s="36" t="s">
        <v>202</v>
      </c>
      <c r="C5992" s="37" t="s">
        <v>923</v>
      </c>
      <c r="D5992" s="20" t="s">
        <v>13</v>
      </c>
      <c r="E5992" s="38">
        <v>0.87</v>
      </c>
      <c r="F5992" s="22">
        <v>435000.0</v>
      </c>
      <c r="G5992" s="16">
        <f t="shared" si="398"/>
        <v>378450</v>
      </c>
      <c r="H5992" s="17"/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</row>
    <row r="5993">
      <c r="A5993" s="10">
        <v>3.0</v>
      </c>
      <c r="B5993" s="23" t="s">
        <v>14</v>
      </c>
      <c r="C5993" s="17"/>
      <c r="D5993" s="17"/>
      <c r="E5993" s="17"/>
      <c r="F5993" s="17"/>
      <c r="G5993" s="24">
        <f t="shared" si="398"/>
        <v>0</v>
      </c>
      <c r="H5993" s="17"/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</row>
    <row r="5994">
      <c r="A5994" s="25" t="s">
        <v>15</v>
      </c>
      <c r="B5994" s="2"/>
      <c r="C5994" s="2"/>
      <c r="D5994" s="2"/>
      <c r="E5994" s="2"/>
      <c r="F5994" s="2"/>
      <c r="G5994" s="3"/>
      <c r="H5994" s="26">
        <f>SUM(G5991:G5993)</f>
        <v>1225220</v>
      </c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</row>
    <row r="5995">
      <c r="A5995" s="25" t="s">
        <v>16</v>
      </c>
      <c r="B5995" s="2"/>
      <c r="C5995" s="2"/>
      <c r="D5995" s="2"/>
      <c r="E5995" s="2"/>
      <c r="F5995" s="2"/>
      <c r="G5995" s="3"/>
      <c r="H5995" s="26">
        <f>MAX(0,H5994-648000)</f>
        <v>577220</v>
      </c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</row>
    <row r="5996">
      <c r="A5996" s="27" t="s">
        <v>17</v>
      </c>
      <c r="B5996" s="2"/>
      <c r="C5996" s="2"/>
      <c r="D5996" s="2"/>
      <c r="E5996" s="2"/>
      <c r="F5996" s="2"/>
      <c r="G5996" s="3"/>
      <c r="H5996" s="28">
        <v>649000.0</v>
      </c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</row>
    <row r="5997">
      <c r="A5997" s="1" t="s">
        <v>18</v>
      </c>
      <c r="B5997" s="2"/>
      <c r="C5997" s="2"/>
      <c r="D5997" s="2"/>
      <c r="E5997" s="2"/>
      <c r="F5997" s="2"/>
      <c r="G5997" s="2"/>
      <c r="H5997" s="3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</row>
    <row r="6003" ht="29.25" customHeight="1">
      <c r="A6003" s="1" t="s">
        <v>0</v>
      </c>
      <c r="B6003" s="2"/>
      <c r="C6003" s="2"/>
      <c r="D6003" s="2"/>
      <c r="E6003" s="2"/>
      <c r="F6003" s="2"/>
      <c r="G6003" s="2"/>
      <c r="H6003" s="3"/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</row>
    <row r="6004">
      <c r="A6004" s="6" t="s">
        <v>1327</v>
      </c>
      <c r="B6004" s="2"/>
      <c r="C6004" s="2"/>
      <c r="D6004" s="2"/>
      <c r="E6004" s="2"/>
      <c r="F6004" s="2"/>
      <c r="G6004" s="2"/>
      <c r="H6004" s="3"/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</row>
    <row r="6005">
      <c r="A6005" s="7" t="s">
        <v>2</v>
      </c>
      <c r="B6005" s="7" t="s">
        <v>3</v>
      </c>
      <c r="C6005" s="7" t="s">
        <v>4</v>
      </c>
      <c r="D6005" s="7" t="s">
        <v>5</v>
      </c>
      <c r="E6005" s="7" t="s">
        <v>6</v>
      </c>
      <c r="F6005" s="8" t="s">
        <v>7</v>
      </c>
      <c r="G6005" s="7" t="s">
        <v>8</v>
      </c>
      <c r="H6005" s="9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</row>
    <row r="6006">
      <c r="A6006" s="10">
        <v>1.0</v>
      </c>
      <c r="B6006" s="33" t="s">
        <v>98</v>
      </c>
      <c r="C6006" s="34" t="s">
        <v>10</v>
      </c>
      <c r="D6006" s="13" t="s">
        <v>11</v>
      </c>
      <c r="E6006" s="35">
        <v>2.0</v>
      </c>
      <c r="F6006" s="15">
        <v>293000.0</v>
      </c>
      <c r="G6006" s="16">
        <f t="shared" ref="G6006:G6008" si="399">IFERROR(E6006*F6006,0)</f>
        <v>586000</v>
      </c>
      <c r="H6006" s="17"/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</row>
    <row r="6007">
      <c r="A6007" s="10">
        <v>2.0</v>
      </c>
      <c r="B6007" s="36" t="s">
        <v>903</v>
      </c>
      <c r="C6007" s="37" t="s">
        <v>1328</v>
      </c>
      <c r="D6007" s="20" t="s">
        <v>13</v>
      </c>
      <c r="E6007" s="38">
        <v>1.17</v>
      </c>
      <c r="F6007" s="22">
        <v>435000.0</v>
      </c>
      <c r="G6007" s="16">
        <f t="shared" si="399"/>
        <v>508950</v>
      </c>
      <c r="H6007" s="17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</row>
    <row r="6008">
      <c r="A6008" s="10">
        <v>3.0</v>
      </c>
      <c r="B6008" s="23" t="s">
        <v>14</v>
      </c>
      <c r="C6008" s="17"/>
      <c r="D6008" s="17"/>
      <c r="E6008" s="17"/>
      <c r="F6008" s="17"/>
      <c r="G6008" s="24">
        <f t="shared" si="399"/>
        <v>0</v>
      </c>
      <c r="H6008" s="17"/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</row>
    <row r="6009">
      <c r="A6009" s="25" t="s">
        <v>15</v>
      </c>
      <c r="B6009" s="2"/>
      <c r="C6009" s="2"/>
      <c r="D6009" s="2"/>
      <c r="E6009" s="2"/>
      <c r="F6009" s="2"/>
      <c r="G6009" s="3"/>
      <c r="H6009" s="26">
        <f>SUM(G6006:G6008)</f>
        <v>1094950</v>
      </c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</row>
    <row r="6010">
      <c r="A6010" s="25" t="s">
        <v>16</v>
      </c>
      <c r="B6010" s="2"/>
      <c r="C6010" s="2"/>
      <c r="D6010" s="2"/>
      <c r="E6010" s="2"/>
      <c r="F6010" s="2"/>
      <c r="G6010" s="3"/>
      <c r="H6010" s="26">
        <f>MAX(0,H6009-648000)</f>
        <v>446950</v>
      </c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</row>
    <row r="6011">
      <c r="A6011" s="27" t="s">
        <v>17</v>
      </c>
      <c r="B6011" s="2"/>
      <c r="C6011" s="2"/>
      <c r="D6011" s="2"/>
      <c r="E6011" s="2"/>
      <c r="F6011" s="2"/>
      <c r="G6011" s="3"/>
      <c r="H6011" s="28">
        <v>649000.0</v>
      </c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</row>
    <row r="6012">
      <c r="A6012" s="1" t="s">
        <v>18</v>
      </c>
      <c r="B6012" s="2"/>
      <c r="C6012" s="2"/>
      <c r="D6012" s="2"/>
      <c r="E6012" s="2"/>
      <c r="F6012" s="2"/>
      <c r="G6012" s="2"/>
      <c r="H6012" s="3"/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</row>
    <row r="6021" ht="29.25" customHeight="1">
      <c r="A6021" s="1" t="s">
        <v>0</v>
      </c>
      <c r="B6021" s="2"/>
      <c r="C6021" s="2"/>
      <c r="D6021" s="2"/>
      <c r="E6021" s="2"/>
      <c r="F6021" s="2"/>
      <c r="G6021" s="2"/>
      <c r="H6021" s="3"/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</row>
    <row r="6022">
      <c r="A6022" s="6" t="s">
        <v>1329</v>
      </c>
      <c r="B6022" s="2"/>
      <c r="C6022" s="2"/>
      <c r="D6022" s="2"/>
      <c r="E6022" s="2"/>
      <c r="F6022" s="2"/>
      <c r="G6022" s="2"/>
      <c r="H6022" s="3"/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</row>
    <row r="6023">
      <c r="A6023" s="7" t="s">
        <v>2</v>
      </c>
      <c r="B6023" s="7" t="s">
        <v>3</v>
      </c>
      <c r="C6023" s="7" t="s">
        <v>4</v>
      </c>
      <c r="D6023" s="7" t="s">
        <v>5</v>
      </c>
      <c r="E6023" s="7" t="s">
        <v>6</v>
      </c>
      <c r="F6023" s="8" t="s">
        <v>7</v>
      </c>
      <c r="G6023" s="7" t="s">
        <v>8</v>
      </c>
      <c r="H6023" s="9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</row>
    <row r="6024">
      <c r="A6024" s="10">
        <v>1.0</v>
      </c>
      <c r="B6024" s="33" t="s">
        <v>1330</v>
      </c>
      <c r="C6024" s="34" t="s">
        <v>1331</v>
      </c>
      <c r="D6024" s="13" t="s">
        <v>11</v>
      </c>
      <c r="E6024" s="35">
        <v>2.0</v>
      </c>
      <c r="F6024" s="15">
        <v>293000.0</v>
      </c>
      <c r="G6024" s="16">
        <f t="shared" ref="G6024:G6026" si="400">IFERROR(E6024*F6024,0)</f>
        <v>586000</v>
      </c>
      <c r="H6024" s="17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</row>
    <row r="6025">
      <c r="A6025" s="10">
        <v>2.0</v>
      </c>
      <c r="B6025" s="36" t="s">
        <v>1332</v>
      </c>
      <c r="C6025" s="37" t="s">
        <v>1333</v>
      </c>
      <c r="D6025" s="20" t="s">
        <v>13</v>
      </c>
      <c r="E6025" s="38">
        <v>1.3</v>
      </c>
      <c r="F6025" s="22">
        <v>435000.0</v>
      </c>
      <c r="G6025" s="16">
        <f t="shared" si="400"/>
        <v>565500</v>
      </c>
      <c r="H6025" s="17"/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</row>
    <row r="6026">
      <c r="A6026" s="10">
        <v>3.0</v>
      </c>
      <c r="B6026" s="23" t="s">
        <v>14</v>
      </c>
      <c r="C6026" s="17"/>
      <c r="D6026" s="17"/>
      <c r="E6026" s="17"/>
      <c r="F6026" s="17"/>
      <c r="G6026" s="24">
        <f t="shared" si="400"/>
        <v>0</v>
      </c>
      <c r="H6026" s="17"/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</row>
    <row r="6027">
      <c r="A6027" s="25" t="s">
        <v>15</v>
      </c>
      <c r="B6027" s="2"/>
      <c r="C6027" s="2"/>
      <c r="D6027" s="2"/>
      <c r="E6027" s="2"/>
      <c r="F6027" s="2"/>
      <c r="G6027" s="3"/>
      <c r="H6027" s="26">
        <f>SUM(G6024:G6026)</f>
        <v>1151500</v>
      </c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</row>
    <row r="6028">
      <c r="A6028" s="25" t="s">
        <v>16</v>
      </c>
      <c r="B6028" s="2"/>
      <c r="C6028" s="2"/>
      <c r="D6028" s="2"/>
      <c r="E6028" s="2"/>
      <c r="F6028" s="2"/>
      <c r="G6028" s="3"/>
      <c r="H6028" s="26">
        <f>MAX(0,H6027-648000)</f>
        <v>503500</v>
      </c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</row>
    <row r="6029">
      <c r="A6029" s="27" t="s">
        <v>17</v>
      </c>
      <c r="B6029" s="2"/>
      <c r="C6029" s="2"/>
      <c r="D6029" s="2"/>
      <c r="E6029" s="2"/>
      <c r="F6029" s="2"/>
      <c r="G6029" s="3"/>
      <c r="H6029" s="28">
        <v>649000.0</v>
      </c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</row>
    <row r="6030">
      <c r="A6030" s="1" t="s">
        <v>18</v>
      </c>
      <c r="B6030" s="2"/>
      <c r="C6030" s="2"/>
      <c r="D6030" s="2"/>
      <c r="E6030" s="2"/>
      <c r="F6030" s="2"/>
      <c r="G6030" s="2"/>
      <c r="H6030" s="3"/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</row>
  </sheetData>
  <mergeCells count="2400">
    <mergeCell ref="A3247:G3247"/>
    <mergeCell ref="A3248:H3248"/>
    <mergeCell ref="A3254:H3254"/>
    <mergeCell ref="A3255:H3255"/>
    <mergeCell ref="A3260:G3260"/>
    <mergeCell ref="A3261:G3261"/>
    <mergeCell ref="A3262:G3262"/>
    <mergeCell ref="A3263:H3263"/>
    <mergeCell ref="A3269:H3269"/>
    <mergeCell ref="A3270:H3270"/>
    <mergeCell ref="A3275:G3275"/>
    <mergeCell ref="A3276:G3276"/>
    <mergeCell ref="A3277:G3277"/>
    <mergeCell ref="A3278:H3278"/>
    <mergeCell ref="A3284:H3284"/>
    <mergeCell ref="A3285:H3285"/>
    <mergeCell ref="A3290:G3290"/>
    <mergeCell ref="A3291:G3291"/>
    <mergeCell ref="A3292:G3292"/>
    <mergeCell ref="A3293:H3293"/>
    <mergeCell ref="A3298:H3298"/>
    <mergeCell ref="A3299:H3299"/>
    <mergeCell ref="A3304:G3304"/>
    <mergeCell ref="A3305:G3305"/>
    <mergeCell ref="A3306:G3306"/>
    <mergeCell ref="A3307:H3307"/>
    <mergeCell ref="A3312:H3312"/>
    <mergeCell ref="A3313:H3313"/>
    <mergeCell ref="A3138:G3138"/>
    <mergeCell ref="A3139:H3139"/>
    <mergeCell ref="A3147:H3147"/>
    <mergeCell ref="A3148:H3148"/>
    <mergeCell ref="A3153:G3153"/>
    <mergeCell ref="A3154:G3154"/>
    <mergeCell ref="A3155:G3155"/>
    <mergeCell ref="A3156:H3156"/>
    <mergeCell ref="A3163:H3163"/>
    <mergeCell ref="A3164:H3164"/>
    <mergeCell ref="A3169:G3169"/>
    <mergeCell ref="A3170:G3170"/>
    <mergeCell ref="A3171:G3171"/>
    <mergeCell ref="A3172:H3172"/>
    <mergeCell ref="A3177:H3177"/>
    <mergeCell ref="A3178:H3178"/>
    <mergeCell ref="A3183:G3183"/>
    <mergeCell ref="A3184:G3184"/>
    <mergeCell ref="A3185:G3185"/>
    <mergeCell ref="A3186:H3186"/>
    <mergeCell ref="A3192:H3192"/>
    <mergeCell ref="A3193:H3193"/>
    <mergeCell ref="A3198:G3198"/>
    <mergeCell ref="A3199:G3199"/>
    <mergeCell ref="A3200:G3200"/>
    <mergeCell ref="A3201:H3201"/>
    <mergeCell ref="A3208:H3208"/>
    <mergeCell ref="A3209:H3209"/>
    <mergeCell ref="A3214:G3214"/>
    <mergeCell ref="A3215:G3215"/>
    <mergeCell ref="A3216:G3216"/>
    <mergeCell ref="A3217:H3217"/>
    <mergeCell ref="A3224:H3224"/>
    <mergeCell ref="A3225:H3225"/>
    <mergeCell ref="A3230:G3230"/>
    <mergeCell ref="A3231:G3231"/>
    <mergeCell ref="A3232:G3232"/>
    <mergeCell ref="A3233:H3233"/>
    <mergeCell ref="A3239:H3239"/>
    <mergeCell ref="A3240:H3240"/>
    <mergeCell ref="A3245:G3245"/>
    <mergeCell ref="A3246:G3246"/>
    <mergeCell ref="A3318:G3318"/>
    <mergeCell ref="A3319:G3319"/>
    <mergeCell ref="A3320:G3320"/>
    <mergeCell ref="A3321:H3321"/>
    <mergeCell ref="A3327:H3327"/>
    <mergeCell ref="A3328:H3328"/>
    <mergeCell ref="A3333:G3333"/>
    <mergeCell ref="A3334:G3334"/>
    <mergeCell ref="A3335:G3335"/>
    <mergeCell ref="A3336:H3336"/>
    <mergeCell ref="A3342:H3342"/>
    <mergeCell ref="A3343:H3343"/>
    <mergeCell ref="A3348:G3348"/>
    <mergeCell ref="A3349:G3349"/>
    <mergeCell ref="A3350:G3350"/>
    <mergeCell ref="A3351:H3351"/>
    <mergeCell ref="A3360:H3360"/>
    <mergeCell ref="A3361:H3361"/>
    <mergeCell ref="A3366:G3366"/>
    <mergeCell ref="A3367:G3367"/>
    <mergeCell ref="A3368:G3368"/>
    <mergeCell ref="A3369:H3369"/>
    <mergeCell ref="A3375:H3375"/>
    <mergeCell ref="A3376:H3376"/>
    <mergeCell ref="A3381:G3381"/>
    <mergeCell ref="A3382:G3382"/>
    <mergeCell ref="A3383:G3383"/>
    <mergeCell ref="A3384:H3384"/>
    <mergeCell ref="A3390:H3390"/>
    <mergeCell ref="A3391:H3391"/>
    <mergeCell ref="A3396:G3396"/>
    <mergeCell ref="A3397:G3397"/>
    <mergeCell ref="A3398:G3398"/>
    <mergeCell ref="A3399:H3399"/>
    <mergeCell ref="A3405:H3405"/>
    <mergeCell ref="A3406:H3406"/>
    <mergeCell ref="A3411:G3411"/>
    <mergeCell ref="A3412:G3412"/>
    <mergeCell ref="A3413:G3413"/>
    <mergeCell ref="A3414:H3414"/>
    <mergeCell ref="A3420:H3420"/>
    <mergeCell ref="A3421:H3421"/>
    <mergeCell ref="A3426:G3426"/>
    <mergeCell ref="A3427:G3427"/>
    <mergeCell ref="A3428:G3428"/>
    <mergeCell ref="A3429:H3429"/>
    <mergeCell ref="A3434:H3434"/>
    <mergeCell ref="A3435:H3435"/>
    <mergeCell ref="A3440:G3440"/>
    <mergeCell ref="A3441:G3441"/>
    <mergeCell ref="A3442:G3442"/>
    <mergeCell ref="A3443:H3443"/>
    <mergeCell ref="A3451:H3451"/>
    <mergeCell ref="A3452:H3452"/>
    <mergeCell ref="A3457:G3457"/>
    <mergeCell ref="A3458:G3458"/>
    <mergeCell ref="A3575:G3575"/>
    <mergeCell ref="A3576:H3576"/>
    <mergeCell ref="A3582:H3582"/>
    <mergeCell ref="A3583:H3583"/>
    <mergeCell ref="A3588:G3588"/>
    <mergeCell ref="A3589:G3589"/>
    <mergeCell ref="A3590:G3590"/>
    <mergeCell ref="A3591:H3591"/>
    <mergeCell ref="A3596:H3596"/>
    <mergeCell ref="A3597:H3597"/>
    <mergeCell ref="A3602:G3602"/>
    <mergeCell ref="A3603:G3603"/>
    <mergeCell ref="A3604:G3604"/>
    <mergeCell ref="A3605:H3605"/>
    <mergeCell ref="A3610:H3610"/>
    <mergeCell ref="A3611:H3611"/>
    <mergeCell ref="A3616:G3616"/>
    <mergeCell ref="A3617:G3617"/>
    <mergeCell ref="A3618:G3618"/>
    <mergeCell ref="A3619:H3619"/>
    <mergeCell ref="A3624:H3624"/>
    <mergeCell ref="A3625:H3625"/>
    <mergeCell ref="A3630:G3630"/>
    <mergeCell ref="A3631:G3631"/>
    <mergeCell ref="A3632:G3632"/>
    <mergeCell ref="A3633:H3633"/>
    <mergeCell ref="A3643:H3643"/>
    <mergeCell ref="A3644:H3644"/>
    <mergeCell ref="A3459:G3459"/>
    <mergeCell ref="A3460:H3460"/>
    <mergeCell ref="A3468:H3468"/>
    <mergeCell ref="A3469:H3469"/>
    <mergeCell ref="A3474:G3474"/>
    <mergeCell ref="A3475:G3475"/>
    <mergeCell ref="A3476:G3476"/>
    <mergeCell ref="A3477:H3477"/>
    <mergeCell ref="A3485:H3485"/>
    <mergeCell ref="A3486:H3486"/>
    <mergeCell ref="A3491:G3491"/>
    <mergeCell ref="A3492:G3492"/>
    <mergeCell ref="A3493:G3493"/>
    <mergeCell ref="A3494:H3494"/>
    <mergeCell ref="A3501:H3501"/>
    <mergeCell ref="A3502:H3502"/>
    <mergeCell ref="A3507:G3507"/>
    <mergeCell ref="A3508:G3508"/>
    <mergeCell ref="A3509:G3509"/>
    <mergeCell ref="A3510:H3510"/>
    <mergeCell ref="A3517:H3517"/>
    <mergeCell ref="A3518:H3518"/>
    <mergeCell ref="A3523:G3523"/>
    <mergeCell ref="A3524:G3524"/>
    <mergeCell ref="A3525:G3525"/>
    <mergeCell ref="A3526:H3526"/>
    <mergeCell ref="A3532:H3532"/>
    <mergeCell ref="A3533:H3533"/>
    <mergeCell ref="A3538:G3538"/>
    <mergeCell ref="A3539:G3539"/>
    <mergeCell ref="A3540:G3540"/>
    <mergeCell ref="A3541:H3541"/>
    <mergeCell ref="A3549:H3549"/>
    <mergeCell ref="A3550:H3550"/>
    <mergeCell ref="A3555:G3555"/>
    <mergeCell ref="A3556:G3556"/>
    <mergeCell ref="A3557:G3557"/>
    <mergeCell ref="A3558:H3558"/>
    <mergeCell ref="A3567:H3567"/>
    <mergeCell ref="A3568:H3568"/>
    <mergeCell ref="A3573:G3573"/>
    <mergeCell ref="A3574:G3574"/>
    <mergeCell ref="A3649:G3649"/>
    <mergeCell ref="A3650:G3650"/>
    <mergeCell ref="A3651:G3651"/>
    <mergeCell ref="A3652:H3652"/>
    <mergeCell ref="A3658:H3658"/>
    <mergeCell ref="A3659:H3659"/>
    <mergeCell ref="A3664:G3664"/>
    <mergeCell ref="A4243:H4243"/>
    <mergeCell ref="A4244:H4244"/>
    <mergeCell ref="A4249:G4249"/>
    <mergeCell ref="A4250:G4250"/>
    <mergeCell ref="A4251:G4251"/>
    <mergeCell ref="A4252:H4252"/>
    <mergeCell ref="A4258:H4258"/>
    <mergeCell ref="A4259:H4259"/>
    <mergeCell ref="A4264:G4264"/>
    <mergeCell ref="A4265:G4265"/>
    <mergeCell ref="A4266:G4266"/>
    <mergeCell ref="A4267:H4267"/>
    <mergeCell ref="A4273:H4273"/>
    <mergeCell ref="A4274:H4274"/>
    <mergeCell ref="A4099:G4099"/>
    <mergeCell ref="A4100:H4100"/>
    <mergeCell ref="A4106:H4106"/>
    <mergeCell ref="A4107:H4107"/>
    <mergeCell ref="A4112:G4112"/>
    <mergeCell ref="A4113:G4113"/>
    <mergeCell ref="A4114:G4114"/>
    <mergeCell ref="A4115:H4115"/>
    <mergeCell ref="A4122:H4122"/>
    <mergeCell ref="A4123:H4123"/>
    <mergeCell ref="A4128:G4128"/>
    <mergeCell ref="A4129:G4129"/>
    <mergeCell ref="A4130:G4130"/>
    <mergeCell ref="A4131:H4131"/>
    <mergeCell ref="A4137:H4137"/>
    <mergeCell ref="A4138:H4138"/>
    <mergeCell ref="A4143:G4143"/>
    <mergeCell ref="A4144:G4144"/>
    <mergeCell ref="A4145:G4145"/>
    <mergeCell ref="A4146:H4146"/>
    <mergeCell ref="A4152:H4152"/>
    <mergeCell ref="A4153:H4153"/>
    <mergeCell ref="A4158:G4158"/>
    <mergeCell ref="A4159:G4159"/>
    <mergeCell ref="A4160:G4160"/>
    <mergeCell ref="A4161:H4161"/>
    <mergeCell ref="A4168:H4168"/>
    <mergeCell ref="A4169:H4169"/>
    <mergeCell ref="A4174:G4174"/>
    <mergeCell ref="A4175:G4175"/>
    <mergeCell ref="A4176:G4176"/>
    <mergeCell ref="A4177:H4177"/>
    <mergeCell ref="A4184:H4184"/>
    <mergeCell ref="A4185:H4185"/>
    <mergeCell ref="A4190:G4190"/>
    <mergeCell ref="A4191:G4191"/>
    <mergeCell ref="A4192:G4192"/>
    <mergeCell ref="A4193:H4193"/>
    <mergeCell ref="A4199:H4199"/>
    <mergeCell ref="A4200:H4200"/>
    <mergeCell ref="A4205:G4205"/>
    <mergeCell ref="A4206:G4206"/>
    <mergeCell ref="A4279:G4279"/>
    <mergeCell ref="A4280:G4280"/>
    <mergeCell ref="A4281:G4281"/>
    <mergeCell ref="A4282:H4282"/>
    <mergeCell ref="A4288:H4288"/>
    <mergeCell ref="A4289:H4289"/>
    <mergeCell ref="A4294:G4294"/>
    <mergeCell ref="A3665:G3665"/>
    <mergeCell ref="A3666:G3666"/>
    <mergeCell ref="A3667:H3667"/>
    <mergeCell ref="A3673:H3673"/>
    <mergeCell ref="A3674:H3674"/>
    <mergeCell ref="A3679:G3679"/>
    <mergeCell ref="A3680:G3680"/>
    <mergeCell ref="A3681:G3681"/>
    <mergeCell ref="A3682:H3682"/>
    <mergeCell ref="A3687:H3687"/>
    <mergeCell ref="A3688:H3688"/>
    <mergeCell ref="A3693:G3693"/>
    <mergeCell ref="A3694:G3694"/>
    <mergeCell ref="A3695:G3695"/>
    <mergeCell ref="A3696:H3696"/>
    <mergeCell ref="A3701:H3701"/>
    <mergeCell ref="A3702:H3702"/>
    <mergeCell ref="A3707:G3707"/>
    <mergeCell ref="A3708:G3708"/>
    <mergeCell ref="A3709:G3709"/>
    <mergeCell ref="A3710:H3710"/>
    <mergeCell ref="A3715:H3715"/>
    <mergeCell ref="A3716:H3716"/>
    <mergeCell ref="A3721:G3721"/>
    <mergeCell ref="A3722:G3722"/>
    <mergeCell ref="A3723:G3723"/>
    <mergeCell ref="A3724:H3724"/>
    <mergeCell ref="A3731:H3731"/>
    <mergeCell ref="A3732:H3732"/>
    <mergeCell ref="A3737:G3737"/>
    <mergeCell ref="A3738:G3738"/>
    <mergeCell ref="A3739:G3739"/>
    <mergeCell ref="A3740:H3740"/>
    <mergeCell ref="A3745:H3745"/>
    <mergeCell ref="A3746:H3746"/>
    <mergeCell ref="A3751:G3751"/>
    <mergeCell ref="A3752:G3752"/>
    <mergeCell ref="A3753:G3753"/>
    <mergeCell ref="A3754:H3754"/>
    <mergeCell ref="A3760:H3760"/>
    <mergeCell ref="A3761:H3761"/>
    <mergeCell ref="A3766:G3766"/>
    <mergeCell ref="A3767:G3767"/>
    <mergeCell ref="A3768:G3768"/>
    <mergeCell ref="A3769:H3769"/>
    <mergeCell ref="A3776:H3776"/>
    <mergeCell ref="A3777:H3777"/>
    <mergeCell ref="A3782:G3782"/>
    <mergeCell ref="A3783:G3783"/>
    <mergeCell ref="A3891:G3891"/>
    <mergeCell ref="A3892:H3892"/>
    <mergeCell ref="A3899:H3899"/>
    <mergeCell ref="A3900:H3900"/>
    <mergeCell ref="A3905:G3905"/>
    <mergeCell ref="A3906:G3906"/>
    <mergeCell ref="A3907:G3907"/>
    <mergeCell ref="A3908:H3908"/>
    <mergeCell ref="A3914:H3914"/>
    <mergeCell ref="A3915:H3915"/>
    <mergeCell ref="A3920:G3920"/>
    <mergeCell ref="A3921:G3921"/>
    <mergeCell ref="A3922:G3922"/>
    <mergeCell ref="A3923:H3923"/>
    <mergeCell ref="A3929:H3929"/>
    <mergeCell ref="A3930:H3930"/>
    <mergeCell ref="A3935:G3935"/>
    <mergeCell ref="A3936:G3936"/>
    <mergeCell ref="A3937:G3937"/>
    <mergeCell ref="A3938:H3938"/>
    <mergeCell ref="A3945:H3945"/>
    <mergeCell ref="A3946:H3946"/>
    <mergeCell ref="A3951:G3951"/>
    <mergeCell ref="A3952:G3952"/>
    <mergeCell ref="A3953:G3953"/>
    <mergeCell ref="A3954:H3954"/>
    <mergeCell ref="A3960:H3960"/>
    <mergeCell ref="A3961:H3961"/>
    <mergeCell ref="A3784:G3784"/>
    <mergeCell ref="A3785:H3785"/>
    <mergeCell ref="A3790:H3790"/>
    <mergeCell ref="A3791:H3791"/>
    <mergeCell ref="A3796:G3796"/>
    <mergeCell ref="A3797:G3797"/>
    <mergeCell ref="A3798:G3798"/>
    <mergeCell ref="A3799:H3799"/>
    <mergeCell ref="A3805:H3805"/>
    <mergeCell ref="A3806:H3806"/>
    <mergeCell ref="A3811:G3811"/>
    <mergeCell ref="A3812:G3812"/>
    <mergeCell ref="A3813:G3813"/>
    <mergeCell ref="A3814:H3814"/>
    <mergeCell ref="A3819:H3819"/>
    <mergeCell ref="A3820:H3820"/>
    <mergeCell ref="A3825:G3825"/>
    <mergeCell ref="A3826:G3826"/>
    <mergeCell ref="A3827:G3827"/>
    <mergeCell ref="A3828:H3828"/>
    <mergeCell ref="A3834:H3834"/>
    <mergeCell ref="A3835:H3835"/>
    <mergeCell ref="A3840:G3840"/>
    <mergeCell ref="A3841:G3841"/>
    <mergeCell ref="A3842:G3842"/>
    <mergeCell ref="A3843:H3843"/>
    <mergeCell ref="A3850:H3850"/>
    <mergeCell ref="A3851:H3851"/>
    <mergeCell ref="A3856:G3856"/>
    <mergeCell ref="A3857:G3857"/>
    <mergeCell ref="A3858:G3858"/>
    <mergeCell ref="A3859:H3859"/>
    <mergeCell ref="A3867:H3867"/>
    <mergeCell ref="A3868:H3868"/>
    <mergeCell ref="A3873:G3873"/>
    <mergeCell ref="A3874:G3874"/>
    <mergeCell ref="A3875:G3875"/>
    <mergeCell ref="A3876:H3876"/>
    <mergeCell ref="A3883:H3883"/>
    <mergeCell ref="A3884:H3884"/>
    <mergeCell ref="A3889:G3889"/>
    <mergeCell ref="A3890:G3890"/>
    <mergeCell ref="A3966:G3966"/>
    <mergeCell ref="A3967:G3967"/>
    <mergeCell ref="A3968:G3968"/>
    <mergeCell ref="A3969:H3969"/>
    <mergeCell ref="A3973:H3973"/>
    <mergeCell ref="A3974:H3974"/>
    <mergeCell ref="A3979:G3979"/>
    <mergeCell ref="A3980:G3980"/>
    <mergeCell ref="A3981:G3981"/>
    <mergeCell ref="A3982:H3982"/>
    <mergeCell ref="A3986:H3986"/>
    <mergeCell ref="A3987:H3987"/>
    <mergeCell ref="A3992:G3992"/>
    <mergeCell ref="A3993:G3993"/>
    <mergeCell ref="A3994:G3994"/>
    <mergeCell ref="A3995:H3995"/>
    <mergeCell ref="A4000:H4000"/>
    <mergeCell ref="A4001:H4001"/>
    <mergeCell ref="A4006:G4006"/>
    <mergeCell ref="A4007:G4007"/>
    <mergeCell ref="A4008:G4008"/>
    <mergeCell ref="A4009:H4009"/>
    <mergeCell ref="A4014:H4014"/>
    <mergeCell ref="A4015:H4015"/>
    <mergeCell ref="A4020:G4020"/>
    <mergeCell ref="A4021:G4021"/>
    <mergeCell ref="A4022:G4022"/>
    <mergeCell ref="A4023:H4023"/>
    <mergeCell ref="A4029:H4029"/>
    <mergeCell ref="A4030:H4030"/>
    <mergeCell ref="A4035:G4035"/>
    <mergeCell ref="A4036:G4036"/>
    <mergeCell ref="A4037:G4037"/>
    <mergeCell ref="A4038:H4038"/>
    <mergeCell ref="A4045:H4045"/>
    <mergeCell ref="A4046:H4046"/>
    <mergeCell ref="A4051:G4051"/>
    <mergeCell ref="A4052:G4052"/>
    <mergeCell ref="A4053:G4053"/>
    <mergeCell ref="A4054:H4054"/>
    <mergeCell ref="A4061:H4061"/>
    <mergeCell ref="A4062:H4062"/>
    <mergeCell ref="A4067:G4067"/>
    <mergeCell ref="A4068:G4068"/>
    <mergeCell ref="A4069:G4069"/>
    <mergeCell ref="A4070:H4070"/>
    <mergeCell ref="A4076:H4076"/>
    <mergeCell ref="A4077:H4077"/>
    <mergeCell ref="A4082:G4082"/>
    <mergeCell ref="A4083:G4083"/>
    <mergeCell ref="A4084:G4084"/>
    <mergeCell ref="A4085:H4085"/>
    <mergeCell ref="A4091:H4091"/>
    <mergeCell ref="A4092:H4092"/>
    <mergeCell ref="A4097:G4097"/>
    <mergeCell ref="A4098:G4098"/>
    <mergeCell ref="A4207:G4207"/>
    <mergeCell ref="A4208:H4208"/>
    <mergeCell ref="A4214:H4214"/>
    <mergeCell ref="A4215:H4215"/>
    <mergeCell ref="A4220:G4220"/>
    <mergeCell ref="A4221:G4221"/>
    <mergeCell ref="A4222:G4222"/>
    <mergeCell ref="A4223:H4223"/>
    <mergeCell ref="A4229:H4229"/>
    <mergeCell ref="A4230:H4230"/>
    <mergeCell ref="A4235:G4235"/>
    <mergeCell ref="A4236:G4236"/>
    <mergeCell ref="A4237:G4237"/>
    <mergeCell ref="A4238:H4238"/>
    <mergeCell ref="A4295:G4295"/>
    <mergeCell ref="A4296:G4296"/>
    <mergeCell ref="A4297:H4297"/>
    <mergeCell ref="A4302:H4302"/>
    <mergeCell ref="A4303:H4303"/>
    <mergeCell ref="A4308:G4308"/>
    <mergeCell ref="A4309:G4309"/>
    <mergeCell ref="A4310:G4310"/>
    <mergeCell ref="A4311:H4311"/>
    <mergeCell ref="A4316:H4316"/>
    <mergeCell ref="A4317:H4317"/>
    <mergeCell ref="A4322:G4322"/>
    <mergeCell ref="A4323:G4323"/>
    <mergeCell ref="A4324:G4324"/>
    <mergeCell ref="A4325:H4325"/>
    <mergeCell ref="A4330:H4330"/>
    <mergeCell ref="A4331:H4331"/>
    <mergeCell ref="A4336:G4336"/>
    <mergeCell ref="A4337:G4337"/>
    <mergeCell ref="A4338:G4338"/>
    <mergeCell ref="A4339:H4339"/>
    <mergeCell ref="A4345:H4345"/>
    <mergeCell ref="A4346:H4346"/>
    <mergeCell ref="A4351:G4351"/>
    <mergeCell ref="A4352:G4352"/>
    <mergeCell ref="A4353:G4353"/>
    <mergeCell ref="A4354:H4354"/>
    <mergeCell ref="A4358:H4358"/>
    <mergeCell ref="A4359:H4359"/>
    <mergeCell ref="A4364:G4364"/>
    <mergeCell ref="A4365:G4365"/>
    <mergeCell ref="A4366:G4366"/>
    <mergeCell ref="A4367:H4367"/>
    <mergeCell ref="A4372:H4372"/>
    <mergeCell ref="A4373:H4373"/>
    <mergeCell ref="A4378:G4378"/>
    <mergeCell ref="A4379:G4379"/>
    <mergeCell ref="A4380:G4380"/>
    <mergeCell ref="A4381:H4381"/>
    <mergeCell ref="A4386:H4386"/>
    <mergeCell ref="A4387:H4387"/>
    <mergeCell ref="A4392:G4392"/>
    <mergeCell ref="A4393:G4393"/>
    <mergeCell ref="A4394:G4394"/>
    <mergeCell ref="A4395:H4395"/>
    <mergeCell ref="A4401:H4401"/>
    <mergeCell ref="A4402:H4402"/>
    <mergeCell ref="A4407:G4407"/>
    <mergeCell ref="A4408:G4408"/>
    <mergeCell ref="A4507:G4507"/>
    <mergeCell ref="A4508:H4508"/>
    <mergeCell ref="A4513:H4513"/>
    <mergeCell ref="A4514:H4514"/>
    <mergeCell ref="A4519:G4519"/>
    <mergeCell ref="A4520:G4520"/>
    <mergeCell ref="A4521:G4521"/>
    <mergeCell ref="A4522:H4522"/>
    <mergeCell ref="A4527:H4527"/>
    <mergeCell ref="A4528:H4528"/>
    <mergeCell ref="A4533:G4533"/>
    <mergeCell ref="A4534:G4534"/>
    <mergeCell ref="A4535:G4535"/>
    <mergeCell ref="A4536:H4536"/>
    <mergeCell ref="A4541:H4541"/>
    <mergeCell ref="A4542:H4542"/>
    <mergeCell ref="A4547:G4547"/>
    <mergeCell ref="A4548:G4548"/>
    <mergeCell ref="A4549:G4549"/>
    <mergeCell ref="A4550:H4550"/>
    <mergeCell ref="A4555:H4555"/>
    <mergeCell ref="A4556:H4556"/>
    <mergeCell ref="A4561:G4561"/>
    <mergeCell ref="A4562:G4562"/>
    <mergeCell ref="A4563:G4563"/>
    <mergeCell ref="A4564:H4564"/>
    <mergeCell ref="A4569:H4569"/>
    <mergeCell ref="A4570:H4570"/>
    <mergeCell ref="A4409:G4409"/>
    <mergeCell ref="A4410:H4410"/>
    <mergeCell ref="A4416:H4416"/>
    <mergeCell ref="A4417:H4417"/>
    <mergeCell ref="A4422:G4422"/>
    <mergeCell ref="A4423:G4423"/>
    <mergeCell ref="A4424:G4424"/>
    <mergeCell ref="A4425:H4425"/>
    <mergeCell ref="A4430:H4430"/>
    <mergeCell ref="A4431:H4431"/>
    <mergeCell ref="A4436:G4436"/>
    <mergeCell ref="A4437:G4437"/>
    <mergeCell ref="A4438:G4438"/>
    <mergeCell ref="A4439:H4439"/>
    <mergeCell ref="A4444:H4444"/>
    <mergeCell ref="A4445:H4445"/>
    <mergeCell ref="A4450:G4450"/>
    <mergeCell ref="A4451:G4451"/>
    <mergeCell ref="A4452:G4452"/>
    <mergeCell ref="A4453:H4453"/>
    <mergeCell ref="A4458:H4458"/>
    <mergeCell ref="A4459:H4459"/>
    <mergeCell ref="A4464:G4464"/>
    <mergeCell ref="A4465:G4465"/>
    <mergeCell ref="A4466:G4466"/>
    <mergeCell ref="A4467:H4467"/>
    <mergeCell ref="A4471:H4471"/>
    <mergeCell ref="A4472:H4472"/>
    <mergeCell ref="A4477:G4477"/>
    <mergeCell ref="A4478:G4478"/>
    <mergeCell ref="A4479:G4479"/>
    <mergeCell ref="A4480:H4480"/>
    <mergeCell ref="A4485:H4485"/>
    <mergeCell ref="A4486:H4486"/>
    <mergeCell ref="A4491:G4491"/>
    <mergeCell ref="A4492:G4492"/>
    <mergeCell ref="A4493:G4493"/>
    <mergeCell ref="A4494:H4494"/>
    <mergeCell ref="A4499:H4499"/>
    <mergeCell ref="A4500:H4500"/>
    <mergeCell ref="A4505:G4505"/>
    <mergeCell ref="A4506:G4506"/>
    <mergeCell ref="A4575:G4575"/>
    <mergeCell ref="A4576:G4576"/>
    <mergeCell ref="A4577:G4577"/>
    <mergeCell ref="A4578:H4578"/>
    <mergeCell ref="A4583:H4583"/>
    <mergeCell ref="A4584:H4584"/>
    <mergeCell ref="A4589:G4589"/>
    <mergeCell ref="A4590:G4590"/>
    <mergeCell ref="A4591:G4591"/>
    <mergeCell ref="A4592:H4592"/>
    <mergeCell ref="A4598:H4598"/>
    <mergeCell ref="A4599:H4599"/>
    <mergeCell ref="A4604:G4604"/>
    <mergeCell ref="A4605:G4605"/>
    <mergeCell ref="A4606:G4606"/>
    <mergeCell ref="A4607:H4607"/>
    <mergeCell ref="A4614:H4614"/>
    <mergeCell ref="A4615:H4615"/>
    <mergeCell ref="A4620:G4620"/>
    <mergeCell ref="A4621:G4621"/>
    <mergeCell ref="A4622:G4622"/>
    <mergeCell ref="A4623:H4623"/>
    <mergeCell ref="A4629:H4629"/>
    <mergeCell ref="A4630:H4630"/>
    <mergeCell ref="A4635:G4635"/>
    <mergeCell ref="A4636:G4636"/>
    <mergeCell ref="A4637:G4637"/>
    <mergeCell ref="A4638:H4638"/>
    <mergeCell ref="A4644:H4644"/>
    <mergeCell ref="A4645:H4645"/>
    <mergeCell ref="A4650:G4650"/>
    <mergeCell ref="A4651:G4651"/>
    <mergeCell ref="A4652:G4652"/>
    <mergeCell ref="A4653:H4653"/>
    <mergeCell ref="A4659:H4659"/>
    <mergeCell ref="A4660:H4660"/>
    <mergeCell ref="A4665:G4665"/>
    <mergeCell ref="A4666:G4666"/>
    <mergeCell ref="A4667:G4667"/>
    <mergeCell ref="A4668:H4668"/>
    <mergeCell ref="A4673:H4673"/>
    <mergeCell ref="A4674:H4674"/>
    <mergeCell ref="A4679:G4679"/>
    <mergeCell ref="A4680:G4680"/>
    <mergeCell ref="A4681:G4681"/>
    <mergeCell ref="A4682:H4682"/>
    <mergeCell ref="A4687:H4687"/>
    <mergeCell ref="A4688:H4688"/>
    <mergeCell ref="A4693:G4693"/>
    <mergeCell ref="A4694:G4694"/>
    <mergeCell ref="A4695:G4695"/>
    <mergeCell ref="A4696:H4696"/>
    <mergeCell ref="A4702:H4702"/>
    <mergeCell ref="A4703:H4703"/>
    <mergeCell ref="A4708:G4708"/>
    <mergeCell ref="A4709:G4709"/>
    <mergeCell ref="A4822:G4822"/>
    <mergeCell ref="A4823:H4823"/>
    <mergeCell ref="A4828:H4828"/>
    <mergeCell ref="A4829:H4829"/>
    <mergeCell ref="A4834:G4834"/>
    <mergeCell ref="A4835:G4835"/>
    <mergeCell ref="A4836:G4836"/>
    <mergeCell ref="A4837:H4837"/>
    <mergeCell ref="A4843:H4843"/>
    <mergeCell ref="A4844:H4844"/>
    <mergeCell ref="A4849:G4849"/>
    <mergeCell ref="A4850:G4850"/>
    <mergeCell ref="A4851:G4851"/>
    <mergeCell ref="A4852:H4852"/>
    <mergeCell ref="A4859:H4859"/>
    <mergeCell ref="A4860:H4860"/>
    <mergeCell ref="A4865:G4865"/>
    <mergeCell ref="A4866:G4866"/>
    <mergeCell ref="A4867:G4867"/>
    <mergeCell ref="A4868:H4868"/>
    <mergeCell ref="A4873:H4873"/>
    <mergeCell ref="A4874:H4874"/>
    <mergeCell ref="A4879:G4879"/>
    <mergeCell ref="A4880:G4880"/>
    <mergeCell ref="A4881:G4881"/>
    <mergeCell ref="A4882:H4882"/>
    <mergeCell ref="A4888:H4888"/>
    <mergeCell ref="A4889:H4889"/>
    <mergeCell ref="A4710:G4710"/>
    <mergeCell ref="A4711:H4711"/>
    <mergeCell ref="A4718:H4718"/>
    <mergeCell ref="A4719:H4719"/>
    <mergeCell ref="A4724:G4724"/>
    <mergeCell ref="A4725:G4725"/>
    <mergeCell ref="A4726:G4726"/>
    <mergeCell ref="A4727:H4727"/>
    <mergeCell ref="A4734:H4734"/>
    <mergeCell ref="A4735:H4735"/>
    <mergeCell ref="A4740:G4740"/>
    <mergeCell ref="A4741:G4741"/>
    <mergeCell ref="A4742:G4742"/>
    <mergeCell ref="A4743:H4743"/>
    <mergeCell ref="A4751:H4751"/>
    <mergeCell ref="A4752:H4752"/>
    <mergeCell ref="A4757:G4757"/>
    <mergeCell ref="A4758:G4758"/>
    <mergeCell ref="A4759:G4759"/>
    <mergeCell ref="A4760:H4760"/>
    <mergeCell ref="A4767:H4767"/>
    <mergeCell ref="A4768:H4768"/>
    <mergeCell ref="A4773:G4773"/>
    <mergeCell ref="A4774:G4774"/>
    <mergeCell ref="A4775:G4775"/>
    <mergeCell ref="A4776:H4776"/>
    <mergeCell ref="A4782:H4782"/>
    <mergeCell ref="A4783:H4783"/>
    <mergeCell ref="A4788:G4788"/>
    <mergeCell ref="A4789:G4789"/>
    <mergeCell ref="A4790:G4790"/>
    <mergeCell ref="A4791:H4791"/>
    <mergeCell ref="A4798:H4798"/>
    <mergeCell ref="A4799:H4799"/>
    <mergeCell ref="A4804:G4804"/>
    <mergeCell ref="A4805:G4805"/>
    <mergeCell ref="A4806:G4806"/>
    <mergeCell ref="A4807:H4807"/>
    <mergeCell ref="A4814:H4814"/>
    <mergeCell ref="A4815:H4815"/>
    <mergeCell ref="A4820:G4820"/>
    <mergeCell ref="A4821:G4821"/>
    <mergeCell ref="A4894:G4894"/>
    <mergeCell ref="A4895:G4895"/>
    <mergeCell ref="A4896:G4896"/>
    <mergeCell ref="A4897:H4897"/>
    <mergeCell ref="A4902:H4902"/>
    <mergeCell ref="A4903:H4903"/>
    <mergeCell ref="A4908:G4908"/>
    <mergeCell ref="A5493:H5493"/>
    <mergeCell ref="A5494:H5494"/>
    <mergeCell ref="A5499:G5499"/>
    <mergeCell ref="A5500:G5500"/>
    <mergeCell ref="A5501:G5501"/>
    <mergeCell ref="A5502:H5502"/>
    <mergeCell ref="A5508:H5508"/>
    <mergeCell ref="A5509:H5509"/>
    <mergeCell ref="A5514:G5514"/>
    <mergeCell ref="A5515:G5515"/>
    <mergeCell ref="A5516:G5516"/>
    <mergeCell ref="A5517:H5517"/>
    <mergeCell ref="A5523:H5523"/>
    <mergeCell ref="A5524:H5524"/>
    <mergeCell ref="A5344:G5344"/>
    <mergeCell ref="A5345:H5345"/>
    <mergeCell ref="A5352:H5352"/>
    <mergeCell ref="A5353:H5353"/>
    <mergeCell ref="A5358:G5358"/>
    <mergeCell ref="A5359:G5359"/>
    <mergeCell ref="A5360:G5360"/>
    <mergeCell ref="A5361:H5361"/>
    <mergeCell ref="A5368:H5368"/>
    <mergeCell ref="A5369:H5369"/>
    <mergeCell ref="A5374:G5374"/>
    <mergeCell ref="A5375:G5375"/>
    <mergeCell ref="A5376:G5376"/>
    <mergeCell ref="A5377:H5377"/>
    <mergeCell ref="A5385:H5385"/>
    <mergeCell ref="A5386:H5386"/>
    <mergeCell ref="A5391:G5391"/>
    <mergeCell ref="A5392:G5392"/>
    <mergeCell ref="A5393:G5393"/>
    <mergeCell ref="A5394:H5394"/>
    <mergeCell ref="A5402:H5402"/>
    <mergeCell ref="A5403:H5403"/>
    <mergeCell ref="A5408:G5408"/>
    <mergeCell ref="A5409:G5409"/>
    <mergeCell ref="A5410:G5410"/>
    <mergeCell ref="A5411:H5411"/>
    <mergeCell ref="A5417:H5417"/>
    <mergeCell ref="A5418:H5418"/>
    <mergeCell ref="A5423:G5423"/>
    <mergeCell ref="A5424:G5424"/>
    <mergeCell ref="A5425:G5425"/>
    <mergeCell ref="A5426:H5426"/>
    <mergeCell ref="A5433:H5433"/>
    <mergeCell ref="A5434:H5434"/>
    <mergeCell ref="A5439:G5439"/>
    <mergeCell ref="A5440:G5440"/>
    <mergeCell ref="A5441:G5441"/>
    <mergeCell ref="A5442:H5442"/>
    <mergeCell ref="A5448:H5448"/>
    <mergeCell ref="A5449:H5449"/>
    <mergeCell ref="A5454:G5454"/>
    <mergeCell ref="A5455:G5455"/>
    <mergeCell ref="A5529:G5529"/>
    <mergeCell ref="A5530:G5530"/>
    <mergeCell ref="A5531:G5531"/>
    <mergeCell ref="A5532:H5532"/>
    <mergeCell ref="A5538:H5538"/>
    <mergeCell ref="A5539:H5539"/>
    <mergeCell ref="A5544:G5544"/>
    <mergeCell ref="A5773:G5773"/>
    <mergeCell ref="A5774:H5774"/>
    <mergeCell ref="A5780:H5780"/>
    <mergeCell ref="A5781:H5781"/>
    <mergeCell ref="A5786:G5786"/>
    <mergeCell ref="A5787:G5787"/>
    <mergeCell ref="A5788:G5788"/>
    <mergeCell ref="A5789:H5789"/>
    <mergeCell ref="A5796:H5796"/>
    <mergeCell ref="A5797:H5797"/>
    <mergeCell ref="A5802:G5802"/>
    <mergeCell ref="A5803:G5803"/>
    <mergeCell ref="A5804:G5804"/>
    <mergeCell ref="A5805:H5805"/>
    <mergeCell ref="A5811:H5811"/>
    <mergeCell ref="A5812:H5812"/>
    <mergeCell ref="A5817:G5817"/>
    <mergeCell ref="A5818:G5818"/>
    <mergeCell ref="A5819:G5819"/>
    <mergeCell ref="A5820:H5820"/>
    <mergeCell ref="A5826:H5826"/>
    <mergeCell ref="A5827:H5827"/>
    <mergeCell ref="A5832:G5832"/>
    <mergeCell ref="A5833:G5833"/>
    <mergeCell ref="A5834:G5834"/>
    <mergeCell ref="A5835:H5835"/>
    <mergeCell ref="A5842:H5842"/>
    <mergeCell ref="A5843:H5843"/>
    <mergeCell ref="A5664:G5664"/>
    <mergeCell ref="A5665:H5665"/>
    <mergeCell ref="A5671:H5671"/>
    <mergeCell ref="A5672:H5672"/>
    <mergeCell ref="A5677:G5677"/>
    <mergeCell ref="A5678:G5678"/>
    <mergeCell ref="A5679:G5679"/>
    <mergeCell ref="A5680:H5680"/>
    <mergeCell ref="A5688:H5688"/>
    <mergeCell ref="A5689:H5689"/>
    <mergeCell ref="A5694:G5694"/>
    <mergeCell ref="A5695:G5695"/>
    <mergeCell ref="A5696:G5696"/>
    <mergeCell ref="A5697:H5697"/>
    <mergeCell ref="A5705:H5705"/>
    <mergeCell ref="A5706:H5706"/>
    <mergeCell ref="A5711:G5711"/>
    <mergeCell ref="A5712:G5712"/>
    <mergeCell ref="A5713:G5713"/>
    <mergeCell ref="A5714:H5714"/>
    <mergeCell ref="A5721:H5721"/>
    <mergeCell ref="A5722:H5722"/>
    <mergeCell ref="A5727:G5727"/>
    <mergeCell ref="A5728:G5728"/>
    <mergeCell ref="A5729:G5729"/>
    <mergeCell ref="A5730:H5730"/>
    <mergeCell ref="A5736:H5736"/>
    <mergeCell ref="A5737:H5737"/>
    <mergeCell ref="A5742:G5742"/>
    <mergeCell ref="A5743:G5743"/>
    <mergeCell ref="A5744:G5744"/>
    <mergeCell ref="A5745:H5745"/>
    <mergeCell ref="A5750:H5750"/>
    <mergeCell ref="A5751:H5751"/>
    <mergeCell ref="A5756:G5756"/>
    <mergeCell ref="A5757:G5757"/>
    <mergeCell ref="A5758:G5758"/>
    <mergeCell ref="A5759:H5759"/>
    <mergeCell ref="A5765:H5765"/>
    <mergeCell ref="A5766:H5766"/>
    <mergeCell ref="A5771:G5771"/>
    <mergeCell ref="A5772:G5772"/>
    <mergeCell ref="A5848:G5848"/>
    <mergeCell ref="A5849:G5849"/>
    <mergeCell ref="A5850:G5850"/>
    <mergeCell ref="A5851:H5851"/>
    <mergeCell ref="A5856:H5856"/>
    <mergeCell ref="A5857:H5857"/>
    <mergeCell ref="A5862:G5862"/>
    <mergeCell ref="A5981:G5981"/>
    <mergeCell ref="A5982:H5982"/>
    <mergeCell ref="A5988:H5988"/>
    <mergeCell ref="A5989:H5989"/>
    <mergeCell ref="A5994:G5994"/>
    <mergeCell ref="A5995:G5995"/>
    <mergeCell ref="A5996:G5996"/>
    <mergeCell ref="A6021:H6021"/>
    <mergeCell ref="A6022:H6022"/>
    <mergeCell ref="A6027:G6027"/>
    <mergeCell ref="A6028:G6028"/>
    <mergeCell ref="A6029:G6029"/>
    <mergeCell ref="A6030:H6030"/>
    <mergeCell ref="A5997:H5997"/>
    <mergeCell ref="A6003:H6003"/>
    <mergeCell ref="A6004:H6004"/>
    <mergeCell ref="A6009:G6009"/>
    <mergeCell ref="A6010:G6010"/>
    <mergeCell ref="A6011:G6011"/>
    <mergeCell ref="A6012:H6012"/>
    <mergeCell ref="A5863:G5863"/>
    <mergeCell ref="A5864:G5864"/>
    <mergeCell ref="A5865:H5865"/>
    <mergeCell ref="A5870:H5870"/>
    <mergeCell ref="A5871:H5871"/>
    <mergeCell ref="A5876:G5876"/>
    <mergeCell ref="A5877:G5877"/>
    <mergeCell ref="A5878:G5878"/>
    <mergeCell ref="A5879:H5879"/>
    <mergeCell ref="A5886:H5886"/>
    <mergeCell ref="A5887:H5887"/>
    <mergeCell ref="A5892:G5892"/>
    <mergeCell ref="A5893:G5893"/>
    <mergeCell ref="A5894:G5894"/>
    <mergeCell ref="A5895:H5895"/>
    <mergeCell ref="A5901:H5901"/>
    <mergeCell ref="A5902:H5902"/>
    <mergeCell ref="A5907:G5907"/>
    <mergeCell ref="A5908:G5908"/>
    <mergeCell ref="A5909:G5909"/>
    <mergeCell ref="A5910:H5910"/>
    <mergeCell ref="A5915:H5915"/>
    <mergeCell ref="A5916:H5916"/>
    <mergeCell ref="A5921:G5921"/>
    <mergeCell ref="A5922:G5922"/>
    <mergeCell ref="A5923:G5923"/>
    <mergeCell ref="A5924:H5924"/>
    <mergeCell ref="A5928:H5928"/>
    <mergeCell ref="A5929:H5929"/>
    <mergeCell ref="A5934:G5934"/>
    <mergeCell ref="A5935:G5935"/>
    <mergeCell ref="A5936:G5936"/>
    <mergeCell ref="A5937:H5937"/>
    <mergeCell ref="A5943:H5943"/>
    <mergeCell ref="A5944:H5944"/>
    <mergeCell ref="A5949:G5949"/>
    <mergeCell ref="A5950:G5950"/>
    <mergeCell ref="A5951:G5951"/>
    <mergeCell ref="A5952:H5952"/>
    <mergeCell ref="A5957:H5957"/>
    <mergeCell ref="A5958:H5958"/>
    <mergeCell ref="A5963:G5963"/>
    <mergeCell ref="A5964:G5964"/>
    <mergeCell ref="A5965:G5965"/>
    <mergeCell ref="A5966:H5966"/>
    <mergeCell ref="A5973:H5973"/>
    <mergeCell ref="A5974:H5974"/>
    <mergeCell ref="A5979:G5979"/>
    <mergeCell ref="A5980:G5980"/>
    <mergeCell ref="A4909:G4909"/>
    <mergeCell ref="A4910:G4910"/>
    <mergeCell ref="A4911:H4911"/>
    <mergeCell ref="A4918:H4918"/>
    <mergeCell ref="A4919:H4919"/>
    <mergeCell ref="A4924:G4924"/>
    <mergeCell ref="A4925:G4925"/>
    <mergeCell ref="A4926:G4926"/>
    <mergeCell ref="A4927:H4927"/>
    <mergeCell ref="A4931:H4931"/>
    <mergeCell ref="A4932:H4932"/>
    <mergeCell ref="A4937:G4937"/>
    <mergeCell ref="A4938:G4938"/>
    <mergeCell ref="A4939:G4939"/>
    <mergeCell ref="A4940:H4940"/>
    <mergeCell ref="A4946:H4946"/>
    <mergeCell ref="A4947:H4947"/>
    <mergeCell ref="A4952:G4952"/>
    <mergeCell ref="A4953:G4953"/>
    <mergeCell ref="A4954:G4954"/>
    <mergeCell ref="A4955:H4955"/>
    <mergeCell ref="A4962:H4962"/>
    <mergeCell ref="A4963:H4963"/>
    <mergeCell ref="A4968:G4968"/>
    <mergeCell ref="A4969:G4969"/>
    <mergeCell ref="A4970:G4970"/>
    <mergeCell ref="A4971:H4971"/>
    <mergeCell ref="A4976:H4976"/>
    <mergeCell ref="A4977:H4977"/>
    <mergeCell ref="A4982:G4982"/>
    <mergeCell ref="A4983:G4983"/>
    <mergeCell ref="A4984:G4984"/>
    <mergeCell ref="A4985:H4985"/>
    <mergeCell ref="A4991:H4991"/>
    <mergeCell ref="A4992:H4992"/>
    <mergeCell ref="A4997:G4997"/>
    <mergeCell ref="A4998:G4998"/>
    <mergeCell ref="A4999:G4999"/>
    <mergeCell ref="A5000:H5000"/>
    <mergeCell ref="A5006:H5006"/>
    <mergeCell ref="A5007:H5007"/>
    <mergeCell ref="A5012:G5012"/>
    <mergeCell ref="A5013:G5013"/>
    <mergeCell ref="A5014:G5014"/>
    <mergeCell ref="A5015:H5015"/>
    <mergeCell ref="A5022:H5022"/>
    <mergeCell ref="A5023:H5023"/>
    <mergeCell ref="A5028:G5028"/>
    <mergeCell ref="A5029:G5029"/>
    <mergeCell ref="A5135:G5135"/>
    <mergeCell ref="A5136:H5136"/>
    <mergeCell ref="A5143:H5143"/>
    <mergeCell ref="A5144:H5144"/>
    <mergeCell ref="A5149:G5149"/>
    <mergeCell ref="A5150:G5150"/>
    <mergeCell ref="A5151:G5151"/>
    <mergeCell ref="A5152:H5152"/>
    <mergeCell ref="A5158:H5158"/>
    <mergeCell ref="A5159:H5159"/>
    <mergeCell ref="A5164:G5164"/>
    <mergeCell ref="A5165:G5165"/>
    <mergeCell ref="A5166:G5166"/>
    <mergeCell ref="A5167:H5167"/>
    <mergeCell ref="A5173:H5173"/>
    <mergeCell ref="A5174:H5174"/>
    <mergeCell ref="A5179:G5179"/>
    <mergeCell ref="A5180:G5180"/>
    <mergeCell ref="A5181:G5181"/>
    <mergeCell ref="A5182:H5182"/>
    <mergeCell ref="A5188:H5188"/>
    <mergeCell ref="A5189:H5189"/>
    <mergeCell ref="A5194:G5194"/>
    <mergeCell ref="A5195:G5195"/>
    <mergeCell ref="A5196:G5196"/>
    <mergeCell ref="A5197:H5197"/>
    <mergeCell ref="A5202:H5202"/>
    <mergeCell ref="A5203:H5203"/>
    <mergeCell ref="A5030:G5030"/>
    <mergeCell ref="A5031:H5031"/>
    <mergeCell ref="A5035:H5035"/>
    <mergeCell ref="A5036:H5036"/>
    <mergeCell ref="A5041:G5041"/>
    <mergeCell ref="A5042:G5042"/>
    <mergeCell ref="A5043:G5043"/>
    <mergeCell ref="A5044:H5044"/>
    <mergeCell ref="A5049:H5049"/>
    <mergeCell ref="A5050:H5050"/>
    <mergeCell ref="A5055:G5055"/>
    <mergeCell ref="A5056:G5056"/>
    <mergeCell ref="A5057:G5057"/>
    <mergeCell ref="A5058:H5058"/>
    <mergeCell ref="A5064:H5064"/>
    <mergeCell ref="A5065:H5065"/>
    <mergeCell ref="A5070:G5070"/>
    <mergeCell ref="A5071:G5071"/>
    <mergeCell ref="A5072:G5072"/>
    <mergeCell ref="A5073:H5073"/>
    <mergeCell ref="A5080:H5080"/>
    <mergeCell ref="A5081:H5081"/>
    <mergeCell ref="A5086:G5086"/>
    <mergeCell ref="A5087:G5087"/>
    <mergeCell ref="A5088:G5088"/>
    <mergeCell ref="A5089:H5089"/>
    <mergeCell ref="A5095:H5095"/>
    <mergeCell ref="A5096:H5096"/>
    <mergeCell ref="A5101:G5101"/>
    <mergeCell ref="A5102:G5102"/>
    <mergeCell ref="A5103:G5103"/>
    <mergeCell ref="A5104:H5104"/>
    <mergeCell ref="A5111:H5111"/>
    <mergeCell ref="A5112:H5112"/>
    <mergeCell ref="A5117:G5117"/>
    <mergeCell ref="A5118:G5118"/>
    <mergeCell ref="A5119:G5119"/>
    <mergeCell ref="A5120:H5120"/>
    <mergeCell ref="A5127:H5127"/>
    <mergeCell ref="A5128:H5128"/>
    <mergeCell ref="A5133:G5133"/>
    <mergeCell ref="A5134:G5134"/>
    <mergeCell ref="A5208:G5208"/>
    <mergeCell ref="A5209:G5209"/>
    <mergeCell ref="A5210:G5210"/>
    <mergeCell ref="A5211:H5211"/>
    <mergeCell ref="A5216:H5216"/>
    <mergeCell ref="A5217:H5217"/>
    <mergeCell ref="A5222:G5222"/>
    <mergeCell ref="A5223:G5223"/>
    <mergeCell ref="A5224:G5224"/>
    <mergeCell ref="A5225:H5225"/>
    <mergeCell ref="A5230:H5230"/>
    <mergeCell ref="A5231:H5231"/>
    <mergeCell ref="A5236:G5236"/>
    <mergeCell ref="A5237:G5237"/>
    <mergeCell ref="A5238:G5238"/>
    <mergeCell ref="A5239:H5239"/>
    <mergeCell ref="A5244:H5244"/>
    <mergeCell ref="A5245:H5245"/>
    <mergeCell ref="A5250:G5250"/>
    <mergeCell ref="A5251:G5251"/>
    <mergeCell ref="A5252:G5252"/>
    <mergeCell ref="A5253:H5253"/>
    <mergeCell ref="A5259:H5259"/>
    <mergeCell ref="A5260:H5260"/>
    <mergeCell ref="A5265:G5265"/>
    <mergeCell ref="A5266:G5266"/>
    <mergeCell ref="A5267:G5267"/>
    <mergeCell ref="A5268:H5268"/>
    <mergeCell ref="A5274:H5274"/>
    <mergeCell ref="A5275:H5275"/>
    <mergeCell ref="A5280:G5280"/>
    <mergeCell ref="A5281:G5281"/>
    <mergeCell ref="A5282:G5282"/>
    <mergeCell ref="A5283:H5283"/>
    <mergeCell ref="A5289:H5289"/>
    <mergeCell ref="A5290:H5290"/>
    <mergeCell ref="A5295:G5295"/>
    <mergeCell ref="A5296:G5296"/>
    <mergeCell ref="A5297:G5297"/>
    <mergeCell ref="A5298:H5298"/>
    <mergeCell ref="A5306:H5306"/>
    <mergeCell ref="A5307:H5307"/>
    <mergeCell ref="A5312:G5312"/>
    <mergeCell ref="A5313:G5313"/>
    <mergeCell ref="A5314:G5314"/>
    <mergeCell ref="A5315:H5315"/>
    <mergeCell ref="A5321:H5321"/>
    <mergeCell ref="A5322:H5322"/>
    <mergeCell ref="A5327:G5327"/>
    <mergeCell ref="A5328:G5328"/>
    <mergeCell ref="A5329:G5329"/>
    <mergeCell ref="A5330:H5330"/>
    <mergeCell ref="A5336:H5336"/>
    <mergeCell ref="A5337:H5337"/>
    <mergeCell ref="A5342:G5342"/>
    <mergeCell ref="A5343:G5343"/>
    <mergeCell ref="A5456:G5456"/>
    <mergeCell ref="A5457:H5457"/>
    <mergeCell ref="A5463:H5463"/>
    <mergeCell ref="A5464:H5464"/>
    <mergeCell ref="A5469:G5469"/>
    <mergeCell ref="A5470:G5470"/>
    <mergeCell ref="A5471:G5471"/>
    <mergeCell ref="A5472:H5472"/>
    <mergeCell ref="A5478:H5478"/>
    <mergeCell ref="A5479:H5479"/>
    <mergeCell ref="A5484:G5484"/>
    <mergeCell ref="A5485:G5485"/>
    <mergeCell ref="A5486:G5486"/>
    <mergeCell ref="A5487:H5487"/>
    <mergeCell ref="A5545:G5545"/>
    <mergeCell ref="A5546:G5546"/>
    <mergeCell ref="A5547:H5547"/>
    <mergeCell ref="A5554:H5554"/>
    <mergeCell ref="A5555:H5555"/>
    <mergeCell ref="A5560:G5560"/>
    <mergeCell ref="A5561:G5561"/>
    <mergeCell ref="A5562:G5562"/>
    <mergeCell ref="A5563:H5563"/>
    <mergeCell ref="A5569:H5569"/>
    <mergeCell ref="A5570:H5570"/>
    <mergeCell ref="A5575:G5575"/>
    <mergeCell ref="A5576:G5576"/>
    <mergeCell ref="A5577:G5577"/>
    <mergeCell ref="A5578:H5578"/>
    <mergeCell ref="A5583:H5583"/>
    <mergeCell ref="A5584:H5584"/>
    <mergeCell ref="A5589:G5589"/>
    <mergeCell ref="A5590:G5590"/>
    <mergeCell ref="A5591:G5591"/>
    <mergeCell ref="A5592:H5592"/>
    <mergeCell ref="A5598:H5598"/>
    <mergeCell ref="A5599:H5599"/>
    <mergeCell ref="A5604:G5604"/>
    <mergeCell ref="A5605:G5605"/>
    <mergeCell ref="A5606:G5606"/>
    <mergeCell ref="A5607:H5607"/>
    <mergeCell ref="A5613:H5613"/>
    <mergeCell ref="A5614:H5614"/>
    <mergeCell ref="A5619:G5619"/>
    <mergeCell ref="A5620:G5620"/>
    <mergeCell ref="A5621:G5621"/>
    <mergeCell ref="A5622:H5622"/>
    <mergeCell ref="A5628:H5628"/>
    <mergeCell ref="A5629:H5629"/>
    <mergeCell ref="A5634:G5634"/>
    <mergeCell ref="A5635:G5635"/>
    <mergeCell ref="A5636:G5636"/>
    <mergeCell ref="A5637:H5637"/>
    <mergeCell ref="A5642:H5642"/>
    <mergeCell ref="A5643:H5643"/>
    <mergeCell ref="A5648:G5648"/>
    <mergeCell ref="A5649:G5649"/>
    <mergeCell ref="A5650:G5650"/>
    <mergeCell ref="A5651:H5651"/>
    <mergeCell ref="A5656:H5656"/>
    <mergeCell ref="A5657:H5657"/>
    <mergeCell ref="A5662:G5662"/>
    <mergeCell ref="A5663:G5663"/>
    <mergeCell ref="A101:H101"/>
    <mergeCell ref="A102:H102"/>
    <mergeCell ref="A107:G107"/>
    <mergeCell ref="A108:G108"/>
    <mergeCell ref="A109:G109"/>
    <mergeCell ref="A110:H110"/>
    <mergeCell ref="A114:H114"/>
    <mergeCell ref="A115:H115"/>
    <mergeCell ref="A120:G120"/>
    <mergeCell ref="A121:G121"/>
    <mergeCell ref="A122:G122"/>
    <mergeCell ref="A123:H123"/>
    <mergeCell ref="A128:H128"/>
    <mergeCell ref="A129:H129"/>
    <mergeCell ref="A1:H1"/>
    <mergeCell ref="A2:H2"/>
    <mergeCell ref="A7:G7"/>
    <mergeCell ref="A8:G8"/>
    <mergeCell ref="A9:G9"/>
    <mergeCell ref="A10:H10"/>
    <mergeCell ref="A15:H15"/>
    <mergeCell ref="A16:H16"/>
    <mergeCell ref="A21:G21"/>
    <mergeCell ref="A22:G22"/>
    <mergeCell ref="A23:G23"/>
    <mergeCell ref="A24:H24"/>
    <mergeCell ref="A29:H29"/>
    <mergeCell ref="A30:H30"/>
    <mergeCell ref="A35:G35"/>
    <mergeCell ref="A36:G36"/>
    <mergeCell ref="A37:G37"/>
    <mergeCell ref="A38:H38"/>
    <mergeCell ref="A43:H43"/>
    <mergeCell ref="A44:H44"/>
    <mergeCell ref="A49:G49"/>
    <mergeCell ref="A50:G50"/>
    <mergeCell ref="A51:G51"/>
    <mergeCell ref="A52:H52"/>
    <mergeCell ref="A57:H57"/>
    <mergeCell ref="A58:H58"/>
    <mergeCell ref="A63:G63"/>
    <mergeCell ref="A64:G64"/>
    <mergeCell ref="A65:G65"/>
    <mergeCell ref="A66:H66"/>
    <mergeCell ref="A72:H72"/>
    <mergeCell ref="A73:H73"/>
    <mergeCell ref="A78:G78"/>
    <mergeCell ref="A79:G79"/>
    <mergeCell ref="A80:G80"/>
    <mergeCell ref="A81:H81"/>
    <mergeCell ref="A86:H86"/>
    <mergeCell ref="A87:H87"/>
    <mergeCell ref="A92:G92"/>
    <mergeCell ref="A93:G93"/>
    <mergeCell ref="A94:G94"/>
    <mergeCell ref="A95:H95"/>
    <mergeCell ref="A134:G134"/>
    <mergeCell ref="A135:G135"/>
    <mergeCell ref="A136:G136"/>
    <mergeCell ref="A137:H137"/>
    <mergeCell ref="A142:H142"/>
    <mergeCell ref="A143:H143"/>
    <mergeCell ref="A148:G148"/>
    <mergeCell ref="A149:G149"/>
    <mergeCell ref="A150:G150"/>
    <mergeCell ref="A151:H151"/>
    <mergeCell ref="A155:H155"/>
    <mergeCell ref="A156:H156"/>
    <mergeCell ref="A161:G161"/>
    <mergeCell ref="A162:G162"/>
    <mergeCell ref="A163:G163"/>
    <mergeCell ref="A164:H164"/>
    <mergeCell ref="A169:H169"/>
    <mergeCell ref="A170:H170"/>
    <mergeCell ref="A175:G175"/>
    <mergeCell ref="A176:G176"/>
    <mergeCell ref="A177:G177"/>
    <mergeCell ref="A178:H178"/>
    <mergeCell ref="A184:H184"/>
    <mergeCell ref="A185:H185"/>
    <mergeCell ref="A190:G190"/>
    <mergeCell ref="A191:G191"/>
    <mergeCell ref="A192:G192"/>
    <mergeCell ref="A193:H193"/>
    <mergeCell ref="A200:H200"/>
    <mergeCell ref="A201:H201"/>
    <mergeCell ref="A206:G206"/>
    <mergeCell ref="A207:G207"/>
    <mergeCell ref="A208:G208"/>
    <mergeCell ref="A209:H209"/>
    <mergeCell ref="A215:H215"/>
    <mergeCell ref="A216:H216"/>
    <mergeCell ref="A221:G221"/>
    <mergeCell ref="A222:G222"/>
    <mergeCell ref="A223:G223"/>
    <mergeCell ref="A224:H224"/>
    <mergeCell ref="A231:H231"/>
    <mergeCell ref="A232:H232"/>
    <mergeCell ref="A237:G237"/>
    <mergeCell ref="A238:G238"/>
    <mergeCell ref="A239:G239"/>
    <mergeCell ref="A240:H240"/>
    <mergeCell ref="A246:H246"/>
    <mergeCell ref="A247:H247"/>
    <mergeCell ref="A252:G252"/>
    <mergeCell ref="A253:G253"/>
    <mergeCell ref="A254:G254"/>
    <mergeCell ref="A255:H255"/>
    <mergeCell ref="A260:H260"/>
    <mergeCell ref="A261:H261"/>
    <mergeCell ref="A266:G266"/>
    <mergeCell ref="A267:G267"/>
    <mergeCell ref="A375:G375"/>
    <mergeCell ref="A376:H376"/>
    <mergeCell ref="A382:H382"/>
    <mergeCell ref="A383:H383"/>
    <mergeCell ref="A388:G388"/>
    <mergeCell ref="A389:G389"/>
    <mergeCell ref="A390:G390"/>
    <mergeCell ref="A391:H391"/>
    <mergeCell ref="A397:H397"/>
    <mergeCell ref="A398:H398"/>
    <mergeCell ref="A403:G403"/>
    <mergeCell ref="A404:G404"/>
    <mergeCell ref="A405:G405"/>
    <mergeCell ref="A406:H406"/>
    <mergeCell ref="A411:H411"/>
    <mergeCell ref="A412:H412"/>
    <mergeCell ref="A417:G417"/>
    <mergeCell ref="A418:G418"/>
    <mergeCell ref="A419:G419"/>
    <mergeCell ref="A420:H420"/>
    <mergeCell ref="A427:H427"/>
    <mergeCell ref="A428:H428"/>
    <mergeCell ref="A433:G433"/>
    <mergeCell ref="A434:G434"/>
    <mergeCell ref="A435:G435"/>
    <mergeCell ref="A436:H436"/>
    <mergeCell ref="A442:H442"/>
    <mergeCell ref="A443:H443"/>
    <mergeCell ref="A268:G268"/>
    <mergeCell ref="A269:H269"/>
    <mergeCell ref="A275:H275"/>
    <mergeCell ref="A276:H276"/>
    <mergeCell ref="A281:G281"/>
    <mergeCell ref="A282:G282"/>
    <mergeCell ref="A283:G283"/>
    <mergeCell ref="A284:H284"/>
    <mergeCell ref="A291:H291"/>
    <mergeCell ref="A292:H292"/>
    <mergeCell ref="A297:G297"/>
    <mergeCell ref="A298:G298"/>
    <mergeCell ref="A299:G299"/>
    <mergeCell ref="A300:H300"/>
    <mergeCell ref="A305:H305"/>
    <mergeCell ref="A306:H306"/>
    <mergeCell ref="A311:G311"/>
    <mergeCell ref="A312:G312"/>
    <mergeCell ref="A313:G313"/>
    <mergeCell ref="A314:H314"/>
    <mergeCell ref="A320:H320"/>
    <mergeCell ref="A321:H321"/>
    <mergeCell ref="A326:G326"/>
    <mergeCell ref="A327:G327"/>
    <mergeCell ref="A328:G328"/>
    <mergeCell ref="A329:H329"/>
    <mergeCell ref="A336:H336"/>
    <mergeCell ref="A337:H337"/>
    <mergeCell ref="A342:G342"/>
    <mergeCell ref="A343:G343"/>
    <mergeCell ref="A344:G344"/>
    <mergeCell ref="A345:H345"/>
    <mergeCell ref="A351:H351"/>
    <mergeCell ref="A352:H352"/>
    <mergeCell ref="A357:G357"/>
    <mergeCell ref="A358:G358"/>
    <mergeCell ref="A359:G359"/>
    <mergeCell ref="A360:H360"/>
    <mergeCell ref="A367:H367"/>
    <mergeCell ref="A368:H368"/>
    <mergeCell ref="A373:G373"/>
    <mergeCell ref="A374:G374"/>
    <mergeCell ref="A448:G448"/>
    <mergeCell ref="A449:G449"/>
    <mergeCell ref="A450:G450"/>
    <mergeCell ref="A451:H451"/>
    <mergeCell ref="A457:H457"/>
    <mergeCell ref="A458:H458"/>
    <mergeCell ref="A463:G463"/>
    <mergeCell ref="A464:G464"/>
    <mergeCell ref="A465:G465"/>
    <mergeCell ref="A466:H466"/>
    <mergeCell ref="A471:H471"/>
    <mergeCell ref="A472:H472"/>
    <mergeCell ref="A477:G477"/>
    <mergeCell ref="A478:G478"/>
    <mergeCell ref="A479:G479"/>
    <mergeCell ref="A480:H480"/>
    <mergeCell ref="A487:H487"/>
    <mergeCell ref="A488:H488"/>
    <mergeCell ref="A493:G493"/>
    <mergeCell ref="A494:G494"/>
    <mergeCell ref="A495:G495"/>
    <mergeCell ref="A496:H496"/>
    <mergeCell ref="A503:H503"/>
    <mergeCell ref="A504:H504"/>
    <mergeCell ref="A509:G509"/>
    <mergeCell ref="A510:G510"/>
    <mergeCell ref="A511:G511"/>
    <mergeCell ref="A512:H512"/>
    <mergeCell ref="A520:H520"/>
    <mergeCell ref="A521:H521"/>
    <mergeCell ref="A526:G526"/>
    <mergeCell ref="A527:G527"/>
    <mergeCell ref="A528:G528"/>
    <mergeCell ref="A529:H529"/>
    <mergeCell ref="A536:H536"/>
    <mergeCell ref="A537:H537"/>
    <mergeCell ref="A542:G542"/>
    <mergeCell ref="A543:G543"/>
    <mergeCell ref="A544:G544"/>
    <mergeCell ref="A545:H545"/>
    <mergeCell ref="A554:H554"/>
    <mergeCell ref="A555:H555"/>
    <mergeCell ref="A560:G560"/>
    <mergeCell ref="A561:G561"/>
    <mergeCell ref="A562:G562"/>
    <mergeCell ref="A563:H563"/>
    <mergeCell ref="A571:H571"/>
    <mergeCell ref="A572:H572"/>
    <mergeCell ref="A577:G577"/>
    <mergeCell ref="A578:G578"/>
    <mergeCell ref="A579:G579"/>
    <mergeCell ref="A580:H580"/>
    <mergeCell ref="A588:H588"/>
    <mergeCell ref="A589:H589"/>
    <mergeCell ref="A594:G594"/>
    <mergeCell ref="A595:G595"/>
    <mergeCell ref="A699:G699"/>
    <mergeCell ref="A700:H700"/>
    <mergeCell ref="A706:H706"/>
    <mergeCell ref="A707:H707"/>
    <mergeCell ref="A712:G712"/>
    <mergeCell ref="A713:G713"/>
    <mergeCell ref="A714:G714"/>
    <mergeCell ref="A715:H715"/>
    <mergeCell ref="A720:H720"/>
    <mergeCell ref="A721:H721"/>
    <mergeCell ref="A726:G726"/>
    <mergeCell ref="A727:G727"/>
    <mergeCell ref="A728:G728"/>
    <mergeCell ref="A729:H729"/>
    <mergeCell ref="A734:H734"/>
    <mergeCell ref="A735:H735"/>
    <mergeCell ref="A740:G740"/>
    <mergeCell ref="A741:G741"/>
    <mergeCell ref="A742:G742"/>
    <mergeCell ref="A743:H743"/>
    <mergeCell ref="A750:H750"/>
    <mergeCell ref="A751:H751"/>
    <mergeCell ref="A756:G756"/>
    <mergeCell ref="A757:G757"/>
    <mergeCell ref="A758:G758"/>
    <mergeCell ref="A759:H759"/>
    <mergeCell ref="A765:H765"/>
    <mergeCell ref="A766:H766"/>
    <mergeCell ref="A596:G596"/>
    <mergeCell ref="A597:H597"/>
    <mergeCell ref="A601:H601"/>
    <mergeCell ref="A602:H602"/>
    <mergeCell ref="A607:G607"/>
    <mergeCell ref="A608:G608"/>
    <mergeCell ref="A609:G609"/>
    <mergeCell ref="A610:H610"/>
    <mergeCell ref="A615:H615"/>
    <mergeCell ref="A616:H616"/>
    <mergeCell ref="A621:G621"/>
    <mergeCell ref="A622:G622"/>
    <mergeCell ref="A623:G623"/>
    <mergeCell ref="A624:H624"/>
    <mergeCell ref="A628:H628"/>
    <mergeCell ref="A629:H629"/>
    <mergeCell ref="A634:G634"/>
    <mergeCell ref="A635:G635"/>
    <mergeCell ref="A636:G636"/>
    <mergeCell ref="A637:H637"/>
    <mergeCell ref="A643:H643"/>
    <mergeCell ref="A644:H644"/>
    <mergeCell ref="A649:G649"/>
    <mergeCell ref="A650:G650"/>
    <mergeCell ref="A651:G651"/>
    <mergeCell ref="A652:H652"/>
    <mergeCell ref="A659:H659"/>
    <mergeCell ref="A660:H660"/>
    <mergeCell ref="A665:G665"/>
    <mergeCell ref="A666:G666"/>
    <mergeCell ref="A667:G667"/>
    <mergeCell ref="A668:H668"/>
    <mergeCell ref="A675:H675"/>
    <mergeCell ref="A676:H676"/>
    <mergeCell ref="A681:G681"/>
    <mergeCell ref="A682:G682"/>
    <mergeCell ref="A683:G683"/>
    <mergeCell ref="A684:H684"/>
    <mergeCell ref="A691:H691"/>
    <mergeCell ref="A692:H692"/>
    <mergeCell ref="A697:G697"/>
    <mergeCell ref="A698:G698"/>
    <mergeCell ref="A771:G771"/>
    <mergeCell ref="A772:G772"/>
    <mergeCell ref="A773:G773"/>
    <mergeCell ref="A774:H774"/>
    <mergeCell ref="A780:H780"/>
    <mergeCell ref="A781:H781"/>
    <mergeCell ref="A786:G786"/>
    <mergeCell ref="A787:G787"/>
    <mergeCell ref="A788:G788"/>
    <mergeCell ref="A789:H789"/>
    <mergeCell ref="A795:H795"/>
    <mergeCell ref="A796:H796"/>
    <mergeCell ref="A801:G801"/>
    <mergeCell ref="A802:G802"/>
    <mergeCell ref="A803:G803"/>
    <mergeCell ref="A804:H804"/>
    <mergeCell ref="A810:H810"/>
    <mergeCell ref="A811:H811"/>
    <mergeCell ref="A816:G816"/>
    <mergeCell ref="A817:G817"/>
    <mergeCell ref="A818:G818"/>
    <mergeCell ref="A819:H819"/>
    <mergeCell ref="A825:H825"/>
    <mergeCell ref="A826:H826"/>
    <mergeCell ref="A831:G831"/>
    <mergeCell ref="A832:G832"/>
    <mergeCell ref="A833:G833"/>
    <mergeCell ref="A834:H834"/>
    <mergeCell ref="A841:H841"/>
    <mergeCell ref="A842:H842"/>
    <mergeCell ref="A847:G847"/>
    <mergeCell ref="A848:G848"/>
    <mergeCell ref="A849:G849"/>
    <mergeCell ref="A850:H850"/>
    <mergeCell ref="A855:H855"/>
    <mergeCell ref="A856:H856"/>
    <mergeCell ref="A861:G861"/>
    <mergeCell ref="A862:G862"/>
    <mergeCell ref="A863:G863"/>
    <mergeCell ref="A864:H864"/>
    <mergeCell ref="A870:H870"/>
    <mergeCell ref="A871:H871"/>
    <mergeCell ref="A876:G876"/>
    <mergeCell ref="A877:G877"/>
    <mergeCell ref="A878:G878"/>
    <mergeCell ref="A879:H879"/>
    <mergeCell ref="A884:H884"/>
    <mergeCell ref="A885:H885"/>
    <mergeCell ref="A890:G890"/>
    <mergeCell ref="A891:G891"/>
    <mergeCell ref="A892:G892"/>
    <mergeCell ref="A893:H893"/>
    <mergeCell ref="A898:H898"/>
    <mergeCell ref="A899:H899"/>
    <mergeCell ref="A904:G904"/>
    <mergeCell ref="A905:G905"/>
    <mergeCell ref="A1017:G1017"/>
    <mergeCell ref="A1018:H1018"/>
    <mergeCell ref="A1026:H1026"/>
    <mergeCell ref="A1027:H1027"/>
    <mergeCell ref="A1032:G1032"/>
    <mergeCell ref="A1033:G1033"/>
    <mergeCell ref="A1034:G1034"/>
    <mergeCell ref="A1035:H1035"/>
    <mergeCell ref="A1041:H1041"/>
    <mergeCell ref="A1042:H1042"/>
    <mergeCell ref="A1047:G1047"/>
    <mergeCell ref="A1048:G1048"/>
    <mergeCell ref="A1049:G1049"/>
    <mergeCell ref="A1050:H1050"/>
    <mergeCell ref="A1056:H1056"/>
    <mergeCell ref="A1057:H1057"/>
    <mergeCell ref="A1062:G1062"/>
    <mergeCell ref="A1063:G1063"/>
    <mergeCell ref="A1064:G1064"/>
    <mergeCell ref="A1065:H1065"/>
    <mergeCell ref="A1070:H1070"/>
    <mergeCell ref="A1071:H1071"/>
    <mergeCell ref="A1076:G1076"/>
    <mergeCell ref="A1077:G1077"/>
    <mergeCell ref="A1078:G1078"/>
    <mergeCell ref="A1079:H1079"/>
    <mergeCell ref="A1085:H1085"/>
    <mergeCell ref="A1086:H1086"/>
    <mergeCell ref="A906:G906"/>
    <mergeCell ref="A907:H907"/>
    <mergeCell ref="A913:H913"/>
    <mergeCell ref="A914:H914"/>
    <mergeCell ref="A919:G919"/>
    <mergeCell ref="A920:G920"/>
    <mergeCell ref="A921:G921"/>
    <mergeCell ref="A922:H922"/>
    <mergeCell ref="A928:H928"/>
    <mergeCell ref="A929:H929"/>
    <mergeCell ref="A934:G934"/>
    <mergeCell ref="A935:G935"/>
    <mergeCell ref="A936:G936"/>
    <mergeCell ref="A937:H937"/>
    <mergeCell ref="A944:H944"/>
    <mergeCell ref="A945:H945"/>
    <mergeCell ref="A950:G950"/>
    <mergeCell ref="A951:G951"/>
    <mergeCell ref="A952:G952"/>
    <mergeCell ref="A953:H953"/>
    <mergeCell ref="A961:H961"/>
    <mergeCell ref="A962:H962"/>
    <mergeCell ref="A967:G967"/>
    <mergeCell ref="A968:G968"/>
    <mergeCell ref="A969:G969"/>
    <mergeCell ref="A970:H970"/>
    <mergeCell ref="A976:H976"/>
    <mergeCell ref="A977:H977"/>
    <mergeCell ref="A982:G982"/>
    <mergeCell ref="A983:G983"/>
    <mergeCell ref="A984:G984"/>
    <mergeCell ref="A985:H985"/>
    <mergeCell ref="A992:H992"/>
    <mergeCell ref="A993:H993"/>
    <mergeCell ref="A998:G998"/>
    <mergeCell ref="A999:G999"/>
    <mergeCell ref="A1000:G1000"/>
    <mergeCell ref="A1001:H1001"/>
    <mergeCell ref="A1009:H1009"/>
    <mergeCell ref="A1010:H1010"/>
    <mergeCell ref="A1015:G1015"/>
    <mergeCell ref="A1016:G1016"/>
    <mergeCell ref="A1091:G1091"/>
    <mergeCell ref="A1092:G1092"/>
    <mergeCell ref="A1093:G1093"/>
    <mergeCell ref="A1094:H1094"/>
    <mergeCell ref="A1100:H1100"/>
    <mergeCell ref="A1101:H1101"/>
    <mergeCell ref="A1106:G1106"/>
    <mergeCell ref="A1692:H1692"/>
    <mergeCell ref="A1693:H1693"/>
    <mergeCell ref="A1698:G1698"/>
    <mergeCell ref="A1699:G1699"/>
    <mergeCell ref="A1700:G1700"/>
    <mergeCell ref="A1701:H1701"/>
    <mergeCell ref="A1707:H1707"/>
    <mergeCell ref="A1708:H1708"/>
    <mergeCell ref="A1713:G1713"/>
    <mergeCell ref="A1714:G1714"/>
    <mergeCell ref="A1715:G1715"/>
    <mergeCell ref="A1716:H1716"/>
    <mergeCell ref="A1722:H1722"/>
    <mergeCell ref="A1723:H1723"/>
    <mergeCell ref="A1545:G1545"/>
    <mergeCell ref="A1546:H1546"/>
    <mergeCell ref="A1553:H1553"/>
    <mergeCell ref="A1554:H1554"/>
    <mergeCell ref="A1559:G1559"/>
    <mergeCell ref="A1560:G1560"/>
    <mergeCell ref="A1561:G1561"/>
    <mergeCell ref="A1562:H1562"/>
    <mergeCell ref="A1570:H1570"/>
    <mergeCell ref="A1571:H1571"/>
    <mergeCell ref="A1576:G1576"/>
    <mergeCell ref="A1577:G1577"/>
    <mergeCell ref="A1578:G1578"/>
    <mergeCell ref="A1579:H1579"/>
    <mergeCell ref="A1586:H1586"/>
    <mergeCell ref="A1587:H1587"/>
    <mergeCell ref="A1592:G1592"/>
    <mergeCell ref="A1593:G1593"/>
    <mergeCell ref="A1594:G1594"/>
    <mergeCell ref="A1595:H1595"/>
    <mergeCell ref="A1601:H1601"/>
    <mergeCell ref="A1602:H1602"/>
    <mergeCell ref="A1607:G1607"/>
    <mergeCell ref="A1608:G1608"/>
    <mergeCell ref="A1609:G1609"/>
    <mergeCell ref="A1610:H1610"/>
    <mergeCell ref="A1617:H1617"/>
    <mergeCell ref="A1618:H1618"/>
    <mergeCell ref="A1623:G1623"/>
    <mergeCell ref="A1624:G1624"/>
    <mergeCell ref="A1625:G1625"/>
    <mergeCell ref="A1626:H1626"/>
    <mergeCell ref="A1633:H1633"/>
    <mergeCell ref="A1634:H1634"/>
    <mergeCell ref="A1639:G1639"/>
    <mergeCell ref="A1640:G1640"/>
    <mergeCell ref="A1641:G1641"/>
    <mergeCell ref="A1642:H1642"/>
    <mergeCell ref="A1647:H1647"/>
    <mergeCell ref="A1648:H1648"/>
    <mergeCell ref="A1653:G1653"/>
    <mergeCell ref="A1654:G1654"/>
    <mergeCell ref="A1728:G1728"/>
    <mergeCell ref="A1729:G1729"/>
    <mergeCell ref="A1730:G1730"/>
    <mergeCell ref="A1731:H1731"/>
    <mergeCell ref="A1738:H1738"/>
    <mergeCell ref="A1739:H1739"/>
    <mergeCell ref="A1744:G1744"/>
    <mergeCell ref="A1107:G1107"/>
    <mergeCell ref="A1108:G1108"/>
    <mergeCell ref="A1109:H1109"/>
    <mergeCell ref="A1114:H1114"/>
    <mergeCell ref="A1115:H1115"/>
    <mergeCell ref="A1120:G1120"/>
    <mergeCell ref="A1121:G1121"/>
    <mergeCell ref="A1122:G1122"/>
    <mergeCell ref="A1123:H1123"/>
    <mergeCell ref="A1129:H1129"/>
    <mergeCell ref="A1130:H1130"/>
    <mergeCell ref="A1135:G1135"/>
    <mergeCell ref="A1136:G1136"/>
    <mergeCell ref="A1137:G1137"/>
    <mergeCell ref="A1138:H1138"/>
    <mergeCell ref="A1145:H1145"/>
    <mergeCell ref="A1146:H1146"/>
    <mergeCell ref="A1151:G1151"/>
    <mergeCell ref="A1152:G1152"/>
    <mergeCell ref="A1153:G1153"/>
    <mergeCell ref="A1154:H1154"/>
    <mergeCell ref="A1159:H1159"/>
    <mergeCell ref="A1160:H1160"/>
    <mergeCell ref="A1165:G1165"/>
    <mergeCell ref="A1166:G1166"/>
    <mergeCell ref="A1167:G1167"/>
    <mergeCell ref="A1168:H1168"/>
    <mergeCell ref="A1174:H1174"/>
    <mergeCell ref="A1175:H1175"/>
    <mergeCell ref="A1180:G1180"/>
    <mergeCell ref="A1181:G1181"/>
    <mergeCell ref="A1182:G1182"/>
    <mergeCell ref="A1183:H1183"/>
    <mergeCell ref="A1191:H1191"/>
    <mergeCell ref="A1192:H1192"/>
    <mergeCell ref="A1197:G1197"/>
    <mergeCell ref="A1198:G1198"/>
    <mergeCell ref="A1199:G1199"/>
    <mergeCell ref="A1200:H1200"/>
    <mergeCell ref="A1206:H1206"/>
    <mergeCell ref="A1207:H1207"/>
    <mergeCell ref="A1212:G1212"/>
    <mergeCell ref="A1213:G1213"/>
    <mergeCell ref="A1214:G1214"/>
    <mergeCell ref="A1215:H1215"/>
    <mergeCell ref="A1222:H1222"/>
    <mergeCell ref="A1223:H1223"/>
    <mergeCell ref="A1228:G1228"/>
    <mergeCell ref="A1229:G1229"/>
    <mergeCell ref="A1338:G1338"/>
    <mergeCell ref="A1339:H1339"/>
    <mergeCell ref="A1344:H1344"/>
    <mergeCell ref="A1345:H1345"/>
    <mergeCell ref="A1350:G1350"/>
    <mergeCell ref="A1351:G1351"/>
    <mergeCell ref="A1352:G1352"/>
    <mergeCell ref="A1353:H1353"/>
    <mergeCell ref="A1360:H1360"/>
    <mergeCell ref="A1361:H1361"/>
    <mergeCell ref="A1366:G1366"/>
    <mergeCell ref="A1367:G1367"/>
    <mergeCell ref="A1368:G1368"/>
    <mergeCell ref="A1369:H1369"/>
    <mergeCell ref="A1374:H1374"/>
    <mergeCell ref="A1375:H1375"/>
    <mergeCell ref="A1380:G1380"/>
    <mergeCell ref="A1381:G1381"/>
    <mergeCell ref="A1382:G1382"/>
    <mergeCell ref="A1383:H1383"/>
    <mergeCell ref="A1389:H1389"/>
    <mergeCell ref="A1390:H1390"/>
    <mergeCell ref="A1395:G1395"/>
    <mergeCell ref="A1396:G1396"/>
    <mergeCell ref="A1397:G1397"/>
    <mergeCell ref="A1398:H1398"/>
    <mergeCell ref="A1404:H1404"/>
    <mergeCell ref="A1405:H1405"/>
    <mergeCell ref="A1230:G1230"/>
    <mergeCell ref="A1231:H1231"/>
    <mergeCell ref="A1239:H1239"/>
    <mergeCell ref="A1240:H1240"/>
    <mergeCell ref="A1245:G1245"/>
    <mergeCell ref="A1246:G1246"/>
    <mergeCell ref="A1247:G1247"/>
    <mergeCell ref="A1248:H1248"/>
    <mergeCell ref="A1253:H1253"/>
    <mergeCell ref="A1254:H1254"/>
    <mergeCell ref="A1259:G1259"/>
    <mergeCell ref="A1260:G1260"/>
    <mergeCell ref="A1261:G1261"/>
    <mergeCell ref="A1262:H1262"/>
    <mergeCell ref="A1269:H1269"/>
    <mergeCell ref="A1270:H1270"/>
    <mergeCell ref="A1275:G1275"/>
    <mergeCell ref="A1276:G1276"/>
    <mergeCell ref="A1277:G1277"/>
    <mergeCell ref="A1278:H1278"/>
    <mergeCell ref="A1284:H1284"/>
    <mergeCell ref="A1285:H1285"/>
    <mergeCell ref="A1290:G1290"/>
    <mergeCell ref="A1291:G1291"/>
    <mergeCell ref="A1292:G1292"/>
    <mergeCell ref="A1293:H1293"/>
    <mergeCell ref="A1297:H1297"/>
    <mergeCell ref="A1298:H1298"/>
    <mergeCell ref="A1303:G1303"/>
    <mergeCell ref="A1304:G1304"/>
    <mergeCell ref="A1305:G1305"/>
    <mergeCell ref="A1306:H1306"/>
    <mergeCell ref="A1316:H1316"/>
    <mergeCell ref="A1317:H1317"/>
    <mergeCell ref="A1322:G1322"/>
    <mergeCell ref="A1323:G1323"/>
    <mergeCell ref="A1324:G1324"/>
    <mergeCell ref="A1325:H1325"/>
    <mergeCell ref="A1330:H1330"/>
    <mergeCell ref="A1331:H1331"/>
    <mergeCell ref="A1336:G1336"/>
    <mergeCell ref="A1337:G1337"/>
    <mergeCell ref="A1410:G1410"/>
    <mergeCell ref="A1411:G1411"/>
    <mergeCell ref="A1412:G1412"/>
    <mergeCell ref="A1413:H1413"/>
    <mergeCell ref="A1419:H1419"/>
    <mergeCell ref="A1420:H1420"/>
    <mergeCell ref="A1425:G1425"/>
    <mergeCell ref="A1426:G1426"/>
    <mergeCell ref="A1427:G1427"/>
    <mergeCell ref="A1428:H1428"/>
    <mergeCell ref="A1434:H1434"/>
    <mergeCell ref="A1435:H1435"/>
    <mergeCell ref="A1440:G1440"/>
    <mergeCell ref="A1441:G1441"/>
    <mergeCell ref="A1442:G1442"/>
    <mergeCell ref="A1443:H1443"/>
    <mergeCell ref="A1449:H1449"/>
    <mergeCell ref="A1450:H1450"/>
    <mergeCell ref="A1455:G1455"/>
    <mergeCell ref="A1456:G1456"/>
    <mergeCell ref="A1457:G1457"/>
    <mergeCell ref="A1458:H1458"/>
    <mergeCell ref="A1463:H1463"/>
    <mergeCell ref="A1464:H1464"/>
    <mergeCell ref="A1469:G1469"/>
    <mergeCell ref="A1470:G1470"/>
    <mergeCell ref="A1471:G1471"/>
    <mergeCell ref="A1472:H1472"/>
    <mergeCell ref="A1477:H1477"/>
    <mergeCell ref="A1478:H1478"/>
    <mergeCell ref="A1483:G1483"/>
    <mergeCell ref="A1484:G1484"/>
    <mergeCell ref="A1485:G1485"/>
    <mergeCell ref="A1486:H1486"/>
    <mergeCell ref="A1492:H1492"/>
    <mergeCell ref="A1493:H1493"/>
    <mergeCell ref="A1498:G1498"/>
    <mergeCell ref="A1499:G1499"/>
    <mergeCell ref="A1500:G1500"/>
    <mergeCell ref="A1501:H1501"/>
    <mergeCell ref="A1507:H1507"/>
    <mergeCell ref="A1508:H1508"/>
    <mergeCell ref="A1513:G1513"/>
    <mergeCell ref="A1514:G1514"/>
    <mergeCell ref="A1515:G1515"/>
    <mergeCell ref="A1516:H1516"/>
    <mergeCell ref="A1522:H1522"/>
    <mergeCell ref="A1523:H1523"/>
    <mergeCell ref="A1528:G1528"/>
    <mergeCell ref="A1529:G1529"/>
    <mergeCell ref="A1530:G1530"/>
    <mergeCell ref="A1531:H1531"/>
    <mergeCell ref="A1537:H1537"/>
    <mergeCell ref="A1538:H1538"/>
    <mergeCell ref="A1543:G1543"/>
    <mergeCell ref="A1544:G1544"/>
    <mergeCell ref="A1655:G1655"/>
    <mergeCell ref="A1656:H1656"/>
    <mergeCell ref="A1662:H1662"/>
    <mergeCell ref="A1663:H1663"/>
    <mergeCell ref="A1668:G1668"/>
    <mergeCell ref="A1669:G1669"/>
    <mergeCell ref="A1670:G1670"/>
    <mergeCell ref="A1671:H1671"/>
    <mergeCell ref="A1677:H1677"/>
    <mergeCell ref="A1678:H1678"/>
    <mergeCell ref="A1683:G1683"/>
    <mergeCell ref="A1684:G1684"/>
    <mergeCell ref="A1685:G1685"/>
    <mergeCell ref="A1686:H1686"/>
    <mergeCell ref="A1745:G1745"/>
    <mergeCell ref="A1746:G1746"/>
    <mergeCell ref="A1747:H1747"/>
    <mergeCell ref="A1753:H1753"/>
    <mergeCell ref="A1754:H1754"/>
    <mergeCell ref="A1759:G1759"/>
    <mergeCell ref="A1760:G1760"/>
    <mergeCell ref="A1761:G1761"/>
    <mergeCell ref="A1762:H1762"/>
    <mergeCell ref="A1769:H1769"/>
    <mergeCell ref="A1770:H1770"/>
    <mergeCell ref="A1775:G1775"/>
    <mergeCell ref="A1776:G1776"/>
    <mergeCell ref="A1777:G1777"/>
    <mergeCell ref="A1778:H1778"/>
    <mergeCell ref="A1784:H1784"/>
    <mergeCell ref="A1785:H1785"/>
    <mergeCell ref="A1790:G1790"/>
    <mergeCell ref="A1791:G1791"/>
    <mergeCell ref="A1792:G1792"/>
    <mergeCell ref="A1793:H1793"/>
    <mergeCell ref="A1799:H1799"/>
    <mergeCell ref="A1800:H1800"/>
    <mergeCell ref="A1805:G1805"/>
    <mergeCell ref="A1806:G1806"/>
    <mergeCell ref="A1807:G1807"/>
    <mergeCell ref="A1808:H1808"/>
    <mergeCell ref="A1818:H1818"/>
    <mergeCell ref="A1819:H1819"/>
    <mergeCell ref="A1824:G1824"/>
    <mergeCell ref="A1825:G1825"/>
    <mergeCell ref="A1826:G1826"/>
    <mergeCell ref="A1827:H1827"/>
    <mergeCell ref="A1834:H1834"/>
    <mergeCell ref="A1835:H1835"/>
    <mergeCell ref="A1840:G1840"/>
    <mergeCell ref="A1841:G1841"/>
    <mergeCell ref="A1842:G1842"/>
    <mergeCell ref="A1843:H1843"/>
    <mergeCell ref="A1852:H1852"/>
    <mergeCell ref="A1853:H1853"/>
    <mergeCell ref="A1858:G1858"/>
    <mergeCell ref="A1859:G1859"/>
    <mergeCell ref="A1860:G1860"/>
    <mergeCell ref="A1861:H1861"/>
    <mergeCell ref="A1869:H1869"/>
    <mergeCell ref="A1870:H1870"/>
    <mergeCell ref="A1875:G1875"/>
    <mergeCell ref="A1876:G1876"/>
    <mergeCell ref="A1982:G1982"/>
    <mergeCell ref="A1983:H1983"/>
    <mergeCell ref="A1989:H1989"/>
    <mergeCell ref="A1990:H1990"/>
    <mergeCell ref="A1995:G1995"/>
    <mergeCell ref="A1996:G1996"/>
    <mergeCell ref="A1997:G1997"/>
    <mergeCell ref="A1998:H1998"/>
    <mergeCell ref="A2003:H2003"/>
    <mergeCell ref="A2004:H2004"/>
    <mergeCell ref="A2009:G2009"/>
    <mergeCell ref="A2010:G2010"/>
    <mergeCell ref="A2011:G2011"/>
    <mergeCell ref="A2012:H2012"/>
    <mergeCell ref="A2017:H2017"/>
    <mergeCell ref="A2018:H2018"/>
    <mergeCell ref="A2023:G2023"/>
    <mergeCell ref="A2024:G2024"/>
    <mergeCell ref="A2025:G2025"/>
    <mergeCell ref="A2026:H2026"/>
    <mergeCell ref="A2032:H2032"/>
    <mergeCell ref="A2033:H2033"/>
    <mergeCell ref="A2038:G2038"/>
    <mergeCell ref="A2039:G2039"/>
    <mergeCell ref="A2040:G2040"/>
    <mergeCell ref="A2041:H2041"/>
    <mergeCell ref="A2048:H2048"/>
    <mergeCell ref="A2049:H2049"/>
    <mergeCell ref="A1877:G1877"/>
    <mergeCell ref="A1878:H1878"/>
    <mergeCell ref="A1884:H1884"/>
    <mergeCell ref="A1885:H1885"/>
    <mergeCell ref="A1890:G1890"/>
    <mergeCell ref="A1891:G1891"/>
    <mergeCell ref="A1892:G1892"/>
    <mergeCell ref="A1893:H1893"/>
    <mergeCell ref="A1900:H1900"/>
    <mergeCell ref="A1901:H1901"/>
    <mergeCell ref="A1906:G1906"/>
    <mergeCell ref="A1907:G1907"/>
    <mergeCell ref="A1908:G1908"/>
    <mergeCell ref="A1909:H1909"/>
    <mergeCell ref="A1916:H1916"/>
    <mergeCell ref="A1917:H1917"/>
    <mergeCell ref="A1922:G1922"/>
    <mergeCell ref="A1923:G1923"/>
    <mergeCell ref="A1924:G1924"/>
    <mergeCell ref="A1925:H1925"/>
    <mergeCell ref="A1931:H1931"/>
    <mergeCell ref="A1932:H1932"/>
    <mergeCell ref="A1937:G1937"/>
    <mergeCell ref="A1938:G1938"/>
    <mergeCell ref="A1939:G1939"/>
    <mergeCell ref="A1940:H1940"/>
    <mergeCell ref="A1946:H1946"/>
    <mergeCell ref="A1947:H1947"/>
    <mergeCell ref="A1952:G1952"/>
    <mergeCell ref="A1953:G1953"/>
    <mergeCell ref="A1954:G1954"/>
    <mergeCell ref="A1955:H1955"/>
    <mergeCell ref="A1960:H1960"/>
    <mergeCell ref="A1961:H1961"/>
    <mergeCell ref="A1966:G1966"/>
    <mergeCell ref="A1967:G1967"/>
    <mergeCell ref="A1968:G1968"/>
    <mergeCell ref="A1969:H1969"/>
    <mergeCell ref="A1974:H1974"/>
    <mergeCell ref="A1975:H1975"/>
    <mergeCell ref="A1980:G1980"/>
    <mergeCell ref="A1981:G1981"/>
    <mergeCell ref="A2054:G2054"/>
    <mergeCell ref="A2055:G2055"/>
    <mergeCell ref="A2056:G2056"/>
    <mergeCell ref="A2057:H2057"/>
    <mergeCell ref="A2063:H2063"/>
    <mergeCell ref="A2064:H2064"/>
    <mergeCell ref="A2069:G2069"/>
    <mergeCell ref="A2070:G2070"/>
    <mergeCell ref="A2071:G2071"/>
    <mergeCell ref="A2072:H2072"/>
    <mergeCell ref="A2078:H2078"/>
    <mergeCell ref="A2079:H2079"/>
    <mergeCell ref="A2084:G2084"/>
    <mergeCell ref="A2085:G2085"/>
    <mergeCell ref="A2086:G2086"/>
    <mergeCell ref="A2087:H2087"/>
    <mergeCell ref="A2093:H2093"/>
    <mergeCell ref="A2094:H2094"/>
    <mergeCell ref="A2099:G2099"/>
    <mergeCell ref="A2100:G2100"/>
    <mergeCell ref="A2101:G2101"/>
    <mergeCell ref="A2102:H2102"/>
    <mergeCell ref="A2108:H2108"/>
    <mergeCell ref="A2109:H2109"/>
    <mergeCell ref="A2114:G2114"/>
    <mergeCell ref="A2115:G2115"/>
    <mergeCell ref="A2116:G2116"/>
    <mergeCell ref="A2117:H2117"/>
    <mergeCell ref="A2123:H2123"/>
    <mergeCell ref="A2124:H2124"/>
    <mergeCell ref="A2129:G2129"/>
    <mergeCell ref="A2130:G2130"/>
    <mergeCell ref="A2131:G2131"/>
    <mergeCell ref="A2132:H2132"/>
    <mergeCell ref="A2138:H2138"/>
    <mergeCell ref="A2139:H2139"/>
    <mergeCell ref="A2144:G2144"/>
    <mergeCell ref="A2145:G2145"/>
    <mergeCell ref="A2146:G2146"/>
    <mergeCell ref="A2147:H2147"/>
    <mergeCell ref="A2152:H2152"/>
    <mergeCell ref="A2153:H2153"/>
    <mergeCell ref="A2158:G2158"/>
    <mergeCell ref="A2159:G2159"/>
    <mergeCell ref="A2160:G2160"/>
    <mergeCell ref="A2161:H2161"/>
    <mergeCell ref="A2167:H2167"/>
    <mergeCell ref="A2168:H2168"/>
    <mergeCell ref="A2173:G2173"/>
    <mergeCell ref="A2174:G2174"/>
    <mergeCell ref="A2175:G2175"/>
    <mergeCell ref="A2176:H2176"/>
    <mergeCell ref="A2181:H2181"/>
    <mergeCell ref="A2182:H2182"/>
    <mergeCell ref="A2187:G2187"/>
    <mergeCell ref="A2188:G2188"/>
    <mergeCell ref="A2300:G2300"/>
    <mergeCell ref="A2301:H2301"/>
    <mergeCell ref="A2306:H2306"/>
    <mergeCell ref="A2307:H2307"/>
    <mergeCell ref="A2312:G2312"/>
    <mergeCell ref="A2313:G2313"/>
    <mergeCell ref="A2314:G2314"/>
    <mergeCell ref="A2315:H2315"/>
    <mergeCell ref="A2321:H2321"/>
    <mergeCell ref="A2322:H2322"/>
    <mergeCell ref="A2327:G2327"/>
    <mergeCell ref="A2328:G2328"/>
    <mergeCell ref="A2329:G2329"/>
    <mergeCell ref="A2330:H2330"/>
    <mergeCell ref="A2335:H2335"/>
    <mergeCell ref="A2336:H2336"/>
    <mergeCell ref="A2341:G2341"/>
    <mergeCell ref="A2342:G2342"/>
    <mergeCell ref="A2343:G2343"/>
    <mergeCell ref="A2344:H2344"/>
    <mergeCell ref="A2349:H2349"/>
    <mergeCell ref="A2350:H2350"/>
    <mergeCell ref="A2355:G2355"/>
    <mergeCell ref="A2356:G2356"/>
    <mergeCell ref="A2357:G2357"/>
    <mergeCell ref="A2358:H2358"/>
    <mergeCell ref="A2364:H2364"/>
    <mergeCell ref="A2365:H2365"/>
    <mergeCell ref="A2189:G2189"/>
    <mergeCell ref="A2190:H2190"/>
    <mergeCell ref="A2200:H2200"/>
    <mergeCell ref="A2201:H2201"/>
    <mergeCell ref="A2206:G2206"/>
    <mergeCell ref="A2207:G2207"/>
    <mergeCell ref="A2208:G2208"/>
    <mergeCell ref="A2209:H2209"/>
    <mergeCell ref="A2215:H2215"/>
    <mergeCell ref="A2216:H2216"/>
    <mergeCell ref="A2221:G2221"/>
    <mergeCell ref="A2222:G2222"/>
    <mergeCell ref="A2223:G2223"/>
    <mergeCell ref="A2224:H2224"/>
    <mergeCell ref="A2232:H2232"/>
    <mergeCell ref="A2233:H2233"/>
    <mergeCell ref="A2238:G2238"/>
    <mergeCell ref="A2239:G2239"/>
    <mergeCell ref="A2240:G2240"/>
    <mergeCell ref="A2241:H2241"/>
    <mergeCell ref="A2249:H2249"/>
    <mergeCell ref="A2250:H2250"/>
    <mergeCell ref="A2255:G2255"/>
    <mergeCell ref="A2256:G2256"/>
    <mergeCell ref="A2257:G2257"/>
    <mergeCell ref="A2258:H2258"/>
    <mergeCell ref="A2265:H2265"/>
    <mergeCell ref="A2266:H2266"/>
    <mergeCell ref="A2271:G2271"/>
    <mergeCell ref="A2272:G2272"/>
    <mergeCell ref="A2273:G2273"/>
    <mergeCell ref="A2274:H2274"/>
    <mergeCell ref="A2279:H2279"/>
    <mergeCell ref="A2280:H2280"/>
    <mergeCell ref="A2285:G2285"/>
    <mergeCell ref="A2286:G2286"/>
    <mergeCell ref="A2287:G2287"/>
    <mergeCell ref="A2288:H2288"/>
    <mergeCell ref="A2292:H2292"/>
    <mergeCell ref="A2293:H2293"/>
    <mergeCell ref="A2298:G2298"/>
    <mergeCell ref="A2299:G2299"/>
    <mergeCell ref="A2370:G2370"/>
    <mergeCell ref="A2371:G2371"/>
    <mergeCell ref="A2372:G2372"/>
    <mergeCell ref="A2373:H2373"/>
    <mergeCell ref="A2379:H2379"/>
    <mergeCell ref="A2380:H2380"/>
    <mergeCell ref="A2385:G2385"/>
    <mergeCell ref="A2960:H2960"/>
    <mergeCell ref="A2961:H2961"/>
    <mergeCell ref="A2966:G2966"/>
    <mergeCell ref="A2967:G2967"/>
    <mergeCell ref="A2968:G2968"/>
    <mergeCell ref="A2969:H2969"/>
    <mergeCell ref="A2975:H2975"/>
    <mergeCell ref="A2976:H2976"/>
    <mergeCell ref="A2981:G2981"/>
    <mergeCell ref="A2982:G2982"/>
    <mergeCell ref="A2983:G2983"/>
    <mergeCell ref="A2984:H2984"/>
    <mergeCell ref="A2989:H2989"/>
    <mergeCell ref="A2990:H2990"/>
    <mergeCell ref="A2819:G2819"/>
    <mergeCell ref="A2820:H2820"/>
    <mergeCell ref="A2827:H2827"/>
    <mergeCell ref="A2828:H2828"/>
    <mergeCell ref="A2833:G2833"/>
    <mergeCell ref="A2834:G2834"/>
    <mergeCell ref="A2835:G2835"/>
    <mergeCell ref="A2836:H2836"/>
    <mergeCell ref="A2843:H2843"/>
    <mergeCell ref="A2844:H2844"/>
    <mergeCell ref="A2849:G2849"/>
    <mergeCell ref="A2850:G2850"/>
    <mergeCell ref="A2851:G2851"/>
    <mergeCell ref="A2852:H2852"/>
    <mergeCell ref="A2859:H2859"/>
    <mergeCell ref="A2860:H2860"/>
    <mergeCell ref="A2865:G2865"/>
    <mergeCell ref="A2866:G2866"/>
    <mergeCell ref="A2867:G2867"/>
    <mergeCell ref="A2868:H2868"/>
    <mergeCell ref="A2875:H2875"/>
    <mergeCell ref="A2876:H2876"/>
    <mergeCell ref="A2881:G2881"/>
    <mergeCell ref="A2882:G2882"/>
    <mergeCell ref="A2883:G2883"/>
    <mergeCell ref="A2884:H2884"/>
    <mergeCell ref="A2889:H2889"/>
    <mergeCell ref="A2890:H2890"/>
    <mergeCell ref="A2895:G2895"/>
    <mergeCell ref="A2896:G2896"/>
    <mergeCell ref="A2897:G2897"/>
    <mergeCell ref="A2898:H2898"/>
    <mergeCell ref="A2904:H2904"/>
    <mergeCell ref="A2905:H2905"/>
    <mergeCell ref="A2910:G2910"/>
    <mergeCell ref="A2911:G2911"/>
    <mergeCell ref="A2912:G2912"/>
    <mergeCell ref="A2913:H2913"/>
    <mergeCell ref="A2918:H2918"/>
    <mergeCell ref="A2919:H2919"/>
    <mergeCell ref="A2924:G2924"/>
    <mergeCell ref="A2925:G2925"/>
    <mergeCell ref="A2995:G2995"/>
    <mergeCell ref="A2996:G2996"/>
    <mergeCell ref="A2997:G2997"/>
    <mergeCell ref="A2998:H2998"/>
    <mergeCell ref="A3005:H3005"/>
    <mergeCell ref="A3006:H3006"/>
    <mergeCell ref="A3011:G3011"/>
    <mergeCell ref="A2386:G2386"/>
    <mergeCell ref="A2387:G2387"/>
    <mergeCell ref="A2388:H2388"/>
    <mergeCell ref="A2394:H2394"/>
    <mergeCell ref="A2395:H2395"/>
    <mergeCell ref="A2400:G2400"/>
    <mergeCell ref="A2401:G2401"/>
    <mergeCell ref="A2402:G2402"/>
    <mergeCell ref="A2403:H2403"/>
    <mergeCell ref="A2409:H2409"/>
    <mergeCell ref="A2410:H2410"/>
    <mergeCell ref="A2415:G2415"/>
    <mergeCell ref="A2416:G2416"/>
    <mergeCell ref="A2417:G2417"/>
    <mergeCell ref="A2418:H2418"/>
    <mergeCell ref="A2424:H2424"/>
    <mergeCell ref="A2425:H2425"/>
    <mergeCell ref="A2430:G2430"/>
    <mergeCell ref="A2431:G2431"/>
    <mergeCell ref="A2432:G2432"/>
    <mergeCell ref="A2433:H2433"/>
    <mergeCell ref="A2438:H2438"/>
    <mergeCell ref="A2439:H2439"/>
    <mergeCell ref="A2444:G2444"/>
    <mergeCell ref="A2445:G2445"/>
    <mergeCell ref="A2446:G2446"/>
    <mergeCell ref="A2447:H2447"/>
    <mergeCell ref="A2454:H2454"/>
    <mergeCell ref="A2455:H2455"/>
    <mergeCell ref="A2460:G2460"/>
    <mergeCell ref="A2461:G2461"/>
    <mergeCell ref="A2462:G2462"/>
    <mergeCell ref="A2463:H2463"/>
    <mergeCell ref="A2468:H2468"/>
    <mergeCell ref="A2469:H2469"/>
    <mergeCell ref="A2474:G2474"/>
    <mergeCell ref="A2475:G2475"/>
    <mergeCell ref="A2476:G2476"/>
    <mergeCell ref="A2477:H2477"/>
    <mergeCell ref="A2483:H2483"/>
    <mergeCell ref="A2484:H2484"/>
    <mergeCell ref="A2489:G2489"/>
    <mergeCell ref="A2490:G2490"/>
    <mergeCell ref="A2491:G2491"/>
    <mergeCell ref="A2492:H2492"/>
    <mergeCell ref="A2498:H2498"/>
    <mergeCell ref="A2499:H2499"/>
    <mergeCell ref="A2504:G2504"/>
    <mergeCell ref="A2505:G2505"/>
    <mergeCell ref="A2610:G2610"/>
    <mergeCell ref="A2611:H2611"/>
    <mergeCell ref="A2617:H2617"/>
    <mergeCell ref="A2618:H2618"/>
    <mergeCell ref="A2623:G2623"/>
    <mergeCell ref="A2624:G2624"/>
    <mergeCell ref="A2625:G2625"/>
    <mergeCell ref="A2626:H2626"/>
    <mergeCell ref="A2632:H2632"/>
    <mergeCell ref="A2633:H2633"/>
    <mergeCell ref="A2638:G2638"/>
    <mergeCell ref="A2639:G2639"/>
    <mergeCell ref="A2640:G2640"/>
    <mergeCell ref="A2641:H2641"/>
    <mergeCell ref="A2646:H2646"/>
    <mergeCell ref="A2647:H2647"/>
    <mergeCell ref="A2652:G2652"/>
    <mergeCell ref="A2653:G2653"/>
    <mergeCell ref="A2654:G2654"/>
    <mergeCell ref="A2655:H2655"/>
    <mergeCell ref="A2660:H2660"/>
    <mergeCell ref="A2661:H2661"/>
    <mergeCell ref="A2666:G2666"/>
    <mergeCell ref="A2667:G2667"/>
    <mergeCell ref="A2668:G2668"/>
    <mergeCell ref="A2669:H2669"/>
    <mergeCell ref="A2675:H2675"/>
    <mergeCell ref="A2676:H2676"/>
    <mergeCell ref="A2506:G2506"/>
    <mergeCell ref="A2507:H2507"/>
    <mergeCell ref="A2512:H2512"/>
    <mergeCell ref="A2513:H2513"/>
    <mergeCell ref="A2518:G2518"/>
    <mergeCell ref="A2519:G2519"/>
    <mergeCell ref="A2520:G2520"/>
    <mergeCell ref="A2521:H2521"/>
    <mergeCell ref="A2527:H2527"/>
    <mergeCell ref="A2528:H2528"/>
    <mergeCell ref="A2533:G2533"/>
    <mergeCell ref="A2534:G2534"/>
    <mergeCell ref="A2535:G2535"/>
    <mergeCell ref="A2536:H2536"/>
    <mergeCell ref="A2543:H2543"/>
    <mergeCell ref="A2544:H2544"/>
    <mergeCell ref="A2549:G2549"/>
    <mergeCell ref="A2550:G2550"/>
    <mergeCell ref="A2551:G2551"/>
    <mergeCell ref="A2552:H2552"/>
    <mergeCell ref="A2557:H2557"/>
    <mergeCell ref="A2558:H2558"/>
    <mergeCell ref="A2563:G2563"/>
    <mergeCell ref="A2564:G2564"/>
    <mergeCell ref="A2565:G2565"/>
    <mergeCell ref="A2566:H2566"/>
    <mergeCell ref="A2572:H2572"/>
    <mergeCell ref="A2573:H2573"/>
    <mergeCell ref="A2578:G2578"/>
    <mergeCell ref="A2579:G2579"/>
    <mergeCell ref="A2580:G2580"/>
    <mergeCell ref="A2581:H2581"/>
    <mergeCell ref="A2587:H2587"/>
    <mergeCell ref="A2588:H2588"/>
    <mergeCell ref="A2593:G2593"/>
    <mergeCell ref="A2594:G2594"/>
    <mergeCell ref="A2595:G2595"/>
    <mergeCell ref="A2596:H2596"/>
    <mergeCell ref="A2602:H2602"/>
    <mergeCell ref="A2603:H2603"/>
    <mergeCell ref="A2608:G2608"/>
    <mergeCell ref="A2609:G2609"/>
    <mergeCell ref="A2681:G2681"/>
    <mergeCell ref="A2682:G2682"/>
    <mergeCell ref="A2683:G2683"/>
    <mergeCell ref="A2684:H2684"/>
    <mergeCell ref="A2691:H2691"/>
    <mergeCell ref="A2692:H2692"/>
    <mergeCell ref="A2697:G2697"/>
    <mergeCell ref="A2698:G2698"/>
    <mergeCell ref="A2699:G2699"/>
    <mergeCell ref="A2700:H2700"/>
    <mergeCell ref="A2707:H2707"/>
    <mergeCell ref="A2708:H2708"/>
    <mergeCell ref="A2713:G2713"/>
    <mergeCell ref="A2714:G2714"/>
    <mergeCell ref="A2715:G2715"/>
    <mergeCell ref="A2716:H2716"/>
    <mergeCell ref="A2722:H2722"/>
    <mergeCell ref="A2723:H2723"/>
    <mergeCell ref="A2728:G2728"/>
    <mergeCell ref="A2729:G2729"/>
    <mergeCell ref="A2730:G2730"/>
    <mergeCell ref="A2731:H2731"/>
    <mergeCell ref="A2738:H2738"/>
    <mergeCell ref="A2739:H2739"/>
    <mergeCell ref="A2744:G2744"/>
    <mergeCell ref="A2745:G2745"/>
    <mergeCell ref="A2746:G2746"/>
    <mergeCell ref="A2747:H2747"/>
    <mergeCell ref="A2753:H2753"/>
    <mergeCell ref="A2754:H2754"/>
    <mergeCell ref="A2759:G2759"/>
    <mergeCell ref="A2760:G2760"/>
    <mergeCell ref="A2761:G2761"/>
    <mergeCell ref="A2762:H2762"/>
    <mergeCell ref="A2767:H2767"/>
    <mergeCell ref="A2768:H2768"/>
    <mergeCell ref="A2773:G2773"/>
    <mergeCell ref="A2774:G2774"/>
    <mergeCell ref="A2775:G2775"/>
    <mergeCell ref="A2776:H2776"/>
    <mergeCell ref="A2782:H2782"/>
    <mergeCell ref="A2783:H2783"/>
    <mergeCell ref="A2788:G2788"/>
    <mergeCell ref="A2789:G2789"/>
    <mergeCell ref="A2790:G2790"/>
    <mergeCell ref="A2791:H2791"/>
    <mergeCell ref="A2796:H2796"/>
    <mergeCell ref="A2797:H2797"/>
    <mergeCell ref="A2802:G2802"/>
    <mergeCell ref="A2803:G2803"/>
    <mergeCell ref="A2804:G2804"/>
    <mergeCell ref="A2805:H2805"/>
    <mergeCell ref="A2811:H2811"/>
    <mergeCell ref="A2812:H2812"/>
    <mergeCell ref="A2817:G2817"/>
    <mergeCell ref="A2818:G2818"/>
    <mergeCell ref="A2926:G2926"/>
    <mergeCell ref="A2927:H2927"/>
    <mergeCell ref="A2931:H2931"/>
    <mergeCell ref="A2932:H2932"/>
    <mergeCell ref="A2937:G2937"/>
    <mergeCell ref="A2938:G2938"/>
    <mergeCell ref="A2939:G2939"/>
    <mergeCell ref="A2940:H2940"/>
    <mergeCell ref="A2946:H2946"/>
    <mergeCell ref="A2947:H2947"/>
    <mergeCell ref="A2952:G2952"/>
    <mergeCell ref="A2953:G2953"/>
    <mergeCell ref="A2954:G2954"/>
    <mergeCell ref="A2955:H2955"/>
    <mergeCell ref="A3012:G3012"/>
    <mergeCell ref="A3013:G3013"/>
    <mergeCell ref="A3014:H3014"/>
    <mergeCell ref="A3021:H3021"/>
    <mergeCell ref="A3022:H3022"/>
    <mergeCell ref="A3027:G3027"/>
    <mergeCell ref="A3028:G3028"/>
    <mergeCell ref="A3029:G3029"/>
    <mergeCell ref="A3030:H3030"/>
    <mergeCell ref="A3038:H3038"/>
    <mergeCell ref="A3039:H3039"/>
    <mergeCell ref="A3044:G3044"/>
    <mergeCell ref="A3045:G3045"/>
    <mergeCell ref="A3046:G3046"/>
    <mergeCell ref="A3047:H3047"/>
    <mergeCell ref="A3052:H3052"/>
    <mergeCell ref="A3053:H3053"/>
    <mergeCell ref="A3058:G3058"/>
    <mergeCell ref="A3059:G3059"/>
    <mergeCell ref="A3060:G3060"/>
    <mergeCell ref="A3061:H3061"/>
    <mergeCell ref="A3068:H3068"/>
    <mergeCell ref="A3069:H3069"/>
    <mergeCell ref="A3074:G3074"/>
    <mergeCell ref="A3075:G3075"/>
    <mergeCell ref="A3076:G3076"/>
    <mergeCell ref="A3077:H3077"/>
    <mergeCell ref="A3083:H3083"/>
    <mergeCell ref="A3084:H3084"/>
    <mergeCell ref="A3089:G3089"/>
    <mergeCell ref="A3090:G3090"/>
    <mergeCell ref="A3091:G3091"/>
    <mergeCell ref="A3092:H3092"/>
    <mergeCell ref="A3098:H3098"/>
    <mergeCell ref="A3099:H3099"/>
    <mergeCell ref="A3104:G3104"/>
    <mergeCell ref="A3105:G3105"/>
    <mergeCell ref="A3106:G3106"/>
    <mergeCell ref="A3107:H3107"/>
    <mergeCell ref="A3116:H3116"/>
    <mergeCell ref="A3117:H3117"/>
    <mergeCell ref="A3122:G3122"/>
    <mergeCell ref="A3123:G3123"/>
    <mergeCell ref="A3124:G3124"/>
    <mergeCell ref="A3125:H3125"/>
    <mergeCell ref="A3130:H3130"/>
    <mergeCell ref="A3131:H3131"/>
    <mergeCell ref="A3136:G3136"/>
    <mergeCell ref="A3137:G3137"/>
  </mergeCells>
  <drawing r:id="rId1"/>
  <tableParts count="400">
    <tablePart r:id="rId402"/>
    <tablePart r:id="rId403"/>
    <tablePart r:id="rId404"/>
    <tablePart r:id="rId405"/>
    <tablePart r:id="rId406"/>
    <tablePart r:id="rId407"/>
    <tablePart r:id="rId408"/>
    <tablePart r:id="rId409"/>
    <tablePart r:id="rId410"/>
    <tablePart r:id="rId411"/>
    <tablePart r:id="rId412"/>
    <tablePart r:id="rId413"/>
    <tablePart r:id="rId414"/>
    <tablePart r:id="rId415"/>
    <tablePart r:id="rId416"/>
    <tablePart r:id="rId417"/>
    <tablePart r:id="rId418"/>
    <tablePart r:id="rId419"/>
    <tablePart r:id="rId420"/>
    <tablePart r:id="rId421"/>
    <tablePart r:id="rId422"/>
    <tablePart r:id="rId423"/>
    <tablePart r:id="rId424"/>
    <tablePart r:id="rId425"/>
    <tablePart r:id="rId426"/>
    <tablePart r:id="rId427"/>
    <tablePart r:id="rId428"/>
    <tablePart r:id="rId429"/>
    <tablePart r:id="rId430"/>
    <tablePart r:id="rId431"/>
    <tablePart r:id="rId432"/>
    <tablePart r:id="rId433"/>
    <tablePart r:id="rId434"/>
    <tablePart r:id="rId435"/>
    <tablePart r:id="rId436"/>
    <tablePart r:id="rId437"/>
    <tablePart r:id="rId438"/>
    <tablePart r:id="rId439"/>
    <tablePart r:id="rId440"/>
    <tablePart r:id="rId441"/>
    <tablePart r:id="rId442"/>
    <tablePart r:id="rId443"/>
    <tablePart r:id="rId444"/>
    <tablePart r:id="rId445"/>
    <tablePart r:id="rId446"/>
    <tablePart r:id="rId447"/>
    <tablePart r:id="rId448"/>
    <tablePart r:id="rId449"/>
    <tablePart r:id="rId450"/>
    <tablePart r:id="rId451"/>
    <tablePart r:id="rId452"/>
    <tablePart r:id="rId453"/>
    <tablePart r:id="rId454"/>
    <tablePart r:id="rId455"/>
    <tablePart r:id="rId456"/>
    <tablePart r:id="rId457"/>
    <tablePart r:id="rId458"/>
    <tablePart r:id="rId459"/>
    <tablePart r:id="rId460"/>
    <tablePart r:id="rId461"/>
    <tablePart r:id="rId462"/>
    <tablePart r:id="rId463"/>
    <tablePart r:id="rId464"/>
    <tablePart r:id="rId465"/>
    <tablePart r:id="rId466"/>
    <tablePart r:id="rId467"/>
    <tablePart r:id="rId468"/>
    <tablePart r:id="rId469"/>
    <tablePart r:id="rId470"/>
    <tablePart r:id="rId471"/>
    <tablePart r:id="rId472"/>
    <tablePart r:id="rId473"/>
    <tablePart r:id="rId474"/>
    <tablePart r:id="rId475"/>
    <tablePart r:id="rId476"/>
    <tablePart r:id="rId477"/>
    <tablePart r:id="rId478"/>
    <tablePart r:id="rId479"/>
    <tablePart r:id="rId480"/>
    <tablePart r:id="rId481"/>
    <tablePart r:id="rId482"/>
    <tablePart r:id="rId483"/>
    <tablePart r:id="rId484"/>
    <tablePart r:id="rId485"/>
    <tablePart r:id="rId486"/>
    <tablePart r:id="rId487"/>
    <tablePart r:id="rId488"/>
    <tablePart r:id="rId489"/>
    <tablePart r:id="rId490"/>
    <tablePart r:id="rId491"/>
    <tablePart r:id="rId492"/>
    <tablePart r:id="rId493"/>
    <tablePart r:id="rId494"/>
    <tablePart r:id="rId495"/>
    <tablePart r:id="rId496"/>
    <tablePart r:id="rId497"/>
    <tablePart r:id="rId498"/>
    <tablePart r:id="rId499"/>
    <tablePart r:id="rId500"/>
    <tablePart r:id="rId501"/>
    <tablePart r:id="rId502"/>
    <tablePart r:id="rId503"/>
    <tablePart r:id="rId504"/>
    <tablePart r:id="rId505"/>
    <tablePart r:id="rId506"/>
    <tablePart r:id="rId507"/>
    <tablePart r:id="rId508"/>
    <tablePart r:id="rId509"/>
    <tablePart r:id="rId510"/>
    <tablePart r:id="rId511"/>
    <tablePart r:id="rId512"/>
    <tablePart r:id="rId513"/>
    <tablePart r:id="rId514"/>
    <tablePart r:id="rId515"/>
    <tablePart r:id="rId516"/>
    <tablePart r:id="rId517"/>
    <tablePart r:id="rId518"/>
    <tablePart r:id="rId519"/>
    <tablePart r:id="rId520"/>
    <tablePart r:id="rId521"/>
    <tablePart r:id="rId522"/>
    <tablePart r:id="rId523"/>
    <tablePart r:id="rId524"/>
    <tablePart r:id="rId525"/>
    <tablePart r:id="rId526"/>
    <tablePart r:id="rId527"/>
    <tablePart r:id="rId528"/>
    <tablePart r:id="rId529"/>
    <tablePart r:id="rId530"/>
    <tablePart r:id="rId531"/>
    <tablePart r:id="rId532"/>
    <tablePart r:id="rId533"/>
    <tablePart r:id="rId534"/>
    <tablePart r:id="rId535"/>
    <tablePart r:id="rId536"/>
    <tablePart r:id="rId537"/>
    <tablePart r:id="rId538"/>
    <tablePart r:id="rId539"/>
    <tablePart r:id="rId540"/>
    <tablePart r:id="rId541"/>
    <tablePart r:id="rId542"/>
    <tablePart r:id="rId543"/>
    <tablePart r:id="rId544"/>
    <tablePart r:id="rId545"/>
    <tablePart r:id="rId546"/>
    <tablePart r:id="rId547"/>
    <tablePart r:id="rId548"/>
    <tablePart r:id="rId549"/>
    <tablePart r:id="rId550"/>
    <tablePart r:id="rId551"/>
    <tablePart r:id="rId552"/>
    <tablePart r:id="rId553"/>
    <tablePart r:id="rId554"/>
    <tablePart r:id="rId555"/>
    <tablePart r:id="rId556"/>
    <tablePart r:id="rId557"/>
    <tablePart r:id="rId558"/>
    <tablePart r:id="rId559"/>
    <tablePart r:id="rId560"/>
    <tablePart r:id="rId561"/>
    <tablePart r:id="rId562"/>
    <tablePart r:id="rId563"/>
    <tablePart r:id="rId564"/>
    <tablePart r:id="rId565"/>
    <tablePart r:id="rId566"/>
    <tablePart r:id="rId567"/>
    <tablePart r:id="rId568"/>
    <tablePart r:id="rId569"/>
    <tablePart r:id="rId570"/>
    <tablePart r:id="rId571"/>
    <tablePart r:id="rId572"/>
    <tablePart r:id="rId573"/>
    <tablePart r:id="rId574"/>
    <tablePart r:id="rId575"/>
    <tablePart r:id="rId576"/>
    <tablePart r:id="rId577"/>
    <tablePart r:id="rId578"/>
    <tablePart r:id="rId579"/>
    <tablePart r:id="rId580"/>
    <tablePart r:id="rId581"/>
    <tablePart r:id="rId582"/>
    <tablePart r:id="rId583"/>
    <tablePart r:id="rId584"/>
    <tablePart r:id="rId585"/>
    <tablePart r:id="rId586"/>
    <tablePart r:id="rId587"/>
    <tablePart r:id="rId588"/>
    <tablePart r:id="rId589"/>
    <tablePart r:id="rId590"/>
    <tablePart r:id="rId591"/>
    <tablePart r:id="rId592"/>
    <tablePart r:id="rId593"/>
    <tablePart r:id="rId594"/>
    <tablePart r:id="rId595"/>
    <tablePart r:id="rId596"/>
    <tablePart r:id="rId597"/>
    <tablePart r:id="rId598"/>
    <tablePart r:id="rId599"/>
    <tablePart r:id="rId600"/>
    <tablePart r:id="rId601"/>
    <tablePart r:id="rId602"/>
    <tablePart r:id="rId603"/>
    <tablePart r:id="rId604"/>
    <tablePart r:id="rId605"/>
    <tablePart r:id="rId606"/>
    <tablePart r:id="rId607"/>
    <tablePart r:id="rId608"/>
    <tablePart r:id="rId609"/>
    <tablePart r:id="rId610"/>
    <tablePart r:id="rId611"/>
    <tablePart r:id="rId612"/>
    <tablePart r:id="rId613"/>
    <tablePart r:id="rId614"/>
    <tablePart r:id="rId615"/>
    <tablePart r:id="rId616"/>
    <tablePart r:id="rId617"/>
    <tablePart r:id="rId618"/>
    <tablePart r:id="rId619"/>
    <tablePart r:id="rId620"/>
    <tablePart r:id="rId621"/>
    <tablePart r:id="rId622"/>
    <tablePart r:id="rId623"/>
    <tablePart r:id="rId624"/>
    <tablePart r:id="rId625"/>
    <tablePart r:id="rId626"/>
    <tablePart r:id="rId627"/>
    <tablePart r:id="rId628"/>
    <tablePart r:id="rId629"/>
    <tablePart r:id="rId630"/>
    <tablePart r:id="rId631"/>
    <tablePart r:id="rId632"/>
    <tablePart r:id="rId633"/>
    <tablePart r:id="rId634"/>
    <tablePart r:id="rId635"/>
    <tablePart r:id="rId636"/>
    <tablePart r:id="rId637"/>
    <tablePart r:id="rId638"/>
    <tablePart r:id="rId639"/>
    <tablePart r:id="rId640"/>
    <tablePart r:id="rId641"/>
    <tablePart r:id="rId642"/>
    <tablePart r:id="rId643"/>
    <tablePart r:id="rId644"/>
    <tablePart r:id="rId645"/>
    <tablePart r:id="rId646"/>
    <tablePart r:id="rId647"/>
    <tablePart r:id="rId648"/>
    <tablePart r:id="rId649"/>
    <tablePart r:id="rId650"/>
    <tablePart r:id="rId651"/>
    <tablePart r:id="rId652"/>
    <tablePart r:id="rId653"/>
    <tablePart r:id="rId654"/>
    <tablePart r:id="rId655"/>
    <tablePart r:id="rId656"/>
    <tablePart r:id="rId657"/>
    <tablePart r:id="rId658"/>
    <tablePart r:id="rId659"/>
    <tablePart r:id="rId660"/>
    <tablePart r:id="rId661"/>
    <tablePart r:id="rId662"/>
    <tablePart r:id="rId663"/>
    <tablePart r:id="rId664"/>
    <tablePart r:id="rId665"/>
    <tablePart r:id="rId666"/>
    <tablePart r:id="rId667"/>
    <tablePart r:id="rId668"/>
    <tablePart r:id="rId669"/>
    <tablePart r:id="rId670"/>
    <tablePart r:id="rId671"/>
    <tablePart r:id="rId672"/>
    <tablePart r:id="rId673"/>
    <tablePart r:id="rId674"/>
    <tablePart r:id="rId675"/>
    <tablePart r:id="rId676"/>
    <tablePart r:id="rId677"/>
    <tablePart r:id="rId678"/>
    <tablePart r:id="rId679"/>
    <tablePart r:id="rId680"/>
    <tablePart r:id="rId681"/>
    <tablePart r:id="rId682"/>
    <tablePart r:id="rId683"/>
    <tablePart r:id="rId684"/>
    <tablePart r:id="rId685"/>
    <tablePart r:id="rId686"/>
    <tablePart r:id="rId687"/>
    <tablePart r:id="rId688"/>
    <tablePart r:id="rId689"/>
    <tablePart r:id="rId690"/>
    <tablePart r:id="rId691"/>
    <tablePart r:id="rId692"/>
    <tablePart r:id="rId693"/>
    <tablePart r:id="rId694"/>
    <tablePart r:id="rId695"/>
    <tablePart r:id="rId696"/>
    <tablePart r:id="rId697"/>
    <tablePart r:id="rId698"/>
    <tablePart r:id="rId699"/>
    <tablePart r:id="rId700"/>
    <tablePart r:id="rId701"/>
    <tablePart r:id="rId702"/>
    <tablePart r:id="rId703"/>
    <tablePart r:id="rId704"/>
    <tablePart r:id="rId705"/>
    <tablePart r:id="rId706"/>
    <tablePart r:id="rId707"/>
    <tablePart r:id="rId708"/>
    <tablePart r:id="rId709"/>
    <tablePart r:id="rId710"/>
    <tablePart r:id="rId711"/>
    <tablePart r:id="rId712"/>
    <tablePart r:id="rId713"/>
    <tablePart r:id="rId714"/>
    <tablePart r:id="rId715"/>
    <tablePart r:id="rId716"/>
    <tablePart r:id="rId717"/>
    <tablePart r:id="rId718"/>
    <tablePart r:id="rId719"/>
    <tablePart r:id="rId720"/>
    <tablePart r:id="rId721"/>
    <tablePart r:id="rId722"/>
    <tablePart r:id="rId723"/>
    <tablePart r:id="rId724"/>
    <tablePart r:id="rId725"/>
    <tablePart r:id="rId726"/>
    <tablePart r:id="rId727"/>
    <tablePart r:id="rId728"/>
    <tablePart r:id="rId729"/>
    <tablePart r:id="rId730"/>
    <tablePart r:id="rId731"/>
    <tablePart r:id="rId732"/>
    <tablePart r:id="rId733"/>
    <tablePart r:id="rId734"/>
    <tablePart r:id="rId735"/>
    <tablePart r:id="rId736"/>
    <tablePart r:id="rId737"/>
    <tablePart r:id="rId738"/>
    <tablePart r:id="rId739"/>
    <tablePart r:id="rId740"/>
    <tablePart r:id="rId741"/>
    <tablePart r:id="rId742"/>
    <tablePart r:id="rId743"/>
    <tablePart r:id="rId744"/>
    <tablePart r:id="rId745"/>
    <tablePart r:id="rId746"/>
    <tablePart r:id="rId747"/>
    <tablePart r:id="rId748"/>
    <tablePart r:id="rId749"/>
    <tablePart r:id="rId750"/>
    <tablePart r:id="rId751"/>
    <tablePart r:id="rId752"/>
    <tablePart r:id="rId753"/>
    <tablePart r:id="rId754"/>
    <tablePart r:id="rId755"/>
    <tablePart r:id="rId756"/>
    <tablePart r:id="rId757"/>
    <tablePart r:id="rId758"/>
    <tablePart r:id="rId759"/>
    <tablePart r:id="rId760"/>
    <tablePart r:id="rId761"/>
    <tablePart r:id="rId762"/>
    <tablePart r:id="rId763"/>
    <tablePart r:id="rId764"/>
    <tablePart r:id="rId765"/>
    <tablePart r:id="rId766"/>
    <tablePart r:id="rId767"/>
    <tablePart r:id="rId768"/>
    <tablePart r:id="rId769"/>
    <tablePart r:id="rId770"/>
    <tablePart r:id="rId771"/>
    <tablePart r:id="rId772"/>
    <tablePart r:id="rId773"/>
    <tablePart r:id="rId774"/>
    <tablePart r:id="rId775"/>
    <tablePart r:id="rId776"/>
    <tablePart r:id="rId777"/>
    <tablePart r:id="rId778"/>
    <tablePart r:id="rId779"/>
    <tablePart r:id="rId780"/>
    <tablePart r:id="rId781"/>
    <tablePart r:id="rId782"/>
    <tablePart r:id="rId783"/>
    <tablePart r:id="rId784"/>
    <tablePart r:id="rId785"/>
    <tablePart r:id="rId786"/>
    <tablePart r:id="rId787"/>
    <tablePart r:id="rId788"/>
    <tablePart r:id="rId789"/>
    <tablePart r:id="rId790"/>
    <tablePart r:id="rId791"/>
    <tablePart r:id="rId792"/>
    <tablePart r:id="rId793"/>
    <tablePart r:id="rId794"/>
    <tablePart r:id="rId795"/>
    <tablePart r:id="rId796"/>
    <tablePart r:id="rId797"/>
    <tablePart r:id="rId798"/>
    <tablePart r:id="rId799"/>
    <tablePart r:id="rId800"/>
    <tablePart r:id="rId801"/>
  </tableParts>
</worksheet>
</file>